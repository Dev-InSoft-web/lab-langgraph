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tabRatio="829" activeTab="1"/>
  </bookViews>
  <sheets>
    <sheet name="HIPOTESIS NEGOCIO EN MARCHA" sheetId="9" r:id="rId1"/>
    <sheet name="BP" sheetId="1" r:id="rId2"/>
    <sheet name="REQUISITOS DE PROCEDENCIA DE CO" sheetId="13" r:id="rId3"/>
    <sheet name="INVERSIONES" sheetId="2" r:id="rId4"/>
    <sheet name="CXC" sheetId="3" r:id="rId5"/>
    <sheet name="INVENTARIOS" sheetId="4" r:id="rId6"/>
    <sheet name="PPYE" sheetId="5" r:id="rId7"/>
    <sheet name="PASIVO" sheetId="6" r:id="rId8"/>
    <sheet name="DETERMINACION IMP DIF" sheetId="8" r:id="rId9"/>
    <sheet name="DETERMINACION IMP CTE" sheetId="10" state="hidden" r:id="rId10"/>
    <sheet name="E.R.I." sheetId="11" state="hidden" r:id="rId11"/>
    <sheet name="E.S.F." sheetId="12" state="hidden" r:id="rId12"/>
  </sheets>
  <externalReferences>
    <externalReference r:id="rId13"/>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3" i="13" l="1"/>
  <c r="I58" i="8"/>
  <c r="H51" i="8"/>
  <c r="E58" i="8"/>
  <c r="D57" i="8"/>
  <c r="I57" i="8"/>
  <c r="H50" i="8"/>
  <c r="D55" i="8"/>
  <c r="D54" i="8"/>
  <c r="H16" i="8"/>
  <c r="E16" i="8"/>
  <c r="D16" i="8"/>
  <c r="H31" i="8"/>
  <c r="E31" i="8"/>
  <c r="D31" i="8"/>
  <c r="H11" i="8"/>
  <c r="E11" i="8"/>
  <c r="D11" i="8"/>
  <c r="H10" i="8"/>
  <c r="E10" i="8"/>
  <c r="D10" i="8"/>
  <c r="H9" i="8"/>
  <c r="E9" i="8"/>
  <c r="D9" i="8"/>
  <c r="H28" i="8"/>
  <c r="E28" i="8"/>
  <c r="D28" i="8"/>
  <c r="D25" i="6"/>
  <c r="D24" i="6"/>
  <c r="D34" i="4"/>
  <c r="E33" i="4"/>
  <c r="D44" i="5"/>
  <c r="C44" i="5"/>
  <c r="D42" i="5"/>
  <c r="C42" i="5"/>
  <c r="D41" i="5"/>
  <c r="C41" i="5"/>
  <c r="E29" i="3"/>
  <c r="E26" i="3"/>
  <c r="D26" i="3"/>
  <c r="E25" i="3"/>
  <c r="D25" i="3"/>
  <c r="D44" i="2"/>
  <c r="D42" i="2"/>
  <c r="D41" i="2"/>
  <c r="D22" i="2"/>
  <c r="D35" i="2"/>
  <c r="C35" i="2"/>
  <c r="C16" i="6"/>
  <c r="C32" i="5"/>
  <c r="D33" i="5" s="1"/>
  <c r="C30" i="5"/>
  <c r="C29" i="5"/>
  <c r="E26" i="5"/>
  <c r="D26" i="5"/>
  <c r="C8" i="5" l="1"/>
  <c r="C5" i="5"/>
  <c r="D7" i="4"/>
  <c r="J24" i="3"/>
  <c r="I23" i="3"/>
  <c r="H18" i="3"/>
  <c r="H17" i="3"/>
  <c r="F17" i="3"/>
  <c r="G17" i="3"/>
  <c r="E17" i="3"/>
  <c r="E16" i="3"/>
  <c r="F16" i="3"/>
  <c r="G16" i="3"/>
  <c r="D16" i="3"/>
  <c r="J27" i="3"/>
  <c r="I26" i="3"/>
  <c r="D15" i="2"/>
  <c r="D31" i="2"/>
  <c r="F167" i="10" l="1"/>
  <c r="F62" i="10"/>
  <c r="F154" i="10"/>
  <c r="F139" i="10"/>
  <c r="F123" i="10"/>
  <c r="E20" i="6"/>
  <c r="D19" i="6"/>
  <c r="D58" i="5"/>
  <c r="D57" i="5"/>
  <c r="C57" i="5"/>
  <c r="E27" i="5"/>
  <c r="D27" i="5"/>
  <c r="F100" i="1"/>
  <c r="D38" i="5"/>
  <c r="C37" i="5"/>
  <c r="C36" i="5"/>
  <c r="E22" i="4"/>
  <c r="D22" i="4"/>
  <c r="C22" i="3"/>
  <c r="C16" i="3"/>
  <c r="E37" i="2"/>
  <c r="D29" i="2"/>
  <c r="C58" i="5" l="1"/>
  <c r="G168" i="10"/>
  <c r="G167" i="10"/>
  <c r="G166" i="10"/>
  <c r="F165" i="10"/>
  <c r="D165" i="10"/>
  <c r="D162" i="10"/>
  <c r="C159" i="10"/>
  <c r="G158" i="10"/>
  <c r="G157" i="10"/>
  <c r="F156" i="10"/>
  <c r="E156" i="10"/>
  <c r="G155" i="10"/>
  <c r="G154" i="10"/>
  <c r="G152" i="10" s="1"/>
  <c r="G153" i="10"/>
  <c r="F152" i="10"/>
  <c r="E152" i="10"/>
  <c r="D152" i="10"/>
  <c r="G149" i="10"/>
  <c r="G148" i="10"/>
  <c r="G147" i="10"/>
  <c r="G146" i="10"/>
  <c r="G144" i="10"/>
  <c r="G143" i="10"/>
  <c r="G142" i="10"/>
  <c r="F141" i="10"/>
  <c r="E141" i="10"/>
  <c r="D141" i="10"/>
  <c r="G140" i="10"/>
  <c r="G139" i="10"/>
  <c r="G138" i="10"/>
  <c r="F137" i="10"/>
  <c r="E137" i="10"/>
  <c r="D137" i="10"/>
  <c r="G136" i="10"/>
  <c r="G133" i="10" s="1"/>
  <c r="G135" i="10"/>
  <c r="G134" i="10"/>
  <c r="F133" i="10"/>
  <c r="E133" i="10"/>
  <c r="D133" i="10"/>
  <c r="G132" i="10"/>
  <c r="G131" i="10"/>
  <c r="G130" i="10"/>
  <c r="G129" i="10" s="1"/>
  <c r="F129" i="10"/>
  <c r="E129" i="10"/>
  <c r="D129" i="10"/>
  <c r="G128" i="10"/>
  <c r="F125" i="10"/>
  <c r="E125" i="10"/>
  <c r="F121" i="10"/>
  <c r="E121" i="10"/>
  <c r="F116" i="10"/>
  <c r="E116" i="10"/>
  <c r="F112" i="10"/>
  <c r="E112" i="10"/>
  <c r="F110" i="10"/>
  <c r="E110" i="10"/>
  <c r="F108" i="10"/>
  <c r="F95" i="10"/>
  <c r="E95" i="10"/>
  <c r="G94" i="10"/>
  <c r="E91" i="10"/>
  <c r="F89" i="10"/>
  <c r="E89" i="10"/>
  <c r="F81" i="10"/>
  <c r="E81" i="10"/>
  <c r="E80" i="10" s="1"/>
  <c r="F80" i="10"/>
  <c r="F76" i="10"/>
  <c r="E76" i="10"/>
  <c r="F72" i="10"/>
  <c r="E72" i="10"/>
  <c r="E69" i="10"/>
  <c r="E68" i="10" s="1"/>
  <c r="F68" i="10"/>
  <c r="F64" i="10"/>
  <c r="E64" i="10"/>
  <c r="F59" i="10"/>
  <c r="E59" i="10"/>
  <c r="F55" i="10"/>
  <c r="F54" i="10"/>
  <c r="F53" i="10"/>
  <c r="E51" i="10"/>
  <c r="F49" i="10"/>
  <c r="E49" i="10"/>
  <c r="F46" i="10"/>
  <c r="E46" i="10"/>
  <c r="F43" i="10"/>
  <c r="F40" i="10"/>
  <c r="F29" i="10"/>
  <c r="E29" i="10"/>
  <c r="F27" i="10"/>
  <c r="E27" i="10"/>
  <c r="F25" i="10"/>
  <c r="E25" i="10"/>
  <c r="F19" i="10"/>
  <c r="E19" i="10"/>
  <c r="F15" i="10"/>
  <c r="E15" i="10"/>
  <c r="F6" i="10"/>
  <c r="E6" i="10"/>
  <c r="F51" i="10" l="1"/>
  <c r="F39" i="10" s="1"/>
  <c r="G137" i="10"/>
  <c r="G141" i="10"/>
  <c r="D69" i="8" l="1"/>
  <c r="E69" i="8"/>
  <c r="F53" i="1" l="1"/>
  <c r="D9" i="4"/>
  <c r="E10" i="4" s="1"/>
  <c r="D38" i="2"/>
  <c r="C38" i="2"/>
  <c r="E42" i="1" l="1"/>
  <c r="E42" i="10"/>
  <c r="E40" i="10" s="1"/>
  <c r="D23" i="4"/>
  <c r="D24" i="4" s="1"/>
  <c r="F35" i="1"/>
  <c r="E14" i="1"/>
  <c r="F54" i="1"/>
  <c r="E27" i="3"/>
  <c r="E71" i="8"/>
  <c r="H56" i="8"/>
  <c r="H49" i="8"/>
  <c r="C58" i="8"/>
  <c r="C57" i="8"/>
  <c r="J29" i="8"/>
  <c r="J30" i="8"/>
  <c r="J32" i="8"/>
  <c r="J33" i="8"/>
  <c r="J34" i="8"/>
  <c r="J12" i="8"/>
  <c r="J13" i="8"/>
  <c r="J14" i="8"/>
  <c r="J15" i="8"/>
  <c r="J17" i="8"/>
  <c r="J18" i="8"/>
  <c r="J19" i="8"/>
  <c r="J20" i="8"/>
  <c r="J21" i="8"/>
  <c r="J22" i="8"/>
  <c r="J23" i="8"/>
  <c r="F29" i="8"/>
  <c r="F30" i="8"/>
  <c r="C12" i="6"/>
  <c r="C3" i="6"/>
  <c r="C2" i="6" s="1"/>
  <c r="B37" i="5"/>
  <c r="B36" i="5"/>
  <c r="C18" i="5"/>
  <c r="C14" i="5"/>
  <c r="C12" i="5"/>
  <c r="C9" i="5"/>
  <c r="C3" i="5"/>
  <c r="E24" i="4"/>
  <c r="D2" i="4"/>
  <c r="F38" i="1" l="1"/>
  <c r="F34" i="10"/>
  <c r="F24" i="10" s="1"/>
  <c r="E151" i="10"/>
  <c r="E115" i="10" s="1"/>
  <c r="F109" i="10"/>
  <c r="F106" i="10" s="1"/>
  <c r="F104" i="10" s="1"/>
  <c r="F101" i="10" s="1"/>
  <c r="E12" i="10"/>
  <c r="E11" i="10" s="1"/>
  <c r="F11" i="8"/>
  <c r="F58" i="1"/>
  <c r="C61" i="5"/>
  <c r="C43" i="5"/>
  <c r="E25" i="4"/>
  <c r="F10" i="8"/>
  <c r="D27" i="3"/>
  <c r="C25" i="3"/>
  <c r="D15" i="3"/>
  <c r="F14" i="3"/>
  <c r="E13" i="3"/>
  <c r="D12" i="3"/>
  <c r="D5" i="3"/>
  <c r="D6" i="3"/>
  <c r="I45" i="8"/>
  <c r="E45" i="8"/>
  <c r="D45" i="8"/>
  <c r="K44" i="8"/>
  <c r="J44" i="8"/>
  <c r="H43" i="8"/>
  <c r="J43" i="8" s="1"/>
  <c r="F43" i="8"/>
  <c r="K43" i="8" s="1"/>
  <c r="F42" i="8"/>
  <c r="K42" i="8" s="1"/>
  <c r="K41" i="8"/>
  <c r="F41" i="8"/>
  <c r="H41" i="8" s="1"/>
  <c r="J41" i="8" s="1"/>
  <c r="F40" i="8"/>
  <c r="H40" i="8" s="1"/>
  <c r="J40" i="8" s="1"/>
  <c r="K39" i="8"/>
  <c r="F39" i="8"/>
  <c r="H39" i="8" s="1"/>
  <c r="J39" i="8" s="1"/>
  <c r="F38" i="8"/>
  <c r="K38" i="8" s="1"/>
  <c r="F37" i="8"/>
  <c r="K37" i="8" s="1"/>
  <c r="F36" i="8"/>
  <c r="K36" i="8" s="1"/>
  <c r="K35" i="8"/>
  <c r="J35" i="8"/>
  <c r="K34" i="8"/>
  <c r="K33" i="8"/>
  <c r="K32" i="8"/>
  <c r="K30" i="8"/>
  <c r="K29" i="8"/>
  <c r="K27" i="8"/>
  <c r="J27" i="8"/>
  <c r="I25" i="8"/>
  <c r="F24" i="8"/>
  <c r="K24" i="8" s="1"/>
  <c r="F23" i="8"/>
  <c r="K23" i="8" s="1"/>
  <c r="F22" i="8"/>
  <c r="H22" i="8" s="1"/>
  <c r="F21" i="8"/>
  <c r="H21" i="8" s="1"/>
  <c r="F20" i="8"/>
  <c r="H20" i="8" s="1"/>
  <c r="F19" i="8"/>
  <c r="K19" i="8" s="1"/>
  <c r="F18" i="8"/>
  <c r="K18" i="8" s="1"/>
  <c r="F17" i="8"/>
  <c r="K17" i="8" s="1"/>
  <c r="F15" i="8"/>
  <c r="F13" i="8"/>
  <c r="K13" i="8" s="1"/>
  <c r="F12" i="8"/>
  <c r="K12" i="8" s="1"/>
  <c r="A9" i="8"/>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J8" i="8"/>
  <c r="F8" i="8"/>
  <c r="K8" i="8" s="1"/>
  <c r="A8" i="8"/>
  <c r="K7" i="8"/>
  <c r="H7" i="8"/>
  <c r="F7" i="8"/>
  <c r="A7" i="8"/>
  <c r="E28" i="3" l="1"/>
  <c r="E38" i="3" s="1"/>
  <c r="F37" i="3" s="1"/>
  <c r="E169" i="10"/>
  <c r="F36" i="10"/>
  <c r="D60" i="5"/>
  <c r="D61" i="5" s="1"/>
  <c r="J10" i="8"/>
  <c r="G25" i="4"/>
  <c r="D26" i="6"/>
  <c r="F16" i="8"/>
  <c r="E25" i="8"/>
  <c r="K20" i="8"/>
  <c r="H24" i="8"/>
  <c r="J24" i="8" s="1"/>
  <c r="K40" i="8"/>
  <c r="H18" i="8"/>
  <c r="K21" i="8"/>
  <c r="K22" i="8"/>
  <c r="H37" i="8"/>
  <c r="J37" i="8" s="1"/>
  <c r="K15" i="8"/>
  <c r="J7" i="8"/>
  <c r="F14" i="8"/>
  <c r="H19" i="8"/>
  <c r="H38" i="8"/>
  <c r="J38" i="8" s="1"/>
  <c r="H42" i="8"/>
  <c r="J42" i="8" s="1"/>
  <c r="H17" i="8"/>
  <c r="H23" i="8"/>
  <c r="H36" i="8"/>
  <c r="J36" i="8" s="1"/>
  <c r="K10" i="8" l="1"/>
  <c r="E165" i="10"/>
  <c r="G169" i="10"/>
  <c r="G165" i="10" s="1"/>
  <c r="E26" i="6"/>
  <c r="E32" i="6" s="1"/>
  <c r="C65" i="5"/>
  <c r="D64" i="5" s="1"/>
  <c r="F9" i="8"/>
  <c r="J9" i="8"/>
  <c r="D25" i="8"/>
  <c r="K14" i="8"/>
  <c r="F71" i="1" l="1"/>
  <c r="D33" i="6"/>
  <c r="H25" i="8" s="1"/>
  <c r="D49" i="8" s="1"/>
  <c r="J11" i="8"/>
  <c r="K11" i="8"/>
  <c r="K9" i="8"/>
  <c r="J16" i="8" l="1"/>
  <c r="J25" i="8" s="1"/>
  <c r="K16" i="8"/>
  <c r="H52" i="8"/>
  <c r="D23" i="2"/>
  <c r="D20" i="2"/>
  <c r="D16" i="2"/>
  <c r="E62" i="1" l="1"/>
  <c r="G168" i="1"/>
  <c r="G167" i="1"/>
  <c r="G166" i="1"/>
  <c r="F165" i="1"/>
  <c r="D165" i="1"/>
  <c r="F162" i="1"/>
  <c r="D162" i="1"/>
  <c r="G161" i="1"/>
  <c r="D161" i="10" s="1"/>
  <c r="G161" i="10" s="1"/>
  <c r="G160" i="1"/>
  <c r="D160" i="10" s="1"/>
  <c r="G160" i="10" s="1"/>
  <c r="G159" i="1"/>
  <c r="D159" i="10" s="1"/>
  <c r="C159" i="1"/>
  <c r="G158" i="1"/>
  <c r="G157" i="1"/>
  <c r="F156" i="1"/>
  <c r="D156" i="1"/>
  <c r="G155" i="1"/>
  <c r="G154" i="1"/>
  <c r="G153" i="1"/>
  <c r="F152" i="1"/>
  <c r="E152" i="1"/>
  <c r="D152" i="1"/>
  <c r="F151" i="1"/>
  <c r="G150" i="1"/>
  <c r="D150" i="10" s="1"/>
  <c r="G150" i="10" s="1"/>
  <c r="G149" i="1"/>
  <c r="G148" i="1"/>
  <c r="G147" i="1"/>
  <c r="G146" i="1"/>
  <c r="G144" i="1"/>
  <c r="G143" i="1"/>
  <c r="G142" i="1"/>
  <c r="F141" i="1"/>
  <c r="E141" i="1"/>
  <c r="D141" i="1"/>
  <c r="G140" i="1"/>
  <c r="G139" i="1"/>
  <c r="G138" i="1"/>
  <c r="F137" i="1"/>
  <c r="E137" i="1"/>
  <c r="D137" i="1"/>
  <c r="G136" i="1"/>
  <c r="G135" i="1"/>
  <c r="G134" i="1"/>
  <c r="F133" i="1"/>
  <c r="E133" i="1"/>
  <c r="D133" i="1"/>
  <c r="G132" i="1"/>
  <c r="G131" i="1"/>
  <c r="G130" i="1"/>
  <c r="F129" i="1"/>
  <c r="E129" i="1"/>
  <c r="D129" i="1"/>
  <c r="G128" i="1"/>
  <c r="G127" i="1"/>
  <c r="D127" i="10" s="1"/>
  <c r="G127" i="10" s="1"/>
  <c r="G126" i="1"/>
  <c r="D126" i="10" s="1"/>
  <c r="F125" i="1"/>
  <c r="E125" i="1"/>
  <c r="D125" i="1"/>
  <c r="G124" i="1"/>
  <c r="D124" i="10" s="1"/>
  <c r="G124" i="10" s="1"/>
  <c r="G123" i="1"/>
  <c r="D123" i="10" s="1"/>
  <c r="G123" i="10" s="1"/>
  <c r="G122" i="1"/>
  <c r="D122" i="10" s="1"/>
  <c r="F121" i="1"/>
  <c r="E121" i="1"/>
  <c r="D121" i="1"/>
  <c r="G120" i="1"/>
  <c r="D120" i="10" s="1"/>
  <c r="G120" i="10" s="1"/>
  <c r="G119" i="1"/>
  <c r="D119" i="10" s="1"/>
  <c r="G119" i="10" s="1"/>
  <c r="G118" i="1"/>
  <c r="D118" i="10" s="1"/>
  <c r="G118" i="10" s="1"/>
  <c r="G117" i="1"/>
  <c r="D117" i="10" s="1"/>
  <c r="F116" i="1"/>
  <c r="E116" i="1"/>
  <c r="D116" i="1"/>
  <c r="G113" i="1"/>
  <c r="D113" i="10" s="1"/>
  <c r="F112" i="1"/>
  <c r="E112" i="1"/>
  <c r="D112" i="1"/>
  <c r="G111" i="1"/>
  <c r="F110" i="1"/>
  <c r="E110" i="1"/>
  <c r="D110" i="1"/>
  <c r="G107" i="1"/>
  <c r="D107" i="10" s="1"/>
  <c r="E106" i="1"/>
  <c r="E104" i="1" s="1"/>
  <c r="D106" i="1"/>
  <c r="D104" i="1" s="1"/>
  <c r="G105" i="1"/>
  <c r="D105" i="10" s="1"/>
  <c r="G103" i="1"/>
  <c r="D103" i="10" s="1"/>
  <c r="G103" i="10" s="1"/>
  <c r="G102" i="1"/>
  <c r="D102" i="10" s="1"/>
  <c r="G100" i="1"/>
  <c r="D100" i="10" s="1"/>
  <c r="G100" i="10" s="1"/>
  <c r="G99" i="1"/>
  <c r="D99" i="10" s="1"/>
  <c r="G99" i="10" s="1"/>
  <c r="G98" i="1"/>
  <c r="D98" i="10" s="1"/>
  <c r="G98" i="10" s="1"/>
  <c r="G97" i="1"/>
  <c r="D97" i="10" s="1"/>
  <c r="G97" i="10" s="1"/>
  <c r="G96" i="1"/>
  <c r="D96" i="10" s="1"/>
  <c r="F95" i="1"/>
  <c r="E95" i="1"/>
  <c r="D95" i="1"/>
  <c r="G94" i="1"/>
  <c r="E91" i="1"/>
  <c r="D91" i="1"/>
  <c r="G90" i="1"/>
  <c r="E89" i="1"/>
  <c r="D89" i="1"/>
  <c r="G88" i="1"/>
  <c r="D88" i="10" s="1"/>
  <c r="G88" i="10" s="1"/>
  <c r="G87" i="1"/>
  <c r="D87" i="10" s="1"/>
  <c r="G87" i="10" s="1"/>
  <c r="G86" i="1"/>
  <c r="D86" i="10" s="1"/>
  <c r="G86" i="10" s="1"/>
  <c r="G85" i="1"/>
  <c r="D85" i="10" s="1"/>
  <c r="G85" i="10" s="1"/>
  <c r="G84" i="1"/>
  <c r="D84" i="10" s="1"/>
  <c r="G84" i="10" s="1"/>
  <c r="G83" i="1"/>
  <c r="D83" i="10" s="1"/>
  <c r="G83" i="10" s="1"/>
  <c r="G82" i="1"/>
  <c r="D82" i="10" s="1"/>
  <c r="F81" i="1"/>
  <c r="F80" i="1" s="1"/>
  <c r="E81" i="1"/>
  <c r="E80" i="1" s="1"/>
  <c r="D81" i="1"/>
  <c r="D80" i="1" s="1"/>
  <c r="G79" i="1"/>
  <c r="D79" i="10" s="1"/>
  <c r="G78" i="1"/>
  <c r="D78" i="10" s="1"/>
  <c r="G78" i="10" s="1"/>
  <c r="D76" i="1"/>
  <c r="G75" i="1"/>
  <c r="D75" i="10" s="1"/>
  <c r="G75" i="10" s="1"/>
  <c r="G74" i="1"/>
  <c r="D74" i="10" s="1"/>
  <c r="G74" i="10" s="1"/>
  <c r="G73" i="1"/>
  <c r="D73" i="10" s="1"/>
  <c r="F72" i="1"/>
  <c r="E72" i="1"/>
  <c r="D72" i="1"/>
  <c r="G70" i="1"/>
  <c r="D70" i="10" s="1"/>
  <c r="G70" i="10" s="1"/>
  <c r="E69" i="1"/>
  <c r="E68" i="1" s="1"/>
  <c r="D69" i="1"/>
  <c r="D68" i="1" s="1"/>
  <c r="G67" i="1"/>
  <c r="G66" i="1"/>
  <c r="D66" i="10" s="1"/>
  <c r="G66" i="10" s="1"/>
  <c r="G65" i="1"/>
  <c r="D65" i="10" s="1"/>
  <c r="F64" i="1"/>
  <c r="E64" i="1"/>
  <c r="D64" i="1"/>
  <c r="G63" i="1"/>
  <c r="D63" i="10" s="1"/>
  <c r="F62" i="1"/>
  <c r="D62" i="1"/>
  <c r="G61" i="1"/>
  <c r="D61" i="10" s="1"/>
  <c r="G61" i="10" s="1"/>
  <c r="G60" i="1"/>
  <c r="D60" i="10" s="1"/>
  <c r="E59" i="1"/>
  <c r="D59" i="1"/>
  <c r="G58" i="1"/>
  <c r="D58" i="10" s="1"/>
  <c r="G57" i="1"/>
  <c r="D57" i="10" s="1"/>
  <c r="G57" i="10" s="1"/>
  <c r="G56" i="1"/>
  <c r="D56" i="10" s="1"/>
  <c r="D55" i="1"/>
  <c r="G54" i="1"/>
  <c r="D54" i="10" s="1"/>
  <c r="G54" i="10" s="1"/>
  <c r="G53" i="1"/>
  <c r="D53" i="10" s="1"/>
  <c r="G53" i="10" s="1"/>
  <c r="G52" i="1"/>
  <c r="D52" i="10" s="1"/>
  <c r="F51" i="1"/>
  <c r="E51" i="1"/>
  <c r="D51" i="1"/>
  <c r="G50" i="1"/>
  <c r="D50" i="10" s="1"/>
  <c r="F49" i="1"/>
  <c r="E49" i="1"/>
  <c r="D49" i="1"/>
  <c r="G48" i="1"/>
  <c r="D48" i="10" s="1"/>
  <c r="G48" i="10" s="1"/>
  <c r="G47" i="1"/>
  <c r="D47" i="10" s="1"/>
  <c r="E46" i="1"/>
  <c r="D46" i="1"/>
  <c r="G44" i="1"/>
  <c r="D44" i="10" s="1"/>
  <c r="F43" i="1"/>
  <c r="D43" i="1"/>
  <c r="G41" i="1"/>
  <c r="D41" i="10" s="1"/>
  <c r="F40" i="1"/>
  <c r="D40" i="1"/>
  <c r="G38" i="1"/>
  <c r="D38" i="10" s="1"/>
  <c r="G37" i="1"/>
  <c r="D37" i="10" s="1"/>
  <c r="E36" i="1"/>
  <c r="D36" i="1"/>
  <c r="E34" i="1"/>
  <c r="D34" i="1"/>
  <c r="G33" i="1"/>
  <c r="D33" i="10" s="1"/>
  <c r="G33" i="10" s="1"/>
  <c r="G31" i="1"/>
  <c r="D31" i="10" s="1"/>
  <c r="G31" i="10" s="1"/>
  <c r="D29" i="1"/>
  <c r="G28" i="1"/>
  <c r="F27" i="1"/>
  <c r="E27" i="1"/>
  <c r="D27" i="1"/>
  <c r="G26" i="1"/>
  <c r="E25" i="1"/>
  <c r="F25" i="1"/>
  <c r="D25" i="1"/>
  <c r="G23" i="1"/>
  <c r="D23" i="10" s="1"/>
  <c r="D22" i="1"/>
  <c r="G22" i="1" s="1"/>
  <c r="F108" i="1"/>
  <c r="G108" i="1" s="1"/>
  <c r="D108" i="10" s="1"/>
  <c r="G108" i="10" s="1"/>
  <c r="G20" i="1"/>
  <c r="D20" i="10" s="1"/>
  <c r="F19" i="1"/>
  <c r="D19" i="1"/>
  <c r="G18" i="1"/>
  <c r="D18" i="10" s="1"/>
  <c r="G18" i="10" s="1"/>
  <c r="G17" i="1"/>
  <c r="D17" i="10" s="1"/>
  <c r="G17" i="10" s="1"/>
  <c r="G16" i="1"/>
  <c r="D16" i="10" s="1"/>
  <c r="F15" i="1"/>
  <c r="E15" i="1"/>
  <c r="D15" i="1"/>
  <c r="G14" i="1"/>
  <c r="D14" i="10" s="1"/>
  <c r="F109" i="1"/>
  <c r="G13" i="1"/>
  <c r="D13" i="10" s="1"/>
  <c r="F12" i="1"/>
  <c r="D12" i="1"/>
  <c r="G10" i="1"/>
  <c r="D10" i="10" s="1"/>
  <c r="G10" i="10" s="1"/>
  <c r="G9" i="1"/>
  <c r="D9" i="10" s="1"/>
  <c r="G9" i="10" s="1"/>
  <c r="G8" i="1"/>
  <c r="D8" i="10" s="1"/>
  <c r="G8" i="10" s="1"/>
  <c r="G7" i="1"/>
  <c r="D7" i="10" s="1"/>
  <c r="F6" i="1"/>
  <c r="E6" i="1"/>
  <c r="D6" i="1"/>
  <c r="E58" i="10" l="1"/>
  <c r="E55" i="10" s="1"/>
  <c r="E38" i="10"/>
  <c r="E36" i="10" s="1"/>
  <c r="F14" i="10"/>
  <c r="F12" i="10" s="1"/>
  <c r="F11" i="10" s="1"/>
  <c r="G96" i="10"/>
  <c r="G95" i="10" s="1"/>
  <c r="D95" i="10"/>
  <c r="G113" i="10"/>
  <c r="G112" i="10" s="1"/>
  <c r="D112" i="10"/>
  <c r="G7" i="10"/>
  <c r="G6" i="10" s="1"/>
  <c r="D6" i="10"/>
  <c r="D15" i="10"/>
  <c r="G16" i="10"/>
  <c r="G15" i="10" s="1"/>
  <c r="G25" i="1"/>
  <c r="D26" i="10"/>
  <c r="G37" i="10"/>
  <c r="D36" i="10"/>
  <c r="G56" i="10"/>
  <c r="D55" i="10"/>
  <c r="G105" i="10"/>
  <c r="G159" i="10"/>
  <c r="G156" i="10" s="1"/>
  <c r="D156" i="10"/>
  <c r="D59" i="10"/>
  <c r="G60" i="10"/>
  <c r="G59" i="10" s="1"/>
  <c r="G13" i="10"/>
  <c r="D12" i="10"/>
  <c r="G44" i="10"/>
  <c r="G65" i="10"/>
  <c r="G82" i="10"/>
  <c r="G81" i="10" s="1"/>
  <c r="G80" i="10" s="1"/>
  <c r="D81" i="10"/>
  <c r="D80" i="10" s="1"/>
  <c r="G110" i="1"/>
  <c r="D111" i="10"/>
  <c r="G20" i="10"/>
  <c r="G52" i="10"/>
  <c r="G51" i="10" s="1"/>
  <c r="D51" i="10"/>
  <c r="G63" i="10"/>
  <c r="G62" i="10" s="1"/>
  <c r="D62" i="10"/>
  <c r="G64" i="1"/>
  <c r="D67" i="10"/>
  <c r="G67" i="10" s="1"/>
  <c r="G79" i="10"/>
  <c r="G107" i="10"/>
  <c r="G117" i="10"/>
  <c r="D116" i="10"/>
  <c r="G47" i="10"/>
  <c r="G46" i="10" s="1"/>
  <c r="D46" i="10"/>
  <c r="G23" i="10"/>
  <c r="D22" i="10"/>
  <c r="G22" i="10" s="1"/>
  <c r="G27" i="1"/>
  <c r="D28" i="10"/>
  <c r="G41" i="10"/>
  <c r="D49" i="10"/>
  <c r="G50" i="10"/>
  <c r="G49" i="10" s="1"/>
  <c r="G73" i="10"/>
  <c r="G72" i="10" s="1"/>
  <c r="D72" i="10"/>
  <c r="G89" i="1"/>
  <c r="D90" i="10"/>
  <c r="G102" i="10"/>
  <c r="G116" i="10"/>
  <c r="G122" i="10"/>
  <c r="G121" i="10" s="1"/>
  <c r="D121" i="10"/>
  <c r="D125" i="10"/>
  <c r="G126" i="10"/>
  <c r="G125" i="10" s="1"/>
  <c r="G72" i="1"/>
  <c r="G59" i="1"/>
  <c r="D115" i="1"/>
  <c r="D114" i="1" s="1"/>
  <c r="G81" i="1"/>
  <c r="G80" i="1" s="1"/>
  <c r="D11" i="1"/>
  <c r="D24" i="1"/>
  <c r="F89" i="1"/>
  <c r="D101" i="1"/>
  <c r="F115" i="1"/>
  <c r="F114" i="1" s="1"/>
  <c r="E12" i="1"/>
  <c r="F55" i="1"/>
  <c r="E101" i="1"/>
  <c r="F11" i="1"/>
  <c r="G156" i="1"/>
  <c r="G12" i="1"/>
  <c r="F36" i="1"/>
  <c r="G109" i="1"/>
  <c r="F29" i="1"/>
  <c r="G30" i="1"/>
  <c r="D30" i="10" s="1"/>
  <c r="E151" i="1"/>
  <c r="G121" i="1"/>
  <c r="G36" i="1"/>
  <c r="D39" i="1"/>
  <c r="E40" i="1"/>
  <c r="G152" i="1"/>
  <c r="F76" i="1"/>
  <c r="G15" i="1"/>
  <c r="E169" i="1"/>
  <c r="G42" i="1"/>
  <c r="D42" i="10" s="1"/>
  <c r="G42" i="10" s="1"/>
  <c r="G46" i="1"/>
  <c r="G71" i="1"/>
  <c r="D71" i="10" s="1"/>
  <c r="G71" i="10" s="1"/>
  <c r="F68" i="1"/>
  <c r="F106" i="1"/>
  <c r="F104" i="1" s="1"/>
  <c r="F101" i="1" s="1"/>
  <c r="G21" i="1"/>
  <c r="D21" i="10" s="1"/>
  <c r="G21" i="10" s="1"/>
  <c r="G55" i="1"/>
  <c r="E19" i="1"/>
  <c r="G35" i="1"/>
  <c r="D35" i="10" s="1"/>
  <c r="G51" i="1"/>
  <c r="G125" i="1"/>
  <c r="G62" i="1"/>
  <c r="G6" i="1"/>
  <c r="F34" i="1"/>
  <c r="E55" i="1"/>
  <c r="G112" i="1"/>
  <c r="G95" i="1"/>
  <c r="G129" i="1"/>
  <c r="G137" i="1"/>
  <c r="F46" i="1"/>
  <c r="F59" i="1"/>
  <c r="G116" i="1"/>
  <c r="G133" i="1"/>
  <c r="G141" i="1"/>
  <c r="E156" i="1"/>
  <c r="G49" i="1"/>
  <c r="G58" i="10" l="1"/>
  <c r="G55" i="10" s="1"/>
  <c r="G40" i="10"/>
  <c r="G38" i="10"/>
  <c r="G36" i="10" s="1"/>
  <c r="G14" i="10"/>
  <c r="G12" i="10" s="1"/>
  <c r="G11" i="10" s="1"/>
  <c r="D40" i="10"/>
  <c r="G90" i="10"/>
  <c r="G89" i="10" s="1"/>
  <c r="D89" i="10"/>
  <c r="G111" i="10"/>
  <c r="G110" i="10" s="1"/>
  <c r="D110" i="10"/>
  <c r="D34" i="10"/>
  <c r="G35" i="10"/>
  <c r="G30" i="10"/>
  <c r="D29" i="10"/>
  <c r="D24" i="10" s="1"/>
  <c r="D27" i="10"/>
  <c r="G28" i="10"/>
  <c r="G27" i="10" s="1"/>
  <c r="D25" i="10"/>
  <c r="G26" i="10"/>
  <c r="G25" i="10" s="1"/>
  <c r="G19" i="10"/>
  <c r="D64" i="10"/>
  <c r="G106" i="1"/>
  <c r="G104" i="1" s="1"/>
  <c r="G101" i="1" s="1"/>
  <c r="D109" i="10"/>
  <c r="E109" i="10" s="1"/>
  <c r="E106" i="10" s="1"/>
  <c r="E104" i="10" s="1"/>
  <c r="E101" i="10" s="1"/>
  <c r="D19" i="10"/>
  <c r="D11" i="10" s="1"/>
  <c r="G64" i="10"/>
  <c r="F39" i="1"/>
  <c r="E11" i="1"/>
  <c r="G32" i="1"/>
  <c r="D32" i="10" s="1"/>
  <c r="G32" i="10" s="1"/>
  <c r="E29" i="1"/>
  <c r="E24" i="1" s="1"/>
  <c r="G34" i="1"/>
  <c r="G151" i="1"/>
  <c r="D151" i="10" s="1"/>
  <c r="E115" i="1"/>
  <c r="G19" i="1"/>
  <c r="G11" i="1" s="1"/>
  <c r="G69" i="1"/>
  <c r="F24" i="1"/>
  <c r="G40" i="1"/>
  <c r="E165" i="1"/>
  <c r="G169" i="1"/>
  <c r="F151" i="10" l="1"/>
  <c r="F115" i="10" s="1"/>
  <c r="E34" i="10"/>
  <c r="E24" i="10" s="1"/>
  <c r="D115" i="10"/>
  <c r="D114" i="10" s="1"/>
  <c r="G29" i="10"/>
  <c r="G109" i="10"/>
  <c r="G106" i="10" s="1"/>
  <c r="G104" i="10" s="1"/>
  <c r="G101" i="10" s="1"/>
  <c r="D106" i="10"/>
  <c r="D104" i="10" s="1"/>
  <c r="D101" i="10" s="1"/>
  <c r="G68" i="1"/>
  <c r="D69" i="10"/>
  <c r="G165" i="1"/>
  <c r="G115" i="1"/>
  <c r="G77" i="1"/>
  <c r="D77" i="10" s="1"/>
  <c r="E76" i="1"/>
  <c r="G163" i="1"/>
  <c r="G163" i="10" s="1"/>
  <c r="G29" i="1"/>
  <c r="G24" i="1" s="1"/>
  <c r="G34" i="10" l="1"/>
  <c r="G24" i="10" s="1"/>
  <c r="G151" i="10"/>
  <c r="G115" i="10" s="1"/>
  <c r="G77" i="10"/>
  <c r="G76" i="10" s="1"/>
  <c r="D76" i="10"/>
  <c r="D68" i="10"/>
  <c r="G69" i="10"/>
  <c r="G68" i="10" s="1"/>
  <c r="G76" i="1"/>
  <c r="D13" i="2" l="1"/>
  <c r="D12" i="2" s="1"/>
  <c r="F28" i="8" l="1"/>
  <c r="D43" i="2"/>
  <c r="E54" i="2" s="1"/>
  <c r="D53" i="2"/>
  <c r="K28" i="8" l="1"/>
  <c r="J28" i="8"/>
  <c r="E45" i="10" l="1"/>
  <c r="E43" i="10" s="1"/>
  <c r="E39" i="10" s="1"/>
  <c r="E45" i="1"/>
  <c r="E43" i="1" s="1"/>
  <c r="E39" i="1" s="1"/>
  <c r="C6" i="5"/>
  <c r="F31" i="8" s="1"/>
  <c r="D43" i="5" l="1"/>
  <c r="G45" i="1"/>
  <c r="C52" i="5" l="1"/>
  <c r="D53" i="5" s="1"/>
  <c r="K31" i="8" s="1"/>
  <c r="G43" i="1"/>
  <c r="G39" i="1" s="1"/>
  <c r="D45" i="10"/>
  <c r="J31" i="8" l="1"/>
  <c r="J45" i="8" s="1"/>
  <c r="H45" i="8"/>
  <c r="D50" i="8" s="1"/>
  <c r="G45" i="10"/>
  <c r="G43" i="10" s="1"/>
  <c r="G39" i="10" s="1"/>
  <c r="D43" i="10"/>
  <c r="D39" i="10" s="1"/>
  <c r="I59" i="8" l="1"/>
  <c r="F92" i="1" l="1"/>
  <c r="D59" i="8"/>
  <c r="F92" i="10"/>
  <c r="F91" i="10" s="1"/>
  <c r="E164" i="10" l="1"/>
  <c r="E164" i="1"/>
  <c r="D70" i="8"/>
  <c r="D71" i="8" s="1"/>
  <c r="G92" i="1"/>
  <c r="F91" i="1"/>
  <c r="D92" i="10" l="1"/>
  <c r="G91" i="1"/>
  <c r="E162" i="1"/>
  <c r="E114" i="1" s="1"/>
  <c r="G164" i="1"/>
  <c r="G162" i="1" s="1"/>
  <c r="G114" i="1" s="1"/>
  <c r="F164" i="10"/>
  <c r="E162" i="10"/>
  <c r="E114" i="10" s="1"/>
  <c r="F162" i="10" l="1"/>
  <c r="F114" i="10" s="1"/>
  <c r="G164" i="10"/>
  <c r="G162" i="10" s="1"/>
  <c r="G114" i="10" s="1"/>
  <c r="D91" i="10"/>
  <c r="G92" i="10"/>
  <c r="G91" i="10" s="1"/>
</calcChain>
</file>

<file path=xl/sharedStrings.xml><?xml version="1.0" encoding="utf-8"?>
<sst xmlns="http://schemas.openxmlformats.org/spreadsheetml/2006/main" count="808" uniqueCount="317">
  <si>
    <t>BALANCE DE PRUEBA  CONTABLE</t>
  </si>
  <si>
    <t xml:space="preserve">Cuenta </t>
  </si>
  <si>
    <t>Concepto</t>
  </si>
  <si>
    <t>Saldo inicial</t>
  </si>
  <si>
    <t>Debe</t>
  </si>
  <si>
    <t>Haber</t>
  </si>
  <si>
    <t>Saldo final</t>
  </si>
  <si>
    <t>Efectivo y Equivalentes</t>
  </si>
  <si>
    <t>Caja</t>
  </si>
  <si>
    <t>Bancos</t>
  </si>
  <si>
    <t>Efectivo restringido</t>
  </si>
  <si>
    <t>Equivalentes al efectivo</t>
  </si>
  <si>
    <t>Inversiones</t>
  </si>
  <si>
    <t>Inversiones al Valor Razonable (Instrumentos Financieros)</t>
  </si>
  <si>
    <t>1205XX</t>
  </si>
  <si>
    <t>Costo de Adquisición</t>
  </si>
  <si>
    <t>1205xxxx</t>
  </si>
  <si>
    <t>Diferencia por mediciones al valor razonable</t>
  </si>
  <si>
    <t>Inversiones al Valor Razonable (Asociadas)</t>
  </si>
  <si>
    <t>1210xx</t>
  </si>
  <si>
    <t>1210xxxx</t>
  </si>
  <si>
    <t>Método departicipación</t>
  </si>
  <si>
    <t>Inversiones al Costo Amortizado (CDT)</t>
  </si>
  <si>
    <t>1250xx</t>
  </si>
  <si>
    <t>1250xxxx</t>
  </si>
  <si>
    <t>Diferencia por medición al costo amortizado</t>
  </si>
  <si>
    <t>Deterioro de Inversiones</t>
  </si>
  <si>
    <t>1299xx</t>
  </si>
  <si>
    <t>Deterioro</t>
  </si>
  <si>
    <t>Deudores</t>
  </si>
  <si>
    <t>Clientes</t>
  </si>
  <si>
    <t>1305xx</t>
  </si>
  <si>
    <t>Nacionales</t>
  </si>
  <si>
    <t>A Socios y/o Accionistas</t>
  </si>
  <si>
    <t>1325xx</t>
  </si>
  <si>
    <t>A Socios</t>
  </si>
  <si>
    <t>Anticipo de impuestos</t>
  </si>
  <si>
    <t>1355xx</t>
  </si>
  <si>
    <t>Retenciones en la fuente</t>
  </si>
  <si>
    <t>Autorretenciones</t>
  </si>
  <si>
    <t>1355xxx</t>
  </si>
  <si>
    <t>Saldo a favor 2022</t>
  </si>
  <si>
    <t>1355XX</t>
  </si>
  <si>
    <t>Descuentos tributarios</t>
  </si>
  <si>
    <t>Deterioro De Cartera</t>
  </si>
  <si>
    <t>1399xx</t>
  </si>
  <si>
    <t>De Clientes</t>
  </si>
  <si>
    <t>Inventarios</t>
  </si>
  <si>
    <t>Producto No Fabricado Por La Entidad</t>
  </si>
  <si>
    <t>Deterioro Inventario</t>
  </si>
  <si>
    <t>Propiedades Planta y Equipo</t>
  </si>
  <si>
    <t>Terreno</t>
  </si>
  <si>
    <t>Costo Terreno</t>
  </si>
  <si>
    <t>Valor revaluación del Terreno</t>
  </si>
  <si>
    <t>Edificaciones</t>
  </si>
  <si>
    <t>Costo edificaciones</t>
  </si>
  <si>
    <t>Valor revaluación de la edificaciones</t>
  </si>
  <si>
    <t>Maquinaria Y Equipo</t>
  </si>
  <si>
    <t>Costo Maquinaria</t>
  </si>
  <si>
    <t>1520xx</t>
  </si>
  <si>
    <t>Iva en Compra de Maquinaria</t>
  </si>
  <si>
    <t>Flota Y Equipo De Transporte</t>
  </si>
  <si>
    <t>Vehículo</t>
  </si>
  <si>
    <t>Depreciación Acumulada</t>
  </si>
  <si>
    <t>Maquinaria y Equipo</t>
  </si>
  <si>
    <t>Flota y Equipo de Transporte</t>
  </si>
  <si>
    <t>Deterioro de Propiedad Planta y Equipo</t>
  </si>
  <si>
    <t>1599xx</t>
  </si>
  <si>
    <t>Intangibles</t>
  </si>
  <si>
    <t>Derechos al Costo</t>
  </si>
  <si>
    <t>Amortización Acumulada</t>
  </si>
  <si>
    <t>Activos por impuesto diferido</t>
  </si>
  <si>
    <t>Impuesto diferido</t>
  </si>
  <si>
    <t>Obligaciones financieras</t>
  </si>
  <si>
    <t>Prestamos Con Bancos Nacionales</t>
  </si>
  <si>
    <t>Prestamos Con Bancos del Exterior</t>
  </si>
  <si>
    <t>Arrendamientos financieros</t>
  </si>
  <si>
    <t>Proveedores</t>
  </si>
  <si>
    <t>2205xx</t>
  </si>
  <si>
    <t>Del exterior</t>
  </si>
  <si>
    <t>Costos y gastos por pagar</t>
  </si>
  <si>
    <t>Deudas Con Accionistas O Socios</t>
  </si>
  <si>
    <t>Retención en la fuente</t>
  </si>
  <si>
    <t>Aportes de nómina</t>
  </si>
  <si>
    <t>Impuestos gravámentes y tasas</t>
  </si>
  <si>
    <t>De renta y complementario</t>
  </si>
  <si>
    <t>Diferido</t>
  </si>
  <si>
    <t>Impuesto a las ventas</t>
  </si>
  <si>
    <t>Laborales</t>
  </si>
  <si>
    <t>25xx</t>
  </si>
  <si>
    <t>De corto plazo</t>
  </si>
  <si>
    <t>25xxxx</t>
  </si>
  <si>
    <t>Cesantías</t>
  </si>
  <si>
    <t>Intereses a las cesantías</t>
  </si>
  <si>
    <t>Prima de servicios</t>
  </si>
  <si>
    <t>Vacaciones</t>
  </si>
  <si>
    <t>De largo plazo</t>
  </si>
  <si>
    <t>Por terminación del vínculo laboral o contractual</t>
  </si>
  <si>
    <t>Post empleo</t>
  </si>
  <si>
    <t>Provisiones</t>
  </si>
  <si>
    <t>Provisiones Demandas Laborales</t>
  </si>
  <si>
    <t>Pasivo por impuesto diferido</t>
  </si>
  <si>
    <t>Subvenciones</t>
  </si>
  <si>
    <t>Subvenciones del gobierno</t>
  </si>
  <si>
    <t xml:space="preserve">Capital </t>
  </si>
  <si>
    <t>Capital Suscrito Y Pagado</t>
  </si>
  <si>
    <t>Reservas</t>
  </si>
  <si>
    <t>Utilidad</t>
  </si>
  <si>
    <t>Utilidades acumuladas</t>
  </si>
  <si>
    <t>Revalorizaciones</t>
  </si>
  <si>
    <t>Ingresos</t>
  </si>
  <si>
    <t>Mercancía No Fabricada Por La Empresa</t>
  </si>
  <si>
    <t>Arrendamientos</t>
  </si>
  <si>
    <t>Financieros</t>
  </si>
  <si>
    <t>Interés Implícito</t>
  </si>
  <si>
    <t>Interés</t>
  </si>
  <si>
    <t>Interés Costo Amortizado (CXC)</t>
  </si>
  <si>
    <t>Interés Costo Amortizado (Inversiones)</t>
  </si>
  <si>
    <t>Inversiones medidas al Valor Razonable</t>
  </si>
  <si>
    <t>Ingresos Por Conversión Me</t>
  </si>
  <si>
    <t>Del Gobierno</t>
  </si>
  <si>
    <t>Gastos</t>
  </si>
  <si>
    <t>Operacionales</t>
  </si>
  <si>
    <t>Beneficio empleados</t>
  </si>
  <si>
    <t>5105xx</t>
  </si>
  <si>
    <t>Sueldos</t>
  </si>
  <si>
    <t>Prestaciones</t>
  </si>
  <si>
    <t>Seguridad social</t>
  </si>
  <si>
    <t>Parafiscales</t>
  </si>
  <si>
    <t>Honorarios</t>
  </si>
  <si>
    <t>5110xx</t>
  </si>
  <si>
    <t>Sin soporte válido</t>
  </si>
  <si>
    <t>En efectivo</t>
  </si>
  <si>
    <t>Impuestos</t>
  </si>
  <si>
    <t>5115xx</t>
  </si>
  <si>
    <t>Impuestos (Industria y comercio)</t>
  </si>
  <si>
    <t>5120xx</t>
  </si>
  <si>
    <t>Arendamientos</t>
  </si>
  <si>
    <t>Seguros</t>
  </si>
  <si>
    <t>5130xx</t>
  </si>
  <si>
    <t>Servicios</t>
  </si>
  <si>
    <t>5135xx</t>
  </si>
  <si>
    <t>Mantenimientos</t>
  </si>
  <si>
    <t>5145xx</t>
  </si>
  <si>
    <t>De viaje</t>
  </si>
  <si>
    <t>5155xx</t>
  </si>
  <si>
    <t>Amortizaciones</t>
  </si>
  <si>
    <t>Depreciaciones</t>
  </si>
  <si>
    <t>Diversos</t>
  </si>
  <si>
    <t>5195xx</t>
  </si>
  <si>
    <t>No operacionales</t>
  </si>
  <si>
    <t>GMF</t>
  </si>
  <si>
    <t>Gastos Bancarios</t>
  </si>
  <si>
    <t>Gastos por diferencia en cambio</t>
  </si>
  <si>
    <t>Perdidas litigios</t>
  </si>
  <si>
    <t>De renta y Complementario</t>
  </si>
  <si>
    <t>Costos</t>
  </si>
  <si>
    <t>6135XX</t>
  </si>
  <si>
    <t>Deterioro De Valor</t>
  </si>
  <si>
    <t>HOJA DE TRABAJO</t>
  </si>
  <si>
    <t>En Activos</t>
  </si>
  <si>
    <t>Base fiscal &gt; Base contable</t>
  </si>
  <si>
    <t>Deducible</t>
  </si>
  <si>
    <t>IDACTIVO</t>
  </si>
  <si>
    <t>Base fiscal &lt; Base contable</t>
  </si>
  <si>
    <t>Imponible</t>
  </si>
  <si>
    <t>IDPASIVO</t>
  </si>
  <si>
    <t>En Pasivos</t>
  </si>
  <si>
    <t>ACCIONES</t>
  </si>
  <si>
    <t>El E.T. SÓLO PERMITE EL COSTO</t>
  </si>
  <si>
    <t>VALOR CONTABLE</t>
  </si>
  <si>
    <t>VALOR FISCAL</t>
  </si>
  <si>
    <t>DIFERENCIA</t>
  </si>
  <si>
    <t>INGRESO POR INVERS MVR</t>
  </si>
  <si>
    <t>GASTO IMPUESTO DIFERIDO</t>
  </si>
  <si>
    <t>54XXX</t>
  </si>
  <si>
    <t>1. Impuestos diferidos provenientes de diferencias temporarias</t>
  </si>
  <si>
    <t>Fila</t>
  </si>
  <si>
    <t>Base contable</t>
  </si>
  <si>
    <t>Base Fiscal</t>
  </si>
  <si>
    <t>Diferencia Temporaria</t>
  </si>
  <si>
    <t>Diferencia Permanente</t>
  </si>
  <si>
    <t>Saldo impuesto diferido
a 31 -DIC vigencia actual</t>
  </si>
  <si>
    <t>Saldo impuesto diferido
a 31 -DIC vigencia  anterior</t>
  </si>
  <si>
    <t>Variación</t>
  </si>
  <si>
    <t>Tasa fiscal aplicada</t>
  </si>
  <si>
    <t>Activo (Diferencias temporarias deducibles)</t>
  </si>
  <si>
    <t>Efectivo y equivalentes al efectivo</t>
  </si>
  <si>
    <t>Inversiones e instrumentos derivados</t>
  </si>
  <si>
    <t>Cuentas por cobrar</t>
  </si>
  <si>
    <t>Propiedades, planta y equipo</t>
  </si>
  <si>
    <t>Activos intangibles</t>
  </si>
  <si>
    <t>Propiedades de inversión</t>
  </si>
  <si>
    <t>Activos biológicos</t>
  </si>
  <si>
    <t>Activos no corrientes mantenidos para la venta / entregar a propietarios</t>
  </si>
  <si>
    <t>Pasivos financieros y cuentas por pagar</t>
  </si>
  <si>
    <t>Impuestos, gravámenes y tasas</t>
  </si>
  <si>
    <t>Beneficios a  Empleados</t>
  </si>
  <si>
    <t>Otros Pasivos Anticipos y avances recibidos</t>
  </si>
  <si>
    <t>Operaciones con títulos y derivados</t>
  </si>
  <si>
    <t>Perdidas fiscales y/o excesos de renta presuntiva</t>
  </si>
  <si>
    <t>Activos reconocidos solamente para fines fiscales</t>
  </si>
  <si>
    <t>Otros activos</t>
  </si>
  <si>
    <t>Valor total</t>
  </si>
  <si>
    <t>Pasivo (Diferencias temporarias imponibles)</t>
  </si>
  <si>
    <t>IDA</t>
  </si>
  <si>
    <t>IDP</t>
  </si>
  <si>
    <t>A</t>
  </si>
  <si>
    <t>B</t>
  </si>
  <si>
    <t>C</t>
  </si>
  <si>
    <t>D</t>
  </si>
  <si>
    <t>E</t>
  </si>
  <si>
    <t>EL CLIENTE A TIENE PROBLEMAS ECONOMICOS Y SE ESTIMA QUE EL 40% NO LO VA A PAGAR</t>
  </si>
  <si>
    <t>DETERIORO</t>
  </si>
  <si>
    <t>0-3 MESES</t>
  </si>
  <si>
    <t>3-6MESES</t>
  </si>
  <si>
    <t>6-12 MESES</t>
  </si>
  <si>
    <t>MAS DE 12 MESES</t>
  </si>
  <si>
    <t>deterioro</t>
  </si>
  <si>
    <t>contable</t>
  </si>
  <si>
    <t>fiscal</t>
  </si>
  <si>
    <t>XXX 17</t>
  </si>
  <si>
    <t>IMP DIFERIDO ACTIVO</t>
  </si>
  <si>
    <t>GASTO PROVISION</t>
  </si>
  <si>
    <t>PROVISION CARTERA</t>
  </si>
  <si>
    <t>GASTO DETERIORO</t>
  </si>
  <si>
    <t>DET DE CXC</t>
  </si>
  <si>
    <t>DETERIORO DE INVENTARIOS</t>
  </si>
  <si>
    <t>RECUERDA QUE :  ART 64  E.T.</t>
  </si>
  <si>
    <t>1. Cuando se trate de faltantes de inventarios de fácil destrucción o pérdida, las unidades del inventario final pueden disminuirse hasta en un tres por ciento (3%) de la suma del inventario inicial más las compras. Si se demostrare la ocurrencia de hechos constitutivos de fuerza mayor o caso fortuito, pueden aceptarse disminuciones mayores.</t>
  </si>
  <si>
    <t>2. Los inventarios dados de baja por obsolescencia y debidamente destruidos, reciclados o chatarrizados; siempre y cuando sean diferentes a los previstos en el numeral 1 de este artículo, serán deducibles del impuesto sobre la renta y complementarios en su precio de adquisición, más costos directamente atribuibles y costos de transformación en caso de que sean aplicables. Para la aceptación de esta disminución de inventarios se requiere como mínimo un documento donde conste la siguiente información: cantidad, descripción del producto, costo fiscal unitario y total y justificación de la obsolescencia o destrucción, debidamente firmado por el representante legal o quien haga sus veces y las personas responsables de tal destrucción y demás pruebas que sean pertinentes.</t>
  </si>
  <si>
    <t>CONTABLE</t>
  </si>
  <si>
    <t>FISCAL</t>
  </si>
  <si>
    <t>TERRENO VR</t>
  </si>
  <si>
    <t>EDIFICIO VR</t>
  </si>
  <si>
    <t>MAQUINARIA</t>
  </si>
  <si>
    <t>VEHICULO</t>
  </si>
  <si>
    <t>VALOR EN MERCADO</t>
  </si>
  <si>
    <t>TERRENO</t>
  </si>
  <si>
    <t>EDIFICIO</t>
  </si>
  <si>
    <t>USD</t>
  </si>
  <si>
    <t>CADA DÓLAR</t>
  </si>
  <si>
    <t>EL DÓLAR</t>
  </si>
  <si>
    <t>GASTO POR DIF EN CAMBIO</t>
  </si>
  <si>
    <t>PROVEEDORES DEL EXTERIOR</t>
  </si>
  <si>
    <t>IMPUESTO DIFERIDO ACTIVO</t>
  </si>
  <si>
    <t>IMPUESTO DIFERIDO PASIVO</t>
  </si>
  <si>
    <t>AÑO ANTERIOR</t>
  </si>
  <si>
    <t>GASTO IMP DIFERIDO</t>
  </si>
  <si>
    <t>NIIF</t>
  </si>
  <si>
    <t>UTILIDAD ANTES DE IMPUESTOS</t>
  </si>
  <si>
    <t>IMPUESTO DE RENTA 35%</t>
  </si>
  <si>
    <t>IMPUESTRO DIFERIDO</t>
  </si>
  <si>
    <t>UTILIDAD NETA</t>
  </si>
  <si>
    <t>TARIFA</t>
  </si>
  <si>
    <t>Superavit por valoroizacion</t>
  </si>
  <si>
    <t>Gasto impuesto diferido</t>
  </si>
  <si>
    <t>Impuesto dferido pasivo</t>
  </si>
  <si>
    <t>GASTO IMPUSTO DIFERIDO</t>
  </si>
  <si>
    <t>Evaluación de la hipótesis de negocio en marcha</t>
  </si>
  <si>
    <t>Por lo menos una vez al año la entidad debe elaborar un memorando de evaluación de negocio en marcha para tener evidencia de la capacidad operativa y de la utilización de los Estándares Internacionales.</t>
  </si>
  <si>
    <t>Situaciones que dan indicio de incumplimiento de la hipótesis de negocio en marcha</t>
  </si>
  <si>
    <t>Posición patrimonial negativo</t>
  </si>
  <si>
    <t>Realización de préstamos a corto plazo para solucionar el pago de cuotas a largo plazo</t>
  </si>
  <si>
    <t>Perder apoyo y credibilidad con el sector financiero</t>
  </si>
  <si>
    <t>Indicadores financieros desfavorables</t>
  </si>
  <si>
    <t>Atraso en pagos de dividendos</t>
  </si>
  <si>
    <t>Incumplimiento de las obligaciones contractuales</t>
  </si>
  <si>
    <t>Retiro de empleados sin vincular nuevos</t>
  </si>
  <si>
    <t>Incumplimiento de requerimientos legales</t>
  </si>
  <si>
    <t>El anexo 5 del DUR 2420 de 2015 establece el marco técnico de elaboración de los estados financieros para las empresas que no cumplen con el principio de negocio en marcha; al respecto, su párrafo 7 establece:</t>
  </si>
  <si>
    <r>
      <t>Cuando se dice que una entidad es un </t>
    </r>
    <r>
      <rPr>
        <b/>
        <sz val="20"/>
        <color rgb="FF212529"/>
        <rFont val="Calibri"/>
        <family val="2"/>
        <scheme val="minor"/>
      </rPr>
      <t>negocio en marcha</t>
    </r>
    <r>
      <rPr>
        <sz val="20"/>
        <color rgb="FF212529"/>
        <rFont val="Calibri"/>
        <family val="2"/>
        <scheme val="minor"/>
      </rPr>
      <t> se quiere decir que </t>
    </r>
    <r>
      <rPr>
        <b/>
        <sz val="20"/>
        <color rgb="FF212529"/>
        <rFont val="Calibri"/>
        <family val="2"/>
        <scheme val="minor"/>
      </rPr>
      <t>tiene la capacidad de continuar operando, por lo menos, durante un período adicional después de la fecha sobre la que informa</t>
    </r>
    <r>
      <rPr>
        <sz val="20"/>
        <color rgb="FF212529"/>
        <rFont val="Calibri"/>
        <family val="2"/>
        <scheme val="minor"/>
      </rPr>
      <t>. La hipótesis de negocio en marcha no puede ser una especulación o presunción, pues la norma establece que la entidad debe “evaluar la capacidad de continuar como un negocio en marcha al final de cada período”. Esto significa que deben documentarse las condiciones que permitan concluir (o probar) que la entidad tiene capacidad de seguir operando.</t>
    </r>
  </si>
  <si>
    <r>
      <t xml:space="preserve">Cuando la administración de la entidad, al realizar esta evaluación, sea consciente de la existencia de incertidumbres importantes, relativas a eventos o condiciones que puedan aportar dudas significativas sobre la posibilidad de que la entidad siga funcionando normalmente, </t>
    </r>
    <r>
      <rPr>
        <b/>
        <sz val="20"/>
        <color rgb="FFC00000"/>
        <rFont val="Calibri"/>
        <family val="2"/>
        <scheme val="minor"/>
      </rPr>
      <t>procederá a revelarlas en los estados financieros</t>
    </r>
    <r>
      <rPr>
        <sz val="20"/>
        <color theme="1"/>
        <rFont val="Calibri"/>
        <family val="2"/>
        <scheme val="minor"/>
      </rPr>
      <t>. Adicionalmente, cuando una entidad no prepare los estados financieros bajo la hipótesis de negocio en marcha,</t>
    </r>
    <r>
      <rPr>
        <b/>
        <sz val="20"/>
        <color rgb="FFC00000"/>
        <rFont val="Calibri"/>
        <family val="2"/>
        <scheme val="minor"/>
      </rPr>
      <t xml:space="preserve"> revelará ese hecho, junto con las hipótesis sobre las que han sido elaborados y las razones por las que la entidad no se considera como un negocio en marcha.</t>
    </r>
  </si>
  <si>
    <t>DETERIORO DEL INVENTARIO  15%</t>
  </si>
  <si>
    <t>DEPREC. CONTABLE</t>
  </si>
  <si>
    <t>DEPREC. FISCAL</t>
  </si>
  <si>
    <t>DEUDA A DIC</t>
  </si>
  <si>
    <t>BALANCE DE PRUEBA  FISCAL</t>
  </si>
  <si>
    <t>COSTO ADQUIS + MEJORAS</t>
  </si>
  <si>
    <t>MENOS DEP Y DETERIORO</t>
  </si>
  <si>
    <t>DETERIORO VEHICULO</t>
  </si>
  <si>
    <t>INGRESOS POR INTERESE CA</t>
  </si>
  <si>
    <t>LISTADO DE REQUISITOS PARA DEPURAR EL IMPUESTO CORRIENTE</t>
  </si>
  <si>
    <t>REQUISITOS GENERALES</t>
  </si>
  <si>
    <t>ART 107 DEL ET:</t>
  </si>
  <si>
    <t xml:space="preserve">NECESIDAD , PROPORCIONALIDAD, Y CAUSALIDAD. </t>
  </si>
  <si>
    <t>PRUEBA DOCUMENTAL:¨</t>
  </si>
  <si>
    <t>Art 771-2 del et</t>
  </si>
  <si>
    <t>factura electrónica</t>
  </si>
  <si>
    <t>Documento equivalente</t>
  </si>
  <si>
    <t>Documento soprote: NE , DSOCJNOAEF</t>
  </si>
  <si>
    <t>BANCARIZACIÓN:¨</t>
  </si>
  <si>
    <t>LA FACTURA PUEDE TENER FECHA DEL PERIODO SIGUIENTE, LO IMPORTANTE ES PODER PROBAR QUE EL BIEN O EL SERVICIO SE RECIBIÓ EN EL 2024.</t>
  </si>
  <si>
    <t>ART 771-5 DEL ET..</t>
  </si>
  <si>
    <t>PAGOS INDIVIDUALES SUPERIORES A 100 UVT.</t>
  </si>
  <si>
    <t xml:space="preserve">CARLOS TAPIAS </t>
  </si>
  <si>
    <t>REQUISITOS PARTICULARES</t>
  </si>
  <si>
    <t>107-1 Del ET</t>
  </si>
  <si>
    <t>108 del ET</t>
  </si>
  <si>
    <t>AL DIA CON LA SEGURIDAD SOCIAL Y PARAFISCALES.</t>
  </si>
  <si>
    <t>ART 115-1 DEL ET</t>
  </si>
  <si>
    <t>EXIGIR LA SEGRIDAD SOCIAL A LOS INDEPENDIENTES:¨ UNICAMENTE LOS QUE EL VALOR DEL SERVICIO SEA MAYOR A 1 SMLMV</t>
  </si>
  <si>
    <t>Retención en la fuente como requisito de procedencia:¨</t>
  </si>
  <si>
    <t>Salarios</t>
  </si>
  <si>
    <t>Pagos a la casa matriz</t>
  </si>
  <si>
    <t>Pagos a proveedores domiciliados en paraisos fiscales</t>
  </si>
  <si>
    <t>RUT:¨</t>
  </si>
  <si>
    <t>ART 177 - 2 DEL ET</t>
  </si>
  <si>
    <t>RUT  EN OPERACIONES GRAVADAS CON NO RESPONSABLES DE IVA.</t>
  </si>
  <si>
    <t>ACEPTACIONES:¨   ART 616 -1  ACUSES DE RECIBO.</t>
  </si>
  <si>
    <t>RECIBI BIENES Y SERVICIOS</t>
  </si>
  <si>
    <t>RECIBÍ LA FACTURA</t>
  </si>
  <si>
    <t>OPERACIONES A PLAZO</t>
  </si>
  <si>
    <t>NADA TIENE QUE VER CON EL RADIAN</t>
  </si>
  <si>
    <t>NO TIENE NADAQ QUE VER CON EL RADIAN</t>
  </si>
  <si>
    <t>EL RADIAN NO ES UN REQUISITO DE PROCEDENCIA DE COSTOS</t>
  </si>
  <si>
    <t>NO CONFUNDIR EL RADIAN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</si>
</sst>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1" formatCode="_-* #,##0_-;\-* #,##0_-;_-* &quot;-&quot;_-;_-@_-"/>
    <numFmt numFmtId="44" formatCode="_-&quot;$&quot;\ * #,##0.00_-;\-&quot;$&quot;\ * #,##0.00_-;_-&quot;$&quot;\ * &quot;-&quot;??_-;_-@_-"/>
    <numFmt numFmtId="43" formatCode="_-* #,##0.00_-;\-* #,##0.00_-;_-* &quot;-&quot;??_-;_-@_-"/>
    <numFmt numFmtId="164" formatCode="_-* #,##0_-;\-* #,##0_-;_-* &quot;-&quot;??_-;_-@_-"/>
    <numFmt numFmtId="165" formatCode="#,##0;[Red]\(#,##0\)"/>
    <numFmt numFmtId="166" formatCode="0.0%"/>
    <numFmt numFmtId="167" formatCode="_(* #,##0_);_(* \(#,##0\);_(* &quot;-&quot;_);_(@_)"/>
    <numFmt numFmtId="168" formatCode="_-&quot;$&quot;\ * #,##0_-;\-&quot;$&quot;\ * #,##0_-;_-&quot;$&quot;\ * &quot;-&quot;??_-;_-@_-"/>
    <numFmt numFmtId="169" formatCode="0\ &quot;años&quot;"/>
  </numFmts>
  <fonts count="54"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theme="0"/>
      <name val="Calibri"/>
      <family val="2"/>
      <scheme val="minor"/>
    </font>
    <font>
      <sz val="18"/>
      <color theme="1"/>
      <name val="Calibri"/>
      <family val="2"/>
      <scheme val="minor"/>
    </font>
    <font>
      <b/>
      <sz val="28"/>
      <color theme="0"/>
      <name val="Calibri"/>
      <family val="2"/>
      <scheme val="minor"/>
    </font>
    <font>
      <b/>
      <sz val="22"/>
      <color theme="0"/>
      <name val="Calibri"/>
      <family val="2"/>
      <scheme val="minor"/>
    </font>
    <font>
      <b/>
      <sz val="18"/>
      <color rgb="FFFFFFFF"/>
      <name val="Arial"/>
      <family val="2"/>
    </font>
    <font>
      <b/>
      <sz val="18"/>
      <color theme="1"/>
      <name val="Calibri"/>
      <family val="2"/>
      <scheme val="minor"/>
    </font>
    <font>
      <sz val="12"/>
      <color theme="1"/>
      <name val="Calibri"/>
      <family val="2"/>
      <scheme val="minor"/>
    </font>
    <font>
      <b/>
      <sz val="18"/>
      <color rgb="FFC00000"/>
      <name val="Calibri"/>
      <family val="2"/>
      <scheme val="minor"/>
    </font>
    <font>
      <b/>
      <sz val="11"/>
      <color rgb="FFC00000"/>
      <name val="Calibri"/>
      <family val="2"/>
      <scheme val="minor"/>
    </font>
    <font>
      <b/>
      <sz val="18"/>
      <color rgb="FF000000"/>
      <name val="Calibri"/>
      <family val="2"/>
      <scheme val="minor"/>
    </font>
    <font>
      <sz val="18"/>
      <color rgb="FF000000"/>
      <name val="Calibri"/>
      <family val="2"/>
      <scheme val="minor"/>
    </font>
    <font>
      <b/>
      <sz val="11"/>
      <color rgb="FF00B050"/>
      <name val="Calibri"/>
      <family val="2"/>
      <scheme val="minor"/>
    </font>
    <font>
      <b/>
      <sz val="18"/>
      <color rgb="FF00B050"/>
      <name val="Calibri"/>
      <family val="2"/>
      <scheme val="minor"/>
    </font>
    <font>
      <b/>
      <sz val="18"/>
      <color rgb="FF0070C0"/>
      <name val="Calibri"/>
      <family val="2"/>
      <scheme val="minor"/>
    </font>
    <font>
      <b/>
      <sz val="20"/>
      <color theme="1"/>
      <name val="Calibri"/>
      <family val="2"/>
      <scheme val="minor"/>
    </font>
    <font>
      <sz val="20"/>
      <color theme="1"/>
      <name val="Calibri"/>
      <family val="2"/>
      <scheme val="minor"/>
    </font>
    <font>
      <sz val="14"/>
      <color theme="1"/>
      <name val="Calibri"/>
      <family val="2"/>
      <scheme val="minor"/>
    </font>
    <font>
      <sz val="16"/>
      <color theme="1"/>
      <name val="Calibri"/>
      <family val="2"/>
      <scheme val="minor"/>
    </font>
    <font>
      <b/>
      <sz val="16"/>
      <color theme="0"/>
      <name val="Calibri"/>
      <family val="2"/>
      <scheme val="minor"/>
    </font>
    <font>
      <b/>
      <sz val="16"/>
      <color rgb="FFC00000"/>
      <name val="Calibri"/>
      <family val="2"/>
      <scheme val="minor"/>
    </font>
    <font>
      <b/>
      <sz val="22"/>
      <color rgb="FF006100"/>
      <name val="Calibri"/>
      <family val="2"/>
      <scheme val="minor"/>
    </font>
    <font>
      <b/>
      <sz val="12"/>
      <color theme="1"/>
      <name val="Arial"/>
      <family val="2"/>
    </font>
    <font>
      <sz val="12"/>
      <color theme="1"/>
      <name val="Arial"/>
      <family val="2"/>
    </font>
    <font>
      <b/>
      <sz val="14"/>
      <color theme="0"/>
      <name val="Calibri"/>
      <family val="2"/>
      <scheme val="minor"/>
    </font>
    <font>
      <sz val="16"/>
      <color theme="1"/>
      <name val="Arial"/>
      <family val="2"/>
    </font>
    <font>
      <b/>
      <sz val="16"/>
      <color theme="1"/>
      <name val="Arial"/>
      <family val="2"/>
    </font>
    <font>
      <b/>
      <sz val="16"/>
      <color theme="1"/>
      <name val="Calibri"/>
      <family val="2"/>
      <scheme val="minor"/>
    </font>
    <font>
      <b/>
      <sz val="14"/>
      <color theme="1"/>
      <name val="Calibri"/>
      <family val="2"/>
      <scheme val="minor"/>
    </font>
    <font>
      <b/>
      <sz val="24"/>
      <color theme="0"/>
      <name val="Calibri"/>
      <family val="2"/>
      <scheme val="minor"/>
    </font>
    <font>
      <b/>
      <sz val="18"/>
      <color theme="0"/>
      <name val="Calibri"/>
      <family val="2"/>
      <scheme val="minor"/>
    </font>
    <font>
      <b/>
      <sz val="14"/>
      <color rgb="FFC00000"/>
      <name val="Calibri"/>
      <family val="2"/>
      <scheme val="minor"/>
    </font>
    <font>
      <b/>
      <sz val="20"/>
      <color rgb="FFC00000"/>
      <name val="Calibri"/>
      <family val="2"/>
      <scheme val="minor"/>
    </font>
    <font>
      <sz val="20"/>
      <color rgb="FFC00000"/>
      <name val="Calibri"/>
      <family val="2"/>
      <scheme val="minor"/>
    </font>
    <font>
      <b/>
      <sz val="20"/>
      <color theme="0"/>
      <name val="Calibri"/>
      <family val="2"/>
      <scheme val="minor"/>
    </font>
    <font>
      <b/>
      <sz val="16"/>
      <color rgb="FFC00000"/>
      <name val="Arial"/>
      <family val="2"/>
    </font>
    <font>
      <b/>
      <sz val="18"/>
      <color rgb="FFFF0000"/>
      <name val="Calibri"/>
      <family val="2"/>
      <scheme val="minor"/>
    </font>
    <font>
      <sz val="16"/>
      <color rgb="FFFF0000"/>
      <name val="Calibri"/>
      <family val="2"/>
      <scheme val="minor"/>
    </font>
    <font>
      <sz val="18"/>
      <color rgb="FFC00000"/>
      <name val="Calibri"/>
      <family val="2"/>
      <scheme val="minor"/>
    </font>
    <font>
      <sz val="18"/>
      <color rgb="FF00B050"/>
      <name val="Calibri"/>
      <family val="2"/>
      <scheme val="minor"/>
    </font>
    <font>
      <sz val="16"/>
      <color rgb="FFC00000"/>
      <name val="Calibri"/>
      <family val="2"/>
      <scheme val="minor"/>
    </font>
    <font>
      <b/>
      <sz val="20"/>
      <color rgb="FF212529"/>
      <name val="Arial"/>
      <family val="2"/>
    </font>
    <font>
      <sz val="20"/>
      <color rgb="FF212529"/>
      <name val="Calibri"/>
      <family val="2"/>
      <scheme val="minor"/>
    </font>
    <font>
      <b/>
      <sz val="20"/>
      <color rgb="FF212529"/>
      <name val="Calibri"/>
      <family val="2"/>
      <scheme val="minor"/>
    </font>
    <font>
      <sz val="18"/>
      <color rgb="FFFF0000"/>
      <name val="Calibri"/>
      <family val="2"/>
      <scheme val="minor"/>
    </font>
    <font>
      <b/>
      <sz val="18"/>
      <color rgb="FF006100"/>
      <name val="Calibri"/>
      <family val="2"/>
      <scheme val="minor"/>
    </font>
    <font>
      <b/>
      <sz val="18"/>
      <color theme="8"/>
      <name val="Calibri"/>
      <family val="2"/>
      <scheme val="minor"/>
    </font>
    <font>
      <sz val="11"/>
      <color rgb="FF3F3F76"/>
      <name val="Calibri"/>
      <family val="2"/>
      <scheme val="minor"/>
    </font>
    <font>
      <b/>
      <sz val="14"/>
      <color rgb="FF3F3F76"/>
      <name val="Calibri"/>
      <family val="2"/>
      <scheme val="minor"/>
    </font>
    <font>
      <b/>
      <sz val="20"/>
      <color rgb="FFFF0000"/>
      <name val="Calibri"/>
      <family val="2"/>
      <scheme val="minor"/>
    </font>
    <font>
      <sz val="20"/>
      <color rgb="FFFF0000"/>
      <name val="Calibri"/>
      <family val="2"/>
      <scheme val="minor"/>
    </font>
  </fonts>
  <fills count="25">
    <fill>
      <patternFill patternType="none"/>
    </fill>
    <fill>
      <patternFill patternType="gray125"/>
    </fill>
    <fill>
      <patternFill patternType="solid">
        <fgColor rgb="FFC6EFCE"/>
      </patternFill>
    </fill>
    <fill>
      <patternFill patternType="solid">
        <fgColor rgb="FFFFC7CE"/>
      </patternFill>
    </fill>
    <fill>
      <patternFill patternType="solid">
        <fgColor rgb="FFFFFFCC"/>
      </patternFill>
    </fill>
    <fill>
      <patternFill patternType="solid">
        <fgColor theme="5"/>
      </patternFill>
    </fill>
    <fill>
      <patternFill patternType="solid">
        <fgColor theme="8" tint="0.59999389629810485"/>
        <bgColor indexed="65"/>
      </patternFill>
    </fill>
    <fill>
      <patternFill patternType="solid">
        <fgColor rgb="FF0070C0"/>
        <bgColor indexed="64"/>
      </patternFill>
    </fill>
    <fill>
      <patternFill patternType="solid">
        <fgColor theme="5"/>
        <bgColor indexed="64"/>
      </patternFill>
    </fill>
    <fill>
      <patternFill patternType="solid">
        <fgColor rgb="FFFFFF00"/>
        <bgColor indexed="64"/>
      </patternFill>
    </fill>
    <fill>
      <patternFill patternType="solid">
        <fgColor theme="7" tint="0.39997558519241921"/>
        <bgColor indexed="65"/>
      </patternFill>
    </fill>
    <fill>
      <patternFill patternType="solid">
        <fgColor theme="8"/>
      </patternFill>
    </fill>
    <fill>
      <patternFill patternType="solid">
        <fgColor theme="4" tint="0.59999389629810485"/>
        <bgColor indexed="64"/>
      </patternFill>
    </fill>
    <fill>
      <patternFill patternType="solid">
        <fgColor rgb="FF7030A0"/>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rgb="FF92D050"/>
        <bgColor indexed="64"/>
      </patternFill>
    </fill>
    <fill>
      <patternFill patternType="solid">
        <fgColor theme="0"/>
        <bgColor indexed="64"/>
      </patternFill>
    </fill>
    <fill>
      <patternFill patternType="solid">
        <fgColor theme="4" tint="0.79998168889431442"/>
        <bgColor indexed="64"/>
      </patternFill>
    </fill>
    <fill>
      <patternFill patternType="solid">
        <fgColor theme="9"/>
      </patternFill>
    </fill>
    <fill>
      <patternFill patternType="solid">
        <fgColor theme="7"/>
        <bgColor indexed="64"/>
      </patternFill>
    </fill>
    <fill>
      <patternFill patternType="solid">
        <fgColor theme="5" tint="-0.249977111117893"/>
        <bgColor indexed="64"/>
      </patternFill>
    </fill>
    <fill>
      <patternFill patternType="solid">
        <fgColor theme="9" tint="0.79998168889431442"/>
        <bgColor indexed="65"/>
      </patternFill>
    </fill>
    <fill>
      <patternFill patternType="solid">
        <fgColor rgb="FFFFCC99"/>
      </patternFill>
    </fill>
    <fill>
      <patternFill patternType="solid">
        <fgColor theme="9" tint="0.59999389629810485"/>
        <bgColor indexed="64"/>
      </patternFill>
    </fill>
  </fills>
  <borders count="25">
    <border>
      <left/>
      <right/>
      <top/>
      <bottom/>
      <diagonal/>
    </border>
    <border>
      <left style="thin">
        <color rgb="FFB2B2B2"/>
      </left>
      <right style="thin">
        <color rgb="FFB2B2B2"/>
      </right>
      <top style="thin">
        <color rgb="FFB2B2B2"/>
      </top>
      <bottom style="thin">
        <color rgb="FFB2B2B2"/>
      </bottom>
      <diagonal/>
    </border>
    <border>
      <left style="medium">
        <color theme="0"/>
      </left>
      <right/>
      <top style="medium">
        <color theme="0"/>
      </top>
      <bottom style="medium">
        <color theme="0"/>
      </bottom>
      <diagonal/>
    </border>
    <border>
      <left/>
      <right/>
      <top/>
      <bottom style="medium">
        <color theme="0"/>
      </bottom>
      <diagonal/>
    </border>
    <border>
      <left style="medium">
        <color theme="0"/>
      </left>
      <right style="medium">
        <color theme="0"/>
      </right>
      <top style="medium">
        <color theme="0"/>
      </top>
      <bottom style="medium">
        <color theme="0"/>
      </bottom>
      <diagonal/>
    </border>
    <border>
      <left/>
      <right style="medium">
        <color theme="0"/>
      </right>
      <top style="medium">
        <color theme="0"/>
      </top>
      <bottom style="medium">
        <color theme="0"/>
      </bottom>
      <diagonal/>
    </border>
    <border>
      <left/>
      <right style="medium">
        <color theme="0"/>
      </right>
      <top style="medium">
        <color theme="0"/>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rgb="FFB2B2B2"/>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bottom style="thin">
        <color auto="1"/>
      </bottom>
      <diagonal/>
    </border>
    <border>
      <left/>
      <right style="thin">
        <color indexed="64"/>
      </right>
      <top/>
      <bottom/>
      <diagonal/>
    </border>
    <border>
      <left style="thin">
        <color rgb="FFB2B2B2"/>
      </left>
      <right style="thin">
        <color rgb="FFB2B2B2"/>
      </right>
      <top style="thin">
        <color rgb="FFB2B2B2"/>
      </top>
      <bottom/>
      <diagonal/>
    </border>
    <border>
      <left style="thick">
        <color theme="0"/>
      </left>
      <right/>
      <top/>
      <bottom/>
      <diagonal/>
    </border>
    <border>
      <left style="thin">
        <color rgb="FFB2B2B2"/>
      </left>
      <right/>
      <top/>
      <bottom/>
      <diagonal/>
    </border>
    <border>
      <left style="thin">
        <color rgb="FF7F7F7F"/>
      </left>
      <right style="thin">
        <color rgb="FF7F7F7F"/>
      </right>
      <top style="thin">
        <color rgb="FF7F7F7F"/>
      </top>
      <bottom style="thin">
        <color rgb="FF7F7F7F"/>
      </bottom>
      <diagonal/>
    </border>
    <border>
      <left/>
      <right style="thin">
        <color auto="1"/>
      </right>
      <top/>
      <bottom style="thin">
        <color auto="1"/>
      </bottom>
      <diagonal/>
    </border>
  </borders>
  <cellStyleXfs count="16">
    <xf numFmtId="0" fontId="0" fillId="0" borderId="0"/>
    <xf numFmtId="43"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xf numFmtId="0" fontId="1" fillId="4" borderId="1" applyNumberFormat="0" applyFont="0" applyAlignment="0" applyProtection="0"/>
    <xf numFmtId="0" fontId="4" fillId="5" borderId="0" applyNumberFormat="0" applyBorder="0" applyAlignment="0" applyProtection="0"/>
    <xf numFmtId="0" fontId="1" fillId="6" borderId="0" applyNumberFormat="0" applyBorder="0" applyAlignment="0" applyProtection="0"/>
    <xf numFmtId="0" fontId="10" fillId="0" borderId="0"/>
    <xf numFmtId="41"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9" borderId="0" applyNumberFormat="0" applyBorder="0" applyAlignment="0" applyProtection="0"/>
    <xf numFmtId="0" fontId="1" fillId="22" borderId="0" applyNumberFormat="0" applyBorder="0" applyAlignment="0" applyProtection="0"/>
    <xf numFmtId="0" fontId="50" fillId="23" borderId="23" applyNumberFormat="0" applyAlignment="0" applyProtection="0"/>
  </cellStyleXfs>
  <cellXfs count="335">
    <xf numFmtId="0" fontId="0" fillId="0" borderId="0" xfId="0"/>
    <xf numFmtId="0" fontId="5" fillId="0" borderId="0" xfId="0" applyFont="1"/>
    <xf numFmtId="164" fontId="5" fillId="0" borderId="0" xfId="1" applyNumberFormat="1" applyFont="1"/>
    <xf numFmtId="164" fontId="1" fillId="0" borderId="0" xfId="1" applyNumberFormat="1" applyFont="1"/>
    <xf numFmtId="0" fontId="8" fillId="8" borderId="2" xfId="0" applyFont="1" applyFill="1" applyBorder="1" applyAlignment="1">
      <alignment horizontal="center" vertical="center"/>
    </xf>
    <xf numFmtId="0" fontId="8" fillId="8" borderId="4" xfId="0" applyFont="1" applyFill="1" applyBorder="1" applyAlignment="1">
      <alignment horizontal="center" vertical="center"/>
    </xf>
    <xf numFmtId="164" fontId="8" fillId="7" borderId="5" xfId="1" applyNumberFormat="1" applyFont="1" applyFill="1" applyBorder="1" applyAlignment="1">
      <alignment horizontal="center" vertical="center"/>
    </xf>
    <xf numFmtId="164" fontId="8" fillId="7" borderId="6" xfId="1" applyNumberFormat="1" applyFont="1" applyFill="1" applyBorder="1" applyAlignment="1">
      <alignment horizontal="center" vertical="center"/>
    </xf>
    <xf numFmtId="0" fontId="9" fillId="4" borderId="7" xfId="4" applyFont="1" applyBorder="1"/>
    <xf numFmtId="3" fontId="9" fillId="4" borderId="7" xfId="4" applyNumberFormat="1" applyFont="1" applyBorder="1"/>
    <xf numFmtId="0" fontId="5" fillId="0" borderId="8" xfId="0" applyFont="1" applyFill="1" applyBorder="1"/>
    <xf numFmtId="3" fontId="5" fillId="0" borderId="8" xfId="7" applyNumberFormat="1" applyFont="1" applyFill="1" applyBorder="1"/>
    <xf numFmtId="164" fontId="5" fillId="0" borderId="8" xfId="1" applyNumberFormat="1" applyFont="1" applyFill="1" applyBorder="1"/>
    <xf numFmtId="0" fontId="9" fillId="4" borderId="8" xfId="4" applyFont="1" applyBorder="1"/>
    <xf numFmtId="3" fontId="9" fillId="4" borderId="8" xfId="4" applyNumberFormat="1" applyFont="1" applyBorder="1"/>
    <xf numFmtId="0" fontId="9" fillId="0" borderId="8" xfId="0" applyFont="1" applyFill="1" applyBorder="1"/>
    <xf numFmtId="3" fontId="9" fillId="0" borderId="8" xfId="7" applyNumberFormat="1" applyFont="1" applyFill="1" applyBorder="1"/>
    <xf numFmtId="0" fontId="5" fillId="0" borderId="8" xfId="0" applyFont="1" applyFill="1" applyBorder="1" applyAlignment="1">
      <alignment horizontal="right"/>
    </xf>
    <xf numFmtId="0" fontId="0" fillId="0" borderId="0" xfId="0" applyFill="1"/>
    <xf numFmtId="0" fontId="9" fillId="0" borderId="8" xfId="0" applyFont="1" applyFill="1" applyBorder="1" applyAlignment="1">
      <alignment horizontal="right"/>
    </xf>
    <xf numFmtId="0" fontId="11" fillId="0" borderId="8" xfId="0" applyFont="1" applyFill="1" applyBorder="1" applyAlignment="1">
      <alignment horizontal="right"/>
    </xf>
    <xf numFmtId="0" fontId="11" fillId="0" borderId="8" xfId="0" applyFont="1" applyFill="1" applyBorder="1"/>
    <xf numFmtId="3" fontId="11" fillId="0" borderId="8" xfId="7" applyNumberFormat="1" applyFont="1" applyFill="1" applyBorder="1"/>
    <xf numFmtId="164" fontId="11" fillId="0" borderId="8" xfId="1" applyNumberFormat="1" applyFont="1" applyFill="1" applyBorder="1"/>
    <xf numFmtId="0" fontId="12" fillId="0" borderId="0" xfId="0" applyFont="1"/>
    <xf numFmtId="0" fontId="9" fillId="0" borderId="8" xfId="4" applyFont="1" applyFill="1" applyBorder="1"/>
    <xf numFmtId="3" fontId="9" fillId="0" borderId="8" xfId="4" applyNumberFormat="1" applyFont="1" applyFill="1" applyBorder="1"/>
    <xf numFmtId="0" fontId="5" fillId="0" borderId="8" xfId="0" applyFont="1" applyFill="1" applyBorder="1" applyAlignment="1">
      <alignment horizontal="right" vertical="center"/>
    </xf>
    <xf numFmtId="0" fontId="9" fillId="0" borderId="8" xfId="0" applyFont="1" applyFill="1" applyBorder="1" applyAlignment="1">
      <alignment horizontal="right" vertical="center"/>
    </xf>
    <xf numFmtId="0" fontId="9" fillId="0" borderId="8" xfId="0" applyFont="1" applyFill="1" applyBorder="1" applyAlignment="1">
      <alignment vertical="center"/>
    </xf>
    <xf numFmtId="0" fontId="5" fillId="0" borderId="8" xfId="0" applyFont="1" applyFill="1" applyBorder="1" applyAlignment="1">
      <alignment vertical="center"/>
    </xf>
    <xf numFmtId="0" fontId="9" fillId="0" borderId="8" xfId="0" applyFont="1" applyFill="1" applyBorder="1" applyAlignment="1">
      <alignment horizontal="left" vertical="center"/>
    </xf>
    <xf numFmtId="0" fontId="9" fillId="4" borderId="8" xfId="4" applyFont="1" applyBorder="1" applyAlignment="1">
      <alignment horizontal="right" vertical="center"/>
    </xf>
    <xf numFmtId="0" fontId="9" fillId="4" borderId="8" xfId="4" applyFont="1" applyBorder="1" applyAlignment="1">
      <alignment horizontal="left" vertical="center"/>
    </xf>
    <xf numFmtId="0" fontId="5" fillId="0" borderId="8" xfId="0" applyFont="1" applyFill="1" applyBorder="1" applyAlignment="1">
      <alignment horizontal="left" vertical="center"/>
    </xf>
    <xf numFmtId="0" fontId="5" fillId="0" borderId="8" xfId="4" applyFont="1" applyFill="1" applyBorder="1"/>
    <xf numFmtId="3" fontId="5" fillId="0" borderId="8" xfId="4" applyNumberFormat="1" applyFont="1" applyFill="1" applyBorder="1"/>
    <xf numFmtId="0" fontId="9" fillId="0" borderId="8" xfId="4" applyFont="1" applyFill="1" applyBorder="1" applyAlignment="1">
      <alignment horizontal="right"/>
    </xf>
    <xf numFmtId="165" fontId="13" fillId="0" borderId="8" xfId="0" applyNumberFormat="1" applyFont="1" applyBorder="1" applyAlignment="1">
      <alignment vertical="center" wrapText="1"/>
    </xf>
    <xf numFmtId="0" fontId="5" fillId="0" borderId="8" xfId="4" applyFont="1" applyFill="1" applyBorder="1" applyAlignment="1">
      <alignment horizontal="right"/>
    </xf>
    <xf numFmtId="165" fontId="14" fillId="0" borderId="8" xfId="0" applyNumberFormat="1" applyFont="1" applyBorder="1" applyAlignment="1">
      <alignment vertical="center" wrapText="1"/>
    </xf>
    <xf numFmtId="164" fontId="9" fillId="0" borderId="8" xfId="1" applyNumberFormat="1" applyFont="1" applyFill="1" applyBorder="1"/>
    <xf numFmtId="0" fontId="15" fillId="0" borderId="0" xfId="0" applyFont="1"/>
    <xf numFmtId="0" fontId="16" fillId="0" borderId="8" xfId="0" applyFont="1" applyFill="1" applyBorder="1" applyAlignment="1">
      <alignment horizontal="right"/>
    </xf>
    <xf numFmtId="0" fontId="16" fillId="0" borderId="8" xfId="0" applyFont="1" applyFill="1" applyBorder="1"/>
    <xf numFmtId="3" fontId="16" fillId="0" borderId="8" xfId="7" applyNumberFormat="1" applyFont="1" applyFill="1" applyBorder="1"/>
    <xf numFmtId="164" fontId="16" fillId="0" borderId="8" xfId="1" applyNumberFormat="1" applyFont="1" applyFill="1" applyBorder="1"/>
    <xf numFmtId="164" fontId="15" fillId="0" borderId="8" xfId="1" applyNumberFormat="1" applyFont="1" applyBorder="1"/>
    <xf numFmtId="164" fontId="12" fillId="0" borderId="8" xfId="1" applyNumberFormat="1" applyFont="1" applyBorder="1"/>
    <xf numFmtId="0" fontId="17" fillId="0" borderId="8" xfId="0" applyFont="1" applyFill="1" applyBorder="1" applyAlignment="1">
      <alignment horizontal="right" vertical="center"/>
    </xf>
    <xf numFmtId="0" fontId="17" fillId="0" borderId="8" xfId="0" applyFont="1" applyFill="1" applyBorder="1" applyAlignment="1">
      <alignment horizontal="left" vertical="center"/>
    </xf>
    <xf numFmtId="3" fontId="17" fillId="0" borderId="8" xfId="7" applyNumberFormat="1" applyFont="1" applyFill="1" applyBorder="1"/>
    <xf numFmtId="164" fontId="17" fillId="0" borderId="8" xfId="1" applyNumberFormat="1" applyFont="1" applyBorder="1"/>
    <xf numFmtId="164" fontId="17" fillId="0" borderId="8" xfId="1" applyNumberFormat="1" applyFont="1" applyFill="1" applyBorder="1"/>
    <xf numFmtId="164" fontId="5" fillId="0" borderId="8" xfId="1" applyNumberFormat="1" applyFont="1" applyBorder="1"/>
    <xf numFmtId="0" fontId="16" fillId="0" borderId="8" xfId="0" applyFont="1" applyFill="1" applyBorder="1" applyAlignment="1">
      <alignment horizontal="right" vertical="center"/>
    </xf>
    <xf numFmtId="164" fontId="16" fillId="0" borderId="8" xfId="1" applyNumberFormat="1" applyFont="1" applyBorder="1"/>
    <xf numFmtId="0" fontId="11" fillId="0" borderId="8" xfId="0" applyFont="1" applyFill="1" applyBorder="1" applyAlignment="1">
      <alignment horizontal="right" vertical="center"/>
    </xf>
    <xf numFmtId="164" fontId="11" fillId="0" borderId="8" xfId="1" applyNumberFormat="1" applyFont="1" applyBorder="1"/>
    <xf numFmtId="0" fontId="18" fillId="0" borderId="8" xfId="2" applyFont="1" applyFill="1" applyBorder="1"/>
    <xf numFmtId="0" fontId="19" fillId="0" borderId="8" xfId="3" applyFont="1" applyFill="1" applyBorder="1"/>
    <xf numFmtId="0" fontId="19" fillId="6" borderId="8" xfId="6" applyFont="1" applyBorder="1"/>
    <xf numFmtId="0" fontId="19" fillId="4" borderId="8" xfId="4" applyFont="1" applyBorder="1"/>
    <xf numFmtId="0" fontId="5" fillId="12" borderId="8" xfId="0" applyFont="1" applyFill="1" applyBorder="1"/>
    <xf numFmtId="3" fontId="5" fillId="12" borderId="8" xfId="7" applyNumberFormat="1" applyFont="1" applyFill="1" applyBorder="1"/>
    <xf numFmtId="0" fontId="5" fillId="12" borderId="8" xfId="0" applyFont="1" applyFill="1" applyBorder="1" applyAlignment="1">
      <alignment horizontal="right"/>
    </xf>
    <xf numFmtId="0" fontId="20" fillId="0" borderId="0" xfId="0" applyFont="1"/>
    <xf numFmtId="0" fontId="21" fillId="0" borderId="0" xfId="0" applyFont="1"/>
    <xf numFmtId="3" fontId="21" fillId="0" borderId="0" xfId="0" applyNumberFormat="1" applyFont="1"/>
    <xf numFmtId="44" fontId="21" fillId="0" borderId="0" xfId="9" applyFont="1"/>
    <xf numFmtId="16" fontId="21" fillId="0" borderId="0" xfId="0" applyNumberFormat="1" applyFont="1"/>
    <xf numFmtId="0" fontId="22" fillId="11" borderId="0" xfId="12" applyFont="1" applyAlignment="1">
      <alignment horizontal="center"/>
    </xf>
    <xf numFmtId="3" fontId="22" fillId="11" borderId="0" xfId="12" applyNumberFormat="1" applyFont="1" applyAlignment="1">
      <alignment horizontal="center"/>
    </xf>
    <xf numFmtId="0" fontId="23" fillId="0" borderId="0" xfId="0" applyFont="1"/>
    <xf numFmtId="3" fontId="23" fillId="0" borderId="0" xfId="0" applyNumberFormat="1" applyFont="1"/>
    <xf numFmtId="0" fontId="18" fillId="12" borderId="8" xfId="2" applyFont="1" applyFill="1" applyBorder="1"/>
    <xf numFmtId="0" fontId="21" fillId="0" borderId="8" xfId="0" applyFont="1" applyBorder="1"/>
    <xf numFmtId="0" fontId="21" fillId="9" borderId="8" xfId="0" applyFont="1" applyFill="1" applyBorder="1"/>
    <xf numFmtId="9" fontId="21" fillId="0" borderId="0" xfId="0" applyNumberFormat="1" applyFont="1"/>
    <xf numFmtId="44" fontId="23" fillId="0" borderId="0" xfId="9" applyFont="1"/>
    <xf numFmtId="44" fontId="23" fillId="9" borderId="0" xfId="9" applyFont="1" applyFill="1"/>
    <xf numFmtId="44" fontId="21" fillId="0" borderId="0" xfId="0" applyNumberFormat="1" applyFont="1"/>
    <xf numFmtId="0" fontId="20" fillId="0" borderId="0" xfId="0" applyFont="1" applyAlignment="1">
      <alignment horizontal="center"/>
    </xf>
    <xf numFmtId="0" fontId="21" fillId="0" borderId="0" xfId="0" applyFont="1" applyFill="1"/>
    <xf numFmtId="0" fontId="24" fillId="2" borderId="0" xfId="2" applyFont="1"/>
    <xf numFmtId="0" fontId="24" fillId="2" borderId="0" xfId="2" applyFont="1" applyAlignment="1">
      <alignment horizontal="center"/>
    </xf>
    <xf numFmtId="0" fontId="25" fillId="0" borderId="0" xfId="0" applyFont="1" applyFill="1" applyAlignment="1">
      <alignment horizontal="center"/>
    </xf>
    <xf numFmtId="0" fontId="26" fillId="0" borderId="0" xfId="0" applyFont="1" applyFill="1"/>
    <xf numFmtId="0" fontId="25" fillId="0" borderId="0" xfId="0" applyFont="1" applyFill="1"/>
    <xf numFmtId="0" fontId="28" fillId="0" borderId="10" xfId="0" applyFont="1" applyFill="1" applyBorder="1" applyAlignment="1">
      <alignment horizontal="center" vertical="center" wrapText="1"/>
    </xf>
    <xf numFmtId="0" fontId="21" fillId="0" borderId="8" xfId="0" applyFont="1" applyFill="1" applyBorder="1" applyAlignment="1">
      <alignment wrapText="1"/>
    </xf>
    <xf numFmtId="41" fontId="29" fillId="0" borderId="8" xfId="8" applyFont="1" applyFill="1" applyBorder="1" applyAlignment="1">
      <alignment horizontal="center"/>
    </xf>
    <xf numFmtId="41" fontId="29" fillId="0" borderId="8" xfId="0" applyNumberFormat="1" applyFont="1" applyFill="1" applyBorder="1" applyAlignment="1">
      <alignment horizontal="center"/>
    </xf>
    <xf numFmtId="166" fontId="29" fillId="0" borderId="8" xfId="10" applyNumberFormat="1" applyFont="1" applyFill="1" applyBorder="1" applyAlignment="1">
      <alignment horizontal="center"/>
    </xf>
    <xf numFmtId="0" fontId="29" fillId="0" borderId="8" xfId="0" applyFont="1" applyFill="1" applyBorder="1" applyAlignment="1">
      <alignment horizontal="center"/>
    </xf>
    <xf numFmtId="0" fontId="28" fillId="0" borderId="8" xfId="0" applyFont="1" applyFill="1" applyBorder="1"/>
    <xf numFmtId="41" fontId="29" fillId="4" borderId="1" xfId="4" applyNumberFormat="1" applyFont="1" applyAlignment="1">
      <alignment horizontal="center"/>
    </xf>
    <xf numFmtId="3" fontId="29" fillId="0" borderId="8" xfId="0" applyNumberFormat="1" applyFont="1" applyFill="1" applyBorder="1" applyAlignment="1">
      <alignment horizontal="center"/>
    </xf>
    <xf numFmtId="0" fontId="21" fillId="0" borderId="8" xfId="0" applyFont="1" applyFill="1" applyBorder="1" applyAlignment="1">
      <alignment horizontal="left" vertical="center" wrapText="1"/>
    </xf>
    <xf numFmtId="0" fontId="21" fillId="0" borderId="8" xfId="0" applyFont="1" applyFill="1" applyBorder="1" applyAlignment="1">
      <alignment vertical="center" wrapText="1"/>
    </xf>
    <xf numFmtId="41" fontId="29" fillId="14" borderId="8" xfId="0" applyNumberFormat="1" applyFont="1" applyFill="1" applyBorder="1" applyAlignment="1">
      <alignment horizontal="center"/>
    </xf>
    <xf numFmtId="0" fontId="26" fillId="0" borderId="0" xfId="0" applyFont="1" applyFill="1" applyAlignment="1">
      <alignment horizontal="center" vertical="center" wrapText="1"/>
    </xf>
    <xf numFmtId="0" fontId="21" fillId="0" borderId="19" xfId="0" applyFont="1" applyBorder="1"/>
    <xf numFmtId="0" fontId="21" fillId="0" borderId="16" xfId="0" applyFont="1" applyBorder="1"/>
    <xf numFmtId="44" fontId="23" fillId="9" borderId="0" xfId="0" applyNumberFormat="1" applyFont="1" applyFill="1"/>
    <xf numFmtId="44" fontId="30" fillId="0" borderId="0" xfId="0" applyNumberFormat="1" applyFont="1"/>
    <xf numFmtId="44" fontId="30" fillId="9" borderId="0" xfId="0" applyNumberFormat="1" applyFont="1" applyFill="1"/>
    <xf numFmtId="44" fontId="23" fillId="0" borderId="0" xfId="0" applyNumberFormat="1" applyFont="1"/>
    <xf numFmtId="0" fontId="21" fillId="0" borderId="0" xfId="0" applyFont="1" applyAlignment="1">
      <alignment horizontal="center"/>
    </xf>
    <xf numFmtId="0" fontId="23" fillId="0" borderId="0" xfId="0" applyFont="1" applyAlignment="1">
      <alignment horizontal="center" vertical="center"/>
    </xf>
    <xf numFmtId="0" fontId="18" fillId="4" borderId="1" xfId="4" applyFont="1"/>
    <xf numFmtId="0" fontId="19" fillId="4" borderId="1" xfId="4" applyFont="1"/>
    <xf numFmtId="0" fontId="30" fillId="0" borderId="0" xfId="0" applyFont="1"/>
    <xf numFmtId="0" fontId="21" fillId="0" borderId="8" xfId="0" applyFont="1" applyBorder="1" applyAlignment="1">
      <alignment horizontal="right"/>
    </xf>
    <xf numFmtId="44" fontId="21" fillId="0" borderId="8" xfId="9" applyFont="1" applyBorder="1"/>
    <xf numFmtId="44" fontId="21" fillId="0" borderId="8" xfId="0" applyNumberFormat="1" applyFont="1" applyBorder="1"/>
    <xf numFmtId="0" fontId="31" fillId="4" borderId="20" xfId="4" applyFont="1" applyBorder="1" applyAlignment="1">
      <alignment horizontal="center" vertical="center"/>
    </xf>
    <xf numFmtId="9" fontId="31" fillId="0" borderId="0" xfId="0" applyNumberFormat="1" applyFont="1" applyAlignment="1">
      <alignment horizontal="center" vertical="center"/>
    </xf>
    <xf numFmtId="0" fontId="30" fillId="15" borderId="0" xfId="0" applyFont="1" applyFill="1"/>
    <xf numFmtId="9" fontId="30" fillId="0" borderId="0" xfId="0" applyNumberFormat="1" applyFont="1"/>
    <xf numFmtId="0" fontId="9" fillId="15" borderId="8" xfId="0" applyFont="1" applyFill="1" applyBorder="1" applyAlignment="1">
      <alignment horizontal="right" vertical="center"/>
    </xf>
    <xf numFmtId="0" fontId="9" fillId="15" borderId="8" xfId="0" applyFont="1" applyFill="1" applyBorder="1" applyAlignment="1">
      <alignment horizontal="left" vertical="center"/>
    </xf>
    <xf numFmtId="3" fontId="9" fillId="15" borderId="8" xfId="7" applyNumberFormat="1" applyFont="1" applyFill="1" applyBorder="1"/>
    <xf numFmtId="164" fontId="9" fillId="15" borderId="8" xfId="1" applyNumberFormat="1" applyFont="1" applyFill="1" applyBorder="1"/>
    <xf numFmtId="0" fontId="21" fillId="0" borderId="8" xfId="0" applyFont="1" applyFill="1" applyBorder="1" applyAlignment="1">
      <alignment horizontal="right" vertical="center"/>
    </xf>
    <xf numFmtId="0" fontId="21" fillId="0" borderId="8" xfId="0" applyFont="1" applyFill="1" applyBorder="1"/>
    <xf numFmtId="3" fontId="21" fillId="0" borderId="8" xfId="7" applyNumberFormat="1" applyFont="1" applyFill="1" applyBorder="1"/>
    <xf numFmtId="0" fontId="30" fillId="0" borderId="8" xfId="0" applyFont="1" applyFill="1" applyBorder="1" applyAlignment="1">
      <alignment horizontal="right" vertical="center"/>
    </xf>
    <xf numFmtId="0" fontId="30" fillId="0" borderId="8" xfId="0" applyFont="1" applyFill="1" applyBorder="1"/>
    <xf numFmtId="3" fontId="30" fillId="0" borderId="8" xfId="7" applyNumberFormat="1" applyFont="1" applyFill="1" applyBorder="1"/>
    <xf numFmtId="0" fontId="30" fillId="0" borderId="8" xfId="0" applyFont="1" applyFill="1" applyBorder="1" applyAlignment="1">
      <alignment vertical="center"/>
    </xf>
    <xf numFmtId="0" fontId="21" fillId="0" borderId="8" xfId="0" applyFont="1" applyFill="1" applyBorder="1" applyAlignment="1">
      <alignment vertical="center"/>
    </xf>
    <xf numFmtId="0" fontId="30" fillId="0" borderId="8" xfId="0" applyFont="1" applyFill="1" applyBorder="1" applyAlignment="1">
      <alignment horizontal="left" vertical="center"/>
    </xf>
    <xf numFmtId="0" fontId="21" fillId="9" borderId="8" xfId="0" applyFont="1" applyFill="1" applyBorder="1" applyAlignment="1">
      <alignment horizontal="right" vertical="center"/>
    </xf>
    <xf numFmtId="3" fontId="21" fillId="9" borderId="8" xfId="7" applyNumberFormat="1" applyFont="1" applyFill="1" applyBorder="1"/>
    <xf numFmtId="0" fontId="23" fillId="16" borderId="0" xfId="0" applyFont="1" applyFill="1"/>
    <xf numFmtId="44" fontId="23" fillId="16" borderId="0" xfId="9" applyFont="1" applyFill="1"/>
    <xf numFmtId="0" fontId="30" fillId="4" borderId="8" xfId="4" applyFont="1" applyBorder="1"/>
    <xf numFmtId="3" fontId="30" fillId="4" borderId="8" xfId="4" applyNumberFormat="1" applyFont="1" applyBorder="1"/>
    <xf numFmtId="0" fontId="21" fillId="0" borderId="8" xfId="0" applyFont="1" applyFill="1" applyBorder="1" applyAlignment="1">
      <alignment horizontal="right"/>
    </xf>
    <xf numFmtId="168" fontId="21" fillId="0" borderId="0" xfId="9" applyNumberFormat="1" applyFont="1"/>
    <xf numFmtId="168" fontId="21" fillId="0" borderId="0" xfId="0" applyNumberFormat="1" applyFont="1"/>
    <xf numFmtId="0" fontId="21" fillId="16" borderId="8" xfId="0" applyFont="1" applyFill="1" applyBorder="1" applyAlignment="1">
      <alignment wrapText="1"/>
    </xf>
    <xf numFmtId="44" fontId="29" fillId="0" borderId="8" xfId="0" applyNumberFormat="1" applyFont="1" applyFill="1" applyBorder="1" applyAlignment="1">
      <alignment horizontal="center"/>
    </xf>
    <xf numFmtId="0" fontId="30" fillId="9" borderId="0" xfId="0" applyFont="1" applyFill="1" applyAlignment="1">
      <alignment horizontal="center"/>
    </xf>
    <xf numFmtId="3" fontId="30" fillId="0" borderId="0" xfId="0" applyNumberFormat="1" applyFont="1"/>
    <xf numFmtId="0" fontId="21" fillId="0" borderId="15" xfId="0" applyFont="1" applyBorder="1"/>
    <xf numFmtId="0" fontId="21" fillId="0" borderId="0" xfId="0" applyFont="1" applyBorder="1"/>
    <xf numFmtId="3" fontId="21" fillId="0" borderId="19" xfId="0" applyNumberFormat="1" applyFont="1" applyBorder="1"/>
    <xf numFmtId="0" fontId="30" fillId="0" borderId="0" xfId="0" applyFont="1" applyAlignment="1">
      <alignment horizontal="center"/>
    </xf>
    <xf numFmtId="44" fontId="20" fillId="0" borderId="0" xfId="9" applyFont="1"/>
    <xf numFmtId="44" fontId="20" fillId="0" borderId="0" xfId="0" applyNumberFormat="1" applyFont="1"/>
    <xf numFmtId="44" fontId="20" fillId="0" borderId="18" xfId="9" applyFont="1" applyBorder="1"/>
    <xf numFmtId="0" fontId="6" fillId="17" borderId="2" xfId="0" applyFont="1" applyFill="1" applyBorder="1" applyAlignment="1">
      <alignment horizontal="center" vertical="center"/>
    </xf>
    <xf numFmtId="3" fontId="21" fillId="0" borderId="8" xfId="0" applyNumberFormat="1" applyFont="1" applyFill="1" applyBorder="1"/>
    <xf numFmtId="0" fontId="19" fillId="18" borderId="8" xfId="3" applyFont="1" applyFill="1" applyBorder="1"/>
    <xf numFmtId="0" fontId="19" fillId="18" borderId="8" xfId="4" applyFont="1" applyFill="1" applyBorder="1"/>
    <xf numFmtId="0" fontId="19" fillId="18" borderId="8" xfId="6" applyFont="1" applyFill="1" applyBorder="1"/>
    <xf numFmtId="0" fontId="9" fillId="8" borderId="8" xfId="0" applyFont="1" applyFill="1" applyBorder="1"/>
    <xf numFmtId="0" fontId="9" fillId="8" borderId="8" xfId="0" applyFont="1" applyFill="1" applyBorder="1" applyAlignment="1">
      <alignment wrapText="1"/>
    </xf>
    <xf numFmtId="3" fontId="9" fillId="8" borderId="8" xfId="7" applyNumberFormat="1" applyFont="1" applyFill="1" applyBorder="1"/>
    <xf numFmtId="0" fontId="33" fillId="11" borderId="0" xfId="12" applyFont="1"/>
    <xf numFmtId="44" fontId="33" fillId="11" borderId="0" xfId="12" applyNumberFormat="1" applyFont="1"/>
    <xf numFmtId="44" fontId="33" fillId="19" borderId="0" xfId="13" applyNumberFormat="1" applyFont="1"/>
    <xf numFmtId="44" fontId="30" fillId="0" borderId="0" xfId="9" applyFont="1"/>
    <xf numFmtId="168" fontId="9" fillId="0" borderId="0" xfId="9" applyNumberFormat="1" applyFont="1"/>
    <xf numFmtId="0" fontId="34" fillId="0" borderId="0" xfId="0" applyFont="1"/>
    <xf numFmtId="0" fontId="19" fillId="12" borderId="8" xfId="6" applyFont="1" applyFill="1" applyBorder="1"/>
    <xf numFmtId="0" fontId="19" fillId="12" borderId="8" xfId="4" applyFont="1" applyFill="1" applyBorder="1"/>
    <xf numFmtId="44" fontId="30" fillId="0" borderId="8" xfId="9" applyFont="1" applyBorder="1"/>
    <xf numFmtId="44" fontId="23" fillId="0" borderId="8" xfId="9" applyFont="1" applyBorder="1"/>
    <xf numFmtId="0" fontId="33" fillId="19" borderId="0" xfId="13" applyFont="1"/>
    <xf numFmtId="168" fontId="33" fillId="19" borderId="0" xfId="13" applyNumberFormat="1" applyFont="1"/>
    <xf numFmtId="168" fontId="23" fillId="0" borderId="0" xfId="9" applyNumberFormat="1" applyFont="1"/>
    <xf numFmtId="44" fontId="30" fillId="4" borderId="1" xfId="4" applyNumberFormat="1" applyFont="1"/>
    <xf numFmtId="0" fontId="35" fillId="4" borderId="1" xfId="4" applyFont="1"/>
    <xf numFmtId="0" fontId="36" fillId="4" borderId="1" xfId="4" applyFont="1"/>
    <xf numFmtId="0" fontId="23" fillId="9" borderId="8" xfId="0" applyFont="1" applyFill="1" applyBorder="1" applyAlignment="1">
      <alignment horizontal="right" vertical="center"/>
    </xf>
    <xf numFmtId="0" fontId="23" fillId="9" borderId="8" xfId="0" applyFont="1" applyFill="1" applyBorder="1"/>
    <xf numFmtId="3" fontId="23" fillId="9" borderId="8" xfId="7" applyNumberFormat="1" applyFont="1" applyFill="1" applyBorder="1"/>
    <xf numFmtId="0" fontId="23" fillId="0" borderId="8" xfId="0" applyFont="1" applyFill="1" applyBorder="1" applyAlignment="1">
      <alignment horizontal="right" vertical="center"/>
    </xf>
    <xf numFmtId="0" fontId="23" fillId="0" borderId="8" xfId="0" applyFont="1" applyFill="1" applyBorder="1" applyAlignment="1">
      <alignment vertical="center"/>
    </xf>
    <xf numFmtId="3" fontId="23" fillId="0" borderId="8" xfId="7" applyNumberFormat="1" applyFont="1" applyFill="1" applyBorder="1"/>
    <xf numFmtId="0" fontId="30" fillId="12" borderId="8" xfId="4" applyFont="1" applyFill="1" applyBorder="1"/>
    <xf numFmtId="3" fontId="30" fillId="12" borderId="8" xfId="4" applyNumberFormat="1" applyFont="1" applyFill="1" applyBorder="1"/>
    <xf numFmtId="0" fontId="30" fillId="12" borderId="8" xfId="0" applyFont="1" applyFill="1" applyBorder="1" applyAlignment="1">
      <alignment horizontal="right" vertical="center"/>
    </xf>
    <xf numFmtId="0" fontId="30" fillId="12" borderId="8" xfId="0" applyFont="1" applyFill="1" applyBorder="1"/>
    <xf numFmtId="3" fontId="30" fillId="12" borderId="8" xfId="7" applyNumberFormat="1" applyFont="1" applyFill="1" applyBorder="1"/>
    <xf numFmtId="0" fontId="30" fillId="0" borderId="8" xfId="0" applyFont="1" applyBorder="1"/>
    <xf numFmtId="0" fontId="38" fillId="4" borderId="1" xfId="4" applyFont="1" applyAlignment="1">
      <alignment horizontal="center" vertical="center"/>
    </xf>
    <xf numFmtId="167" fontId="38" fillId="4" borderId="1" xfId="4" applyNumberFormat="1" applyFont="1" applyAlignment="1">
      <alignment horizontal="center"/>
    </xf>
    <xf numFmtId="0" fontId="38" fillId="4" borderId="1" xfId="4" applyFont="1" applyAlignment="1">
      <alignment horizontal="center"/>
    </xf>
    <xf numFmtId="41" fontId="38" fillId="4" borderId="1" xfId="4" applyNumberFormat="1" applyFont="1" applyAlignment="1">
      <alignment horizontal="center"/>
    </xf>
    <xf numFmtId="0" fontId="38" fillId="14" borderId="17" xfId="0" applyFont="1" applyFill="1" applyBorder="1" applyAlignment="1">
      <alignment horizontal="center" vertical="center"/>
    </xf>
    <xf numFmtId="167" fontId="38" fillId="14" borderId="8" xfId="0" applyNumberFormat="1" applyFont="1" applyFill="1" applyBorder="1" applyAlignment="1">
      <alignment horizontal="center"/>
    </xf>
    <xf numFmtId="0" fontId="38" fillId="14" borderId="8" xfId="0" applyFont="1" applyFill="1" applyBorder="1" applyAlignment="1">
      <alignment horizontal="center"/>
    </xf>
    <xf numFmtId="41" fontId="38" fillId="14" borderId="8" xfId="0" applyNumberFormat="1" applyFont="1" applyFill="1" applyBorder="1" applyAlignment="1">
      <alignment horizontal="center"/>
    </xf>
    <xf numFmtId="0" fontId="11" fillId="4" borderId="8" xfId="4" applyFont="1" applyBorder="1" applyAlignment="1">
      <alignment horizontal="right" vertical="center"/>
    </xf>
    <xf numFmtId="0" fontId="11" fillId="4" borderId="8" xfId="4" applyFont="1" applyBorder="1"/>
    <xf numFmtId="3" fontId="11" fillId="4" borderId="8" xfId="4" applyNumberFormat="1" applyFont="1" applyBorder="1"/>
    <xf numFmtId="0" fontId="5" fillId="16" borderId="8" xfId="4" applyFont="1" applyFill="1" applyBorder="1" applyAlignment="1">
      <alignment horizontal="right" vertical="center"/>
    </xf>
    <xf numFmtId="0" fontId="5" fillId="16" borderId="8" xfId="4" applyFont="1" applyFill="1" applyBorder="1"/>
    <xf numFmtId="3" fontId="5" fillId="16" borderId="8" xfId="4" applyNumberFormat="1" applyFont="1" applyFill="1" applyBorder="1"/>
    <xf numFmtId="164" fontId="5" fillId="16" borderId="8" xfId="1" applyNumberFormat="1" applyFont="1" applyFill="1" applyBorder="1"/>
    <xf numFmtId="0" fontId="30" fillId="20" borderId="0" xfId="0" applyFont="1" applyFill="1"/>
    <xf numFmtId="41" fontId="30" fillId="20" borderId="0" xfId="0" applyNumberFormat="1" applyFont="1" applyFill="1"/>
    <xf numFmtId="41" fontId="30" fillId="15" borderId="0" xfId="0" applyNumberFormat="1" applyFont="1" applyFill="1"/>
    <xf numFmtId="41" fontId="23" fillId="9" borderId="19" xfId="0" applyNumberFormat="1" applyFont="1" applyFill="1" applyBorder="1"/>
    <xf numFmtId="41" fontId="23" fillId="9" borderId="0" xfId="0" applyNumberFormat="1" applyFont="1" applyFill="1"/>
    <xf numFmtId="3" fontId="30" fillId="0" borderId="8" xfId="0" applyNumberFormat="1" applyFont="1" applyBorder="1"/>
    <xf numFmtId="3" fontId="21" fillId="15" borderId="16" xfId="0" applyNumberFormat="1" applyFont="1" applyFill="1" applyBorder="1"/>
    <xf numFmtId="0" fontId="9" fillId="9" borderId="8" xfId="0" applyFont="1" applyFill="1" applyBorder="1"/>
    <xf numFmtId="3" fontId="9" fillId="9" borderId="8" xfId="7" applyNumberFormat="1" applyFont="1" applyFill="1" applyBorder="1"/>
    <xf numFmtId="0" fontId="5" fillId="9" borderId="8" xfId="0" applyFont="1" applyFill="1" applyBorder="1" applyAlignment="1">
      <alignment horizontal="right"/>
    </xf>
    <xf numFmtId="0" fontId="5" fillId="9" borderId="8" xfId="0" applyFont="1" applyFill="1" applyBorder="1"/>
    <xf numFmtId="3" fontId="5" fillId="9" borderId="8" xfId="7" applyNumberFormat="1" applyFont="1" applyFill="1" applyBorder="1"/>
    <xf numFmtId="164" fontId="5" fillId="9" borderId="8" xfId="1" applyNumberFormat="1" applyFont="1" applyFill="1" applyBorder="1"/>
    <xf numFmtId="0" fontId="16" fillId="9" borderId="8" xfId="0" applyFont="1" applyFill="1" applyBorder="1" applyAlignment="1">
      <alignment horizontal="right"/>
    </xf>
    <xf numFmtId="0" fontId="16" fillId="9" borderId="8" xfId="0" applyFont="1" applyFill="1" applyBorder="1"/>
    <xf numFmtId="3" fontId="16" fillId="9" borderId="8" xfId="7" applyNumberFormat="1" applyFont="1" applyFill="1" applyBorder="1"/>
    <xf numFmtId="164" fontId="16" fillId="9" borderId="8" xfId="1" applyNumberFormat="1" applyFont="1" applyFill="1" applyBorder="1"/>
    <xf numFmtId="0" fontId="11" fillId="9" borderId="8" xfId="0" applyFont="1" applyFill="1" applyBorder="1" applyAlignment="1">
      <alignment horizontal="right"/>
    </xf>
    <xf numFmtId="0" fontId="11" fillId="9" borderId="8" xfId="0" applyFont="1" applyFill="1" applyBorder="1"/>
    <xf numFmtId="3" fontId="11" fillId="9" borderId="8" xfId="7" applyNumberFormat="1" applyFont="1" applyFill="1" applyBorder="1"/>
    <xf numFmtId="164" fontId="11" fillId="9" borderId="8" xfId="1" applyNumberFormat="1" applyFont="1" applyFill="1" applyBorder="1"/>
    <xf numFmtId="0" fontId="9" fillId="9" borderId="8" xfId="0" applyFont="1" applyFill="1" applyBorder="1" applyAlignment="1">
      <alignment horizontal="right"/>
    </xf>
    <xf numFmtId="3" fontId="23" fillId="9" borderId="8" xfId="0" applyNumberFormat="1" applyFont="1" applyFill="1" applyBorder="1"/>
    <xf numFmtId="44" fontId="21" fillId="9" borderId="8" xfId="0" applyNumberFormat="1" applyFont="1" applyFill="1" applyBorder="1"/>
    <xf numFmtId="0" fontId="21" fillId="18" borderId="8" xfId="0" applyFont="1" applyFill="1" applyBorder="1"/>
    <xf numFmtId="44" fontId="21" fillId="18" borderId="8" xfId="0" applyNumberFormat="1" applyFont="1" applyFill="1" applyBorder="1"/>
    <xf numFmtId="0" fontId="5" fillId="18" borderId="8" xfId="0" applyFont="1" applyFill="1" applyBorder="1" applyAlignment="1">
      <alignment horizontal="right"/>
    </xf>
    <xf numFmtId="0" fontId="5" fillId="18" borderId="8" xfId="0" applyFont="1" applyFill="1" applyBorder="1"/>
    <xf numFmtId="3" fontId="5" fillId="18" borderId="8" xfId="7" applyNumberFormat="1" applyFont="1" applyFill="1" applyBorder="1"/>
    <xf numFmtId="164" fontId="5" fillId="18" borderId="8" xfId="1" applyNumberFormat="1" applyFont="1" applyFill="1" applyBorder="1"/>
    <xf numFmtId="0" fontId="9" fillId="18" borderId="8" xfId="0" applyFont="1" applyFill="1" applyBorder="1"/>
    <xf numFmtId="3" fontId="9" fillId="18" borderId="8" xfId="7" applyNumberFormat="1" applyFont="1" applyFill="1" applyBorder="1"/>
    <xf numFmtId="3" fontId="39" fillId="4" borderId="8" xfId="4" applyNumberFormat="1" applyFont="1" applyBorder="1"/>
    <xf numFmtId="44" fontId="40" fillId="0" borderId="0" xfId="9" applyFont="1"/>
    <xf numFmtId="3" fontId="40" fillId="0" borderId="8" xfId="7" applyNumberFormat="1" applyFont="1" applyFill="1" applyBorder="1"/>
    <xf numFmtId="0" fontId="41" fillId="0" borderId="8" xfId="0" applyFont="1" applyFill="1" applyBorder="1" applyAlignment="1">
      <alignment horizontal="right"/>
    </xf>
    <xf numFmtId="0" fontId="41" fillId="0" borderId="8" xfId="0" applyFont="1" applyFill="1" applyBorder="1"/>
    <xf numFmtId="3" fontId="41" fillId="0" borderId="8" xfId="7" applyNumberFormat="1" applyFont="1" applyFill="1" applyBorder="1"/>
    <xf numFmtId="0" fontId="42" fillId="0" borderId="8" xfId="0" applyFont="1" applyFill="1" applyBorder="1" applyAlignment="1">
      <alignment horizontal="right"/>
    </xf>
    <xf numFmtId="0" fontId="42" fillId="0" borderId="8" xfId="0" applyFont="1" applyFill="1" applyBorder="1"/>
    <xf numFmtId="3" fontId="42" fillId="0" borderId="8" xfId="7" applyNumberFormat="1" applyFont="1" applyFill="1" applyBorder="1"/>
    <xf numFmtId="0" fontId="9" fillId="21" borderId="8" xfId="0" applyFont="1" applyFill="1" applyBorder="1"/>
    <xf numFmtId="3" fontId="9" fillId="21" borderId="8" xfId="7" applyNumberFormat="1" applyFont="1" applyFill="1" applyBorder="1"/>
    <xf numFmtId="44" fontId="30" fillId="9" borderId="8" xfId="9" applyFont="1" applyFill="1" applyBorder="1"/>
    <xf numFmtId="0" fontId="23" fillId="0" borderId="8" xfId="0" applyFont="1" applyBorder="1"/>
    <xf numFmtId="3" fontId="23" fillId="0" borderId="8" xfId="0" applyNumberFormat="1" applyFont="1" applyBorder="1"/>
    <xf numFmtId="0" fontId="43" fillId="0" borderId="8" xfId="0" applyFont="1" applyFill="1" applyBorder="1" applyAlignment="1">
      <alignment horizontal="right"/>
    </xf>
    <xf numFmtId="0" fontId="43" fillId="0" borderId="8" xfId="0" applyFont="1" applyFill="1" applyBorder="1"/>
    <xf numFmtId="0" fontId="43" fillId="0" borderId="8" xfId="0" applyFont="1" applyBorder="1" applyAlignment="1">
      <alignment horizontal="right"/>
    </xf>
    <xf numFmtId="0" fontId="43" fillId="0" borderId="8" xfId="0" applyFont="1" applyBorder="1"/>
    <xf numFmtId="44" fontId="43" fillId="0" borderId="8" xfId="0" applyNumberFormat="1" applyFont="1" applyBorder="1"/>
    <xf numFmtId="44" fontId="43" fillId="0" borderId="8" xfId="9" applyFont="1" applyBorder="1"/>
    <xf numFmtId="0" fontId="43" fillId="0" borderId="0" xfId="0" applyFont="1"/>
    <xf numFmtId="0" fontId="41" fillId="18" borderId="8" xfId="4" applyFont="1" applyFill="1" applyBorder="1"/>
    <xf numFmtId="3" fontId="41" fillId="18" borderId="8" xfId="4" applyNumberFormat="1" applyFont="1" applyFill="1" applyBorder="1"/>
    <xf numFmtId="164" fontId="41" fillId="18" borderId="8" xfId="1" applyNumberFormat="1" applyFont="1" applyFill="1" applyBorder="1"/>
    <xf numFmtId="3" fontId="21" fillId="12" borderId="15" xfId="0" applyNumberFormat="1" applyFont="1" applyFill="1" applyBorder="1"/>
    <xf numFmtId="0" fontId="19" fillId="0" borderId="0" xfId="0" applyFont="1" applyAlignment="1">
      <alignment vertical="center"/>
    </xf>
    <xf numFmtId="169" fontId="30" fillId="0" borderId="0" xfId="0" applyNumberFormat="1" applyFont="1"/>
    <xf numFmtId="169" fontId="30" fillId="0" borderId="0" xfId="0" applyNumberFormat="1" applyFont="1" applyFill="1"/>
    <xf numFmtId="44" fontId="21" fillId="0" borderId="0" xfId="9" applyFont="1" applyFill="1"/>
    <xf numFmtId="44" fontId="30" fillId="0" borderId="0" xfId="0" applyNumberFormat="1" applyFont="1" applyFill="1"/>
    <xf numFmtId="0" fontId="47" fillId="0" borderId="8" xfId="0" applyFont="1" applyFill="1" applyBorder="1" applyAlignment="1">
      <alignment horizontal="right" vertical="center"/>
    </xf>
    <xf numFmtId="0" fontId="47" fillId="0" borderId="8" xfId="0" applyFont="1" applyFill="1" applyBorder="1"/>
    <xf numFmtId="3" fontId="47" fillId="0" borderId="8" xfId="7" applyNumberFormat="1" applyFont="1" applyFill="1" applyBorder="1"/>
    <xf numFmtId="164" fontId="47" fillId="0" borderId="8" xfId="1" applyNumberFormat="1" applyFont="1" applyFill="1" applyBorder="1"/>
    <xf numFmtId="0" fontId="47" fillId="0" borderId="8" xfId="0" applyFont="1" applyFill="1" applyBorder="1" applyAlignment="1">
      <alignment horizontal="right"/>
    </xf>
    <xf numFmtId="16" fontId="48" fillId="2" borderId="0" xfId="2" applyNumberFormat="1" applyFont="1"/>
    <xf numFmtId="168" fontId="48" fillId="2" borderId="0" xfId="2" applyNumberFormat="1" applyFont="1"/>
    <xf numFmtId="0" fontId="48" fillId="2" borderId="0" xfId="2" applyFont="1"/>
    <xf numFmtId="0" fontId="5" fillId="9" borderId="8" xfId="0" applyFont="1" applyFill="1" applyBorder="1" applyAlignment="1">
      <alignment horizontal="right" vertical="center"/>
    </xf>
    <xf numFmtId="0" fontId="49" fillId="0" borderId="8" xfId="0" applyFont="1" applyFill="1" applyBorder="1"/>
    <xf numFmtId="3" fontId="49" fillId="0" borderId="8" xfId="7" applyNumberFormat="1" applyFont="1" applyFill="1" applyBorder="1"/>
    <xf numFmtId="164" fontId="42" fillId="0" borderId="8" xfId="1" applyNumberFormat="1" applyFont="1" applyFill="1" applyBorder="1"/>
    <xf numFmtId="164" fontId="41" fillId="0" borderId="8" xfId="1" applyNumberFormat="1" applyFont="1" applyFill="1" applyBorder="1"/>
    <xf numFmtId="0" fontId="9" fillId="14" borderId="8" xfId="0" applyFont="1" applyFill="1" applyBorder="1"/>
    <xf numFmtId="3" fontId="9" fillId="14" borderId="8" xfId="7" applyNumberFormat="1" applyFont="1" applyFill="1" applyBorder="1"/>
    <xf numFmtId="0" fontId="19" fillId="22" borderId="0" xfId="14" applyFont="1" applyAlignment="1">
      <alignment horizontal="center" vertical="center" wrapText="1"/>
    </xf>
    <xf numFmtId="0" fontId="45" fillId="0" borderId="0" xfId="0" applyFont="1" applyAlignment="1">
      <alignment horizontal="center" vertical="center" wrapText="1"/>
    </xf>
    <xf numFmtId="0" fontId="44" fillId="4" borderId="22" xfId="4" applyFont="1" applyBorder="1" applyAlignment="1">
      <alignment horizontal="center" vertical="center" wrapText="1"/>
    </xf>
    <xf numFmtId="0" fontId="44" fillId="4" borderId="0" xfId="4" applyFont="1" applyBorder="1" applyAlignment="1">
      <alignment horizontal="center" vertical="center" wrapText="1"/>
    </xf>
    <xf numFmtId="0" fontId="19" fillId="0" borderId="0" xfId="0" applyFont="1" applyAlignment="1">
      <alignment horizontal="center" vertical="center" wrapText="1"/>
    </xf>
    <xf numFmtId="0" fontId="6" fillId="5" borderId="0" xfId="5" applyFont="1" applyBorder="1" applyAlignment="1">
      <alignment horizontal="center" vertical="center"/>
    </xf>
    <xf numFmtId="164" fontId="7" fillId="7" borderId="3" xfId="5" applyNumberFormat="1" applyFont="1" applyFill="1" applyBorder="1" applyAlignment="1">
      <alignment horizontal="center"/>
    </xf>
    <xf numFmtId="0" fontId="32" fillId="8" borderId="21" xfId="5" applyFont="1" applyFill="1" applyBorder="1" applyAlignment="1">
      <alignment horizontal="center" vertical="center" wrapText="1"/>
    </xf>
    <xf numFmtId="0" fontId="32" fillId="8" borderId="0" xfId="5" applyFont="1" applyFill="1" applyBorder="1" applyAlignment="1">
      <alignment horizontal="center" vertical="center" wrapText="1"/>
    </xf>
    <xf numFmtId="0" fontId="5" fillId="0" borderId="0" xfId="0" applyFont="1" applyAlignment="1">
      <alignment horizontal="center" vertical="center" wrapText="1"/>
    </xf>
    <xf numFmtId="0" fontId="29" fillId="14" borderId="14" xfId="0" applyFont="1" applyFill="1" applyBorder="1" applyAlignment="1">
      <alignment vertical="center" wrapText="1"/>
    </xf>
    <xf numFmtId="0" fontId="30" fillId="14" borderId="15" xfId="0" applyFont="1" applyFill="1" applyBorder="1" applyAlignment="1">
      <alignment vertical="center" wrapText="1"/>
    </xf>
    <xf numFmtId="0" fontId="30" fillId="14" borderId="16" xfId="0" applyFont="1" applyFill="1" applyBorder="1" applyAlignment="1">
      <alignment vertical="center" wrapText="1"/>
    </xf>
    <xf numFmtId="0" fontId="28" fillId="14" borderId="12" xfId="0" applyFont="1" applyFill="1" applyBorder="1" applyAlignment="1">
      <alignment horizontal="center"/>
    </xf>
    <xf numFmtId="0" fontId="28" fillId="14" borderId="13" xfId="0" applyFont="1" applyFill="1" applyBorder="1" applyAlignment="1">
      <alignment horizontal="center"/>
    </xf>
    <xf numFmtId="0" fontId="21" fillId="0" borderId="18" xfId="0" applyFont="1" applyBorder="1" applyAlignment="1">
      <alignment horizontal="center"/>
    </xf>
    <xf numFmtId="0" fontId="27" fillId="13" borderId="8" xfId="11" applyFont="1" applyFill="1" applyBorder="1" applyAlignment="1">
      <alignment horizontal="center" vertical="center" wrapText="1"/>
    </xf>
    <xf numFmtId="0" fontId="29" fillId="4" borderId="1" xfId="4" applyFont="1" applyAlignment="1">
      <alignment vertical="center" wrapText="1"/>
    </xf>
    <xf numFmtId="0" fontId="30" fillId="4" borderId="1" xfId="4" applyFont="1" applyAlignment="1">
      <alignment vertical="center" wrapText="1"/>
    </xf>
    <xf numFmtId="0" fontId="28" fillId="4" borderId="11" xfId="4" applyFont="1" applyBorder="1" applyAlignment="1">
      <alignment horizontal="center"/>
    </xf>
    <xf numFmtId="0" fontId="28" fillId="4" borderId="12" xfId="4" applyFont="1" applyBorder="1" applyAlignment="1">
      <alignment horizontal="center"/>
    </xf>
    <xf numFmtId="0" fontId="28" fillId="4" borderId="13" xfId="4" applyFont="1" applyBorder="1" applyAlignment="1">
      <alignment horizontal="center"/>
    </xf>
    <xf numFmtId="0" fontId="27" fillId="13" borderId="9" xfId="11" applyFont="1" applyFill="1" applyBorder="1" applyAlignment="1">
      <alignment horizontal="center" vertical="center" wrapText="1"/>
    </xf>
    <xf numFmtId="0" fontId="27" fillId="13" borderId="7" xfId="11" applyFont="1" applyFill="1" applyBorder="1" applyAlignment="1">
      <alignment horizontal="center" vertical="center" wrapText="1"/>
    </xf>
    <xf numFmtId="0" fontId="37" fillId="13" borderId="8" xfId="11" applyFont="1" applyFill="1" applyBorder="1" applyAlignment="1">
      <alignment horizontal="center" vertical="center" wrapText="1"/>
    </xf>
    <xf numFmtId="0" fontId="40" fillId="0" borderId="0" xfId="0" applyFont="1"/>
    <xf numFmtId="0" fontId="30" fillId="0" borderId="0" xfId="0" applyFont="1" applyFill="1"/>
    <xf numFmtId="164" fontId="0" fillId="0" borderId="0" xfId="0" applyNumberFormat="1"/>
    <xf numFmtId="0" fontId="22" fillId="5" borderId="8" xfId="5" applyFont="1" applyBorder="1"/>
    <xf numFmtId="3" fontId="22" fillId="5" borderId="8" xfId="5" applyNumberFormat="1" applyFont="1" applyBorder="1"/>
    <xf numFmtId="164" fontId="22" fillId="5" borderId="8" xfId="5" applyNumberFormat="1" applyFont="1" applyBorder="1"/>
    <xf numFmtId="0" fontId="51" fillId="23" borderId="23" xfId="15" applyFont="1"/>
    <xf numFmtId="3" fontId="51" fillId="23" borderId="23" xfId="15" applyNumberFormat="1" applyFont="1"/>
    <xf numFmtId="0" fontId="10" fillId="0" borderId="0" xfId="7"/>
    <xf numFmtId="0" fontId="52" fillId="4" borderId="1" xfId="4" applyFont="1"/>
    <xf numFmtId="0" fontId="53" fillId="4" borderId="1" xfId="4" applyFont="1"/>
    <xf numFmtId="41" fontId="38" fillId="24" borderId="1" xfId="4" applyNumberFormat="1" applyFont="1" applyFill="1" applyAlignment="1">
      <alignment horizontal="center"/>
    </xf>
    <xf numFmtId="41" fontId="38" fillId="24" borderId="8" xfId="0" applyNumberFormat="1" applyFont="1" applyFill="1" applyBorder="1" applyAlignment="1">
      <alignment horizontal="center"/>
    </xf>
    <xf numFmtId="0" fontId="11" fillId="24" borderId="8" xfId="4" applyFont="1" applyFill="1" applyBorder="1" applyAlignment="1">
      <alignment horizontal="right" vertical="center"/>
    </xf>
    <xf numFmtId="0" fontId="11" fillId="24" borderId="8" xfId="4" applyFont="1" applyFill="1" applyBorder="1"/>
    <xf numFmtId="3" fontId="11" fillId="24" borderId="8" xfId="4" applyNumberFormat="1" applyFont="1" applyFill="1" applyBorder="1"/>
    <xf numFmtId="0" fontId="41" fillId="24" borderId="8" xfId="4" applyFont="1" applyFill="1" applyBorder="1"/>
    <xf numFmtId="3" fontId="41" fillId="24" borderId="8" xfId="4" applyNumberFormat="1" applyFont="1" applyFill="1" applyBorder="1"/>
    <xf numFmtId="0" fontId="0" fillId="0" borderId="14" xfId="0" applyBorder="1" applyAlignment="1">
      <alignment horizontal="center" wrapText="1"/>
    </xf>
    <xf numFmtId="0" fontId="0" fillId="0" borderId="15" xfId="0" applyBorder="1" applyAlignment="1">
      <alignment horizontal="center" wrapText="1"/>
    </xf>
    <xf numFmtId="0" fontId="0" fillId="0" borderId="16" xfId="0" applyBorder="1" applyAlignment="1">
      <alignment horizontal="center" wrapText="1"/>
    </xf>
    <xf numFmtId="0" fontId="0" fillId="0" borderId="12" xfId="0" applyBorder="1" applyAlignment="1">
      <alignment horizontal="center" wrapText="1"/>
    </xf>
    <xf numFmtId="0" fontId="0" fillId="0" borderId="0" xfId="0" applyBorder="1" applyAlignment="1">
      <alignment horizontal="center" wrapText="1"/>
    </xf>
    <xf numFmtId="0" fontId="0" fillId="0" borderId="19" xfId="0" applyBorder="1" applyAlignment="1">
      <alignment horizontal="center" wrapText="1"/>
    </xf>
    <xf numFmtId="0" fontId="0" fillId="0" borderId="13" xfId="0" applyBorder="1" applyAlignment="1">
      <alignment horizontal="center" wrapText="1"/>
    </xf>
    <xf numFmtId="0" fontId="0" fillId="0" borderId="18" xfId="0" applyBorder="1" applyAlignment="1">
      <alignment horizontal="center" wrapText="1"/>
    </xf>
    <xf numFmtId="0" fontId="0" fillId="0" borderId="24" xfId="0" applyBorder="1" applyAlignment="1">
      <alignment horizontal="center" wrapText="1"/>
    </xf>
    <xf numFmtId="44" fontId="0" fillId="0" borderId="0" xfId="9" applyFont="1"/>
    <xf numFmtId="9" fontId="0" fillId="0" borderId="0" xfId="0" applyNumberFormat="1"/>
  </cellXfs>
  <cellStyles count="16">
    <cellStyle name="20% - Énfasis6" xfId="14" builtinId="50"/>
    <cellStyle name="40% - Énfasis5" xfId="6" builtinId="47"/>
    <cellStyle name="60% - Énfasis4" xfId="11" builtinId="44"/>
    <cellStyle name="Bueno" xfId="2" builtinId="26"/>
    <cellStyle name="Énfasis2" xfId="5" builtinId="33"/>
    <cellStyle name="Énfasis5" xfId="12" builtinId="45"/>
    <cellStyle name="Énfasis6" xfId="13" builtinId="49"/>
    <cellStyle name="Entrada" xfId="15" builtinId="20"/>
    <cellStyle name="Incorrecto" xfId="3" builtinId="27"/>
    <cellStyle name="Millares" xfId="1" builtinId="3"/>
    <cellStyle name="Millares [0]" xfId="8" builtinId="6"/>
    <cellStyle name="Moneda" xfId="9" builtinId="4"/>
    <cellStyle name="Normal" xfId="0" builtinId="0"/>
    <cellStyle name="Normal 5" xfId="7"/>
    <cellStyle name="Notas" xfId="4" builtinId="10"/>
    <cellStyle name="Porcentaje" xfId="10"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5</xdr:col>
      <xdr:colOff>0</xdr:colOff>
      <xdr:row>6</xdr:row>
      <xdr:rowOff>153519</xdr:rowOff>
    </xdr:to>
    <xdr:sp macro="" textlink="">
      <xdr:nvSpPr>
        <xdr:cNvPr id="2" name="Rectángulo 1"/>
        <xdr:cNvSpPr/>
      </xdr:nvSpPr>
      <xdr:spPr>
        <a:xfrm>
          <a:off x="3048000" y="381000"/>
          <a:ext cx="8963025" cy="915519"/>
        </a:xfrm>
        <a:prstGeom prst="rect">
          <a:avLst/>
        </a:prstGeom>
        <a:solidFill>
          <a:schemeClr val="accent3">
            <a:lumMod val="75000"/>
          </a:schemeClr>
        </a:solidFill>
        <a:ln w="38100">
          <a:solidFill>
            <a:schemeClr val="accent2">
              <a:lumMod val="75000"/>
            </a:schemeClr>
          </a:solidFill>
        </a:ln>
      </xdr:spPr>
      <xdr:style>
        <a:lnRef idx="1">
          <a:schemeClr val="accent2"/>
        </a:lnRef>
        <a:fillRef idx="2">
          <a:schemeClr val="accent2"/>
        </a:fillRef>
        <a:effectRef idx="1">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s-MX" sz="3200" b="1">
              <a:solidFill>
                <a:schemeClr val="bg1"/>
              </a:solidFill>
              <a:latin typeface="Arial Rounded MT Bold" panose="020F0704030504030204" pitchFamily="34" charset="0"/>
            </a:rPr>
            <a:t>HIPÓTESIS DE NEGOCIO EN MARCHA</a:t>
          </a:r>
          <a:endParaRPr lang="en-US" sz="3200" b="1">
            <a:solidFill>
              <a:schemeClr val="bg1"/>
            </a:solidFill>
            <a:latin typeface="Arial Rounded MT Bold" panose="020F0704030504030204" pitchFamily="34" charset="0"/>
          </a:endParaRPr>
        </a:p>
      </xdr:txBody>
    </xdr:sp>
    <xdr:clientData/>
  </xdr:twoCellAnchor>
  <xdr:twoCellAnchor editAs="oneCell">
    <xdr:from>
      <xdr:col>1</xdr:col>
      <xdr:colOff>885825</xdr:colOff>
      <xdr:row>20</xdr:row>
      <xdr:rowOff>85725</xdr:rowOff>
    </xdr:from>
    <xdr:to>
      <xdr:col>1</xdr:col>
      <xdr:colOff>1340144</xdr:colOff>
      <xdr:row>20</xdr:row>
      <xdr:rowOff>311812</xdr:rowOff>
    </xdr:to>
    <xdr:pic>
      <xdr:nvPicPr>
        <xdr:cNvPr id="3" name="Picture 2" descr="https://i.pinimg.com/564x/9b/36/11/9b361130ed47cae3a1b4cf13a7dd02a4.jpg"/>
        <xdr:cNvPicPr>
          <a:picLocks noChangeAspect="1" noChangeArrowheads="1"/>
        </xdr:cNvPicPr>
      </xdr:nvPicPr>
      <xdr:blipFill rotWithShape="1">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l="30580" t="1" r="36375" b="60686"/>
        <a:stretch/>
      </xdr:blipFill>
      <xdr:spPr bwMode="auto">
        <a:xfrm rot="5400000">
          <a:off x="2647766" y="7829734"/>
          <a:ext cx="226087" cy="4543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885825</xdr:colOff>
      <xdr:row>21</xdr:row>
      <xdr:rowOff>85725</xdr:rowOff>
    </xdr:from>
    <xdr:to>
      <xdr:col>1</xdr:col>
      <xdr:colOff>1305220</xdr:colOff>
      <xdr:row>21</xdr:row>
      <xdr:rowOff>300597</xdr:rowOff>
    </xdr:to>
    <xdr:pic>
      <xdr:nvPicPr>
        <xdr:cNvPr id="4" name="Picture 2" descr="https://i.pinimg.com/564x/9b/36/11/9b361130ed47cae3a1b4cf13a7dd02a4.jpg"/>
        <xdr:cNvPicPr>
          <a:picLocks noChangeAspect="1" noChangeArrowheads="1"/>
        </xdr:cNvPicPr>
      </xdr:nvPicPr>
      <xdr:blipFill rotWithShape="1">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l="47308" t="35298" b="38461"/>
        <a:stretch/>
      </xdr:blipFill>
      <xdr:spPr bwMode="auto">
        <a:xfrm flipH="1">
          <a:off x="2533650" y="8277225"/>
          <a:ext cx="419395" cy="2148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923925</xdr:colOff>
      <xdr:row>22</xdr:row>
      <xdr:rowOff>76200</xdr:rowOff>
    </xdr:from>
    <xdr:to>
      <xdr:col>1</xdr:col>
      <xdr:colOff>1290108</xdr:colOff>
      <xdr:row>22</xdr:row>
      <xdr:rowOff>313898</xdr:rowOff>
    </xdr:to>
    <xdr:pic>
      <xdr:nvPicPr>
        <xdr:cNvPr id="5" name="Picture 2" descr="https://i.pinimg.com/564x/9b/36/11/9b361130ed47cae3a1b4cf13a7dd02a4.jpg"/>
        <xdr:cNvPicPr>
          <a:picLocks noChangeAspect="1" noChangeArrowheads="1"/>
        </xdr:cNvPicPr>
      </xdr:nvPicPr>
      <xdr:blipFill rotWithShape="1">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t="39216" r="51703" b="34424"/>
        <a:stretch/>
      </xdr:blipFill>
      <xdr:spPr bwMode="auto">
        <a:xfrm>
          <a:off x="2571750" y="8601075"/>
          <a:ext cx="366183" cy="237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923925</xdr:colOff>
      <xdr:row>23</xdr:row>
      <xdr:rowOff>66675</xdr:rowOff>
    </xdr:from>
    <xdr:to>
      <xdr:col>1</xdr:col>
      <xdr:colOff>1315613</xdr:colOff>
      <xdr:row>23</xdr:row>
      <xdr:rowOff>299683</xdr:rowOff>
    </xdr:to>
    <xdr:pic>
      <xdr:nvPicPr>
        <xdr:cNvPr id="6" name="Picture 2" descr="https://i.pinimg.com/564x/9b/36/11/9b361130ed47cae3a1b4cf13a7dd02a4.jpg"/>
        <xdr:cNvPicPr>
          <a:picLocks noChangeAspect="1" noChangeArrowheads="1"/>
        </xdr:cNvPicPr>
      </xdr:nvPicPr>
      <xdr:blipFill rotWithShape="1">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r="68008" b="57006"/>
        <a:stretch/>
      </xdr:blipFill>
      <xdr:spPr bwMode="auto">
        <a:xfrm rot="16200000">
          <a:off x="2651090" y="8845585"/>
          <a:ext cx="233008" cy="3916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876300</xdr:colOff>
      <xdr:row>24</xdr:row>
      <xdr:rowOff>76200</xdr:rowOff>
    </xdr:from>
    <xdr:to>
      <xdr:col>1</xdr:col>
      <xdr:colOff>1330619</xdr:colOff>
      <xdr:row>24</xdr:row>
      <xdr:rowOff>302287</xdr:rowOff>
    </xdr:to>
    <xdr:pic>
      <xdr:nvPicPr>
        <xdr:cNvPr id="7" name="Picture 2" descr="https://i.pinimg.com/564x/9b/36/11/9b361130ed47cae3a1b4cf13a7dd02a4.jpg"/>
        <xdr:cNvPicPr>
          <a:picLocks noChangeAspect="1" noChangeArrowheads="1"/>
        </xdr:cNvPicPr>
      </xdr:nvPicPr>
      <xdr:blipFill rotWithShape="1">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l="30580" t="1" r="36375" b="60686"/>
        <a:stretch/>
      </xdr:blipFill>
      <xdr:spPr bwMode="auto">
        <a:xfrm rot="5400000">
          <a:off x="2638241" y="9153709"/>
          <a:ext cx="226087" cy="4543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847725</xdr:colOff>
      <xdr:row>25</xdr:row>
      <xdr:rowOff>95250</xdr:rowOff>
    </xdr:from>
    <xdr:to>
      <xdr:col>1</xdr:col>
      <xdr:colOff>1267120</xdr:colOff>
      <xdr:row>25</xdr:row>
      <xdr:rowOff>310122</xdr:rowOff>
    </xdr:to>
    <xdr:pic>
      <xdr:nvPicPr>
        <xdr:cNvPr id="8" name="Picture 2" descr="https://i.pinimg.com/564x/9b/36/11/9b361130ed47cae3a1b4cf13a7dd02a4.jpg"/>
        <xdr:cNvPicPr>
          <a:picLocks noChangeAspect="1" noChangeArrowheads="1"/>
        </xdr:cNvPicPr>
      </xdr:nvPicPr>
      <xdr:blipFill rotWithShape="1">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l="47308" t="35298" b="38461"/>
        <a:stretch/>
      </xdr:blipFill>
      <xdr:spPr bwMode="auto">
        <a:xfrm flipH="1">
          <a:off x="2495550" y="9620250"/>
          <a:ext cx="419395" cy="2148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923925</xdr:colOff>
      <xdr:row>26</xdr:row>
      <xdr:rowOff>85725</xdr:rowOff>
    </xdr:from>
    <xdr:to>
      <xdr:col>1</xdr:col>
      <xdr:colOff>1290108</xdr:colOff>
      <xdr:row>26</xdr:row>
      <xdr:rowOff>323423</xdr:rowOff>
    </xdr:to>
    <xdr:pic>
      <xdr:nvPicPr>
        <xdr:cNvPr id="9" name="Picture 2" descr="https://i.pinimg.com/564x/9b/36/11/9b361130ed47cae3a1b4cf13a7dd02a4.jpg"/>
        <xdr:cNvPicPr>
          <a:picLocks noChangeAspect="1" noChangeArrowheads="1"/>
        </xdr:cNvPicPr>
      </xdr:nvPicPr>
      <xdr:blipFill rotWithShape="1">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t="39216" r="51703" b="34424"/>
        <a:stretch/>
      </xdr:blipFill>
      <xdr:spPr bwMode="auto">
        <a:xfrm>
          <a:off x="2571750" y="9944100"/>
          <a:ext cx="366183" cy="237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923925</xdr:colOff>
      <xdr:row>27</xdr:row>
      <xdr:rowOff>85725</xdr:rowOff>
    </xdr:from>
    <xdr:to>
      <xdr:col>1</xdr:col>
      <xdr:colOff>1315613</xdr:colOff>
      <xdr:row>27</xdr:row>
      <xdr:rowOff>318733</xdr:rowOff>
    </xdr:to>
    <xdr:pic>
      <xdr:nvPicPr>
        <xdr:cNvPr id="10" name="Picture 2" descr="https://i.pinimg.com/564x/9b/36/11/9b361130ed47cae3a1b4cf13a7dd02a4.jpg"/>
        <xdr:cNvPicPr>
          <a:picLocks noChangeAspect="1" noChangeArrowheads="1"/>
        </xdr:cNvPicPr>
      </xdr:nvPicPr>
      <xdr:blipFill rotWithShape="1">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r="68008" b="57006"/>
        <a:stretch/>
      </xdr:blipFill>
      <xdr:spPr bwMode="auto">
        <a:xfrm rot="16200000">
          <a:off x="2651090" y="10198135"/>
          <a:ext cx="233008" cy="3916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1743075</xdr:colOff>
      <xdr:row>0</xdr:row>
      <xdr:rowOff>0</xdr:rowOff>
    </xdr:from>
    <xdr:to>
      <xdr:col>9</xdr:col>
      <xdr:colOff>76200</xdr:colOff>
      <xdr:row>3</xdr:row>
      <xdr:rowOff>355600</xdr:rowOff>
    </xdr:to>
    <xdr:sp macro="" textlink="">
      <xdr:nvSpPr>
        <xdr:cNvPr id="2" name="Elipse 1"/>
        <xdr:cNvSpPr/>
      </xdr:nvSpPr>
      <xdr:spPr>
        <a:xfrm>
          <a:off x="15030450" y="0"/>
          <a:ext cx="1781175" cy="1870075"/>
        </a:xfrm>
        <a:prstGeom prst="ellipse">
          <a:avLst/>
        </a:prstGeom>
        <a:solidFill>
          <a:schemeClr val="tx1">
            <a:lumMod val="65000"/>
            <a:lumOff val="35000"/>
          </a:schemeClr>
        </a:solidFill>
        <a:ln w="762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6</xdr:col>
      <xdr:colOff>1724025</xdr:colOff>
      <xdr:row>1</xdr:row>
      <xdr:rowOff>76200</xdr:rowOff>
    </xdr:from>
    <xdr:to>
      <xdr:col>8</xdr:col>
      <xdr:colOff>676275</xdr:colOff>
      <xdr:row>3</xdr:row>
      <xdr:rowOff>121223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11400" y="381000"/>
          <a:ext cx="1638300" cy="1254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1825625</xdr:colOff>
      <xdr:row>44</xdr:row>
      <xdr:rowOff>226785</xdr:rowOff>
    </xdr:from>
    <xdr:to>
      <xdr:col>7</xdr:col>
      <xdr:colOff>340179</xdr:colOff>
      <xdr:row>49</xdr:row>
      <xdr:rowOff>215446</xdr:rowOff>
    </xdr:to>
    <xdr:cxnSp macro="">
      <xdr:nvCxnSpPr>
        <xdr:cNvPr id="4" name="Conector recto de flecha 3"/>
        <xdr:cNvCxnSpPr/>
      </xdr:nvCxnSpPr>
      <xdr:spPr>
        <a:xfrm flipV="1">
          <a:off x="7699375" y="13187589"/>
          <a:ext cx="5896429" cy="1190625"/>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4</xdr:col>
      <xdr:colOff>0</xdr:colOff>
      <xdr:row>24</xdr:row>
      <xdr:rowOff>204108</xdr:rowOff>
    </xdr:from>
    <xdr:to>
      <xdr:col>7</xdr:col>
      <xdr:colOff>555625</xdr:colOff>
      <xdr:row>48</xdr:row>
      <xdr:rowOff>124732</xdr:rowOff>
    </xdr:to>
    <xdr:cxnSp macro="">
      <xdr:nvCxnSpPr>
        <xdr:cNvPr id="6" name="Conector recto de flecha 5"/>
        <xdr:cNvCxnSpPr/>
      </xdr:nvCxnSpPr>
      <xdr:spPr>
        <a:xfrm flipV="1">
          <a:off x="7744732" y="7483929"/>
          <a:ext cx="6066518" cy="6531428"/>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19050</xdr:colOff>
      <xdr:row>48</xdr:row>
      <xdr:rowOff>247650</xdr:rowOff>
    </xdr:from>
    <xdr:to>
      <xdr:col>7</xdr:col>
      <xdr:colOff>47625</xdr:colOff>
      <xdr:row>51</xdr:row>
      <xdr:rowOff>228600</xdr:rowOff>
    </xdr:to>
    <xdr:cxnSp macro="">
      <xdr:nvCxnSpPr>
        <xdr:cNvPr id="5" name="Conector recto de flecha 4"/>
        <xdr:cNvCxnSpPr/>
      </xdr:nvCxnSpPr>
      <xdr:spPr>
        <a:xfrm>
          <a:off x="7772400" y="13906500"/>
          <a:ext cx="5543550" cy="781050"/>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xdr:col>
      <xdr:colOff>1847850</xdr:colOff>
      <xdr:row>49</xdr:row>
      <xdr:rowOff>228600</xdr:rowOff>
    </xdr:from>
    <xdr:to>
      <xdr:col>7</xdr:col>
      <xdr:colOff>1695450</xdr:colOff>
      <xdr:row>58</xdr:row>
      <xdr:rowOff>133350</xdr:rowOff>
    </xdr:to>
    <xdr:cxnSp macro="">
      <xdr:nvCxnSpPr>
        <xdr:cNvPr id="8" name="Conector recto de flecha 7"/>
        <xdr:cNvCxnSpPr/>
      </xdr:nvCxnSpPr>
      <xdr:spPr>
        <a:xfrm>
          <a:off x="7724775" y="14154150"/>
          <a:ext cx="7239000" cy="2305050"/>
        </a:xfrm>
        <a:prstGeom prst="straightConnector1">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123825</xdr:colOff>
      <xdr:row>4</xdr:row>
      <xdr:rowOff>66675</xdr:rowOff>
    </xdr:from>
    <xdr:to>
      <xdr:col>17</xdr:col>
      <xdr:colOff>342900</xdr:colOff>
      <xdr:row>10</xdr:row>
      <xdr:rowOff>193675</xdr:rowOff>
    </xdr:to>
    <xdr:sp macro="" textlink="">
      <xdr:nvSpPr>
        <xdr:cNvPr id="2" name="Elipse 1"/>
        <xdr:cNvSpPr/>
      </xdr:nvSpPr>
      <xdr:spPr>
        <a:xfrm>
          <a:off x="22783800" y="1952625"/>
          <a:ext cx="1743075" cy="1870075"/>
        </a:xfrm>
        <a:prstGeom prst="ellipse">
          <a:avLst/>
        </a:prstGeom>
        <a:solidFill>
          <a:schemeClr val="tx1">
            <a:lumMod val="65000"/>
            <a:lumOff val="35000"/>
          </a:schemeClr>
        </a:solidFill>
        <a:ln w="762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11</xdr:col>
      <xdr:colOff>304800</xdr:colOff>
      <xdr:row>0</xdr:row>
      <xdr:rowOff>0</xdr:rowOff>
    </xdr:from>
    <xdr:to>
      <xdr:col>12</xdr:col>
      <xdr:colOff>695325</xdr:colOff>
      <xdr:row>3</xdr:row>
      <xdr:rowOff>196218</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916775" y="0"/>
          <a:ext cx="1152525" cy="17106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1704975</xdr:colOff>
      <xdr:row>0</xdr:row>
      <xdr:rowOff>9525</xdr:rowOff>
    </xdr:from>
    <xdr:to>
      <xdr:col>9</xdr:col>
      <xdr:colOff>38100</xdr:colOff>
      <xdr:row>3</xdr:row>
      <xdr:rowOff>365125</xdr:rowOff>
    </xdr:to>
    <xdr:sp macro="" textlink="">
      <xdr:nvSpPr>
        <xdr:cNvPr id="5" name="Elipse 4"/>
        <xdr:cNvSpPr/>
      </xdr:nvSpPr>
      <xdr:spPr>
        <a:xfrm>
          <a:off x="14992350" y="9525"/>
          <a:ext cx="1781175" cy="1870075"/>
        </a:xfrm>
        <a:prstGeom prst="ellipse">
          <a:avLst/>
        </a:prstGeom>
        <a:solidFill>
          <a:schemeClr val="tx1">
            <a:lumMod val="65000"/>
            <a:lumOff val="35000"/>
          </a:schemeClr>
        </a:solidFill>
        <a:ln w="762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6</xdr:col>
      <xdr:colOff>1714500</xdr:colOff>
      <xdr:row>1</xdr:row>
      <xdr:rowOff>9525</xdr:rowOff>
    </xdr:from>
    <xdr:to>
      <xdr:col>8</xdr:col>
      <xdr:colOff>666750</xdr:colOff>
      <xdr:row>3</xdr:row>
      <xdr:rowOff>54548</xdr:rowOff>
    </xdr:to>
    <xdr:pic>
      <xdr:nvPicPr>
        <xdr:cNvPr id="6" name="Imagen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01875" y="314325"/>
          <a:ext cx="1638300" cy="1254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esktop/SEMINARIOS%20QUE%20HICE/A&#209;O%202020%20Y%202019/SEMINARIO%20CIERRE%20DE%20A&#209;O%202020/Conciliaci&#243;n%20contable%20y%20fisca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INTRODUCCIÓN"/>
      <sheetName val="1.1 Cuentas por cobrar"/>
      <sheetName val="1.2 Cuentas por pagar"/>
      <sheetName val="1.3 Coberturas"/>
      <sheetName val="1.4 Inversiones negociables"/>
      <sheetName val="1.5 Inversiones asociadas"/>
      <sheetName val="1.6 Inversiones negocios C"/>
      <sheetName val="1.7 Inversiones subsidiarias"/>
      <sheetName val="1.8 Activos Biológicos"/>
      <sheetName val="1.9 Hechos Ocurridos"/>
      <sheetName val="1.10 Subvenciones del G"/>
      <sheetName val="1.11 Propiedad Planta y Equipo"/>
      <sheetName val="1.12 Propiedad de Inversión"/>
      <sheetName val="1.13 Inventarios"/>
      <sheetName val="1.14 Deterior del Valor"/>
      <sheetName val="1.15 Arrendamiento"/>
      <sheetName val="1.16 Intangible"/>
      <sheetName val="1.17 Ingresos"/>
      <sheetName val="1.18 Beneficios a los E"/>
      <sheetName val="1.19 Provisiones y Contig"/>
      <sheetName val="1.20 Costos por prestamos"/>
      <sheetName val="2.1 Balance de prueba"/>
      <sheetName val="3 Impuesto diferido"/>
      <sheetName val="4. Conciliación fiscal"/>
      <sheetName val="4.1 Caratula"/>
      <sheetName val="4.2 ESF - Patrimonio"/>
      <sheetName val="4.3 ERI - Renta Liquida"/>
      <sheetName val="4.4 Impuesto Diferido"/>
      <sheetName val="4.5 Ingresos y Facturación"/>
      <sheetName val="4.6 Activos fijos"/>
      <sheetName val="4.7 Resumen ESF-ERI"/>
      <sheetName val="5.1 Taxonomía"/>
      <sheetName val="6.1. Renglón por rengl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2">
          <cell r="A2">
            <v>1</v>
          </cell>
          <cell r="B2" t="str">
            <v>Activo</v>
          </cell>
        </row>
        <row r="3">
          <cell r="A3">
            <v>11</v>
          </cell>
          <cell r="B3" t="str">
            <v>Efectivo y equivalentes al efectivo</v>
          </cell>
        </row>
        <row r="4">
          <cell r="A4">
            <v>1105</v>
          </cell>
          <cell r="B4" t="str">
            <v>Caja</v>
          </cell>
        </row>
        <row r="5">
          <cell r="A5">
            <v>110505</v>
          </cell>
          <cell r="B5" t="str">
            <v>Caja general</v>
          </cell>
        </row>
        <row r="6">
          <cell r="A6">
            <v>110510</v>
          </cell>
          <cell r="B6" t="str">
            <v>Cajas menores</v>
          </cell>
        </row>
        <row r="7">
          <cell r="A7">
            <v>1110</v>
          </cell>
          <cell r="B7" t="str">
            <v>Cuentas corrientes</v>
          </cell>
        </row>
        <row r="8">
          <cell r="A8">
            <v>111005</v>
          </cell>
          <cell r="B8" t="str">
            <v>Moneda nacional</v>
          </cell>
        </row>
        <row r="9">
          <cell r="A9">
            <v>111010</v>
          </cell>
          <cell r="B9" t="str">
            <v>Moneda extranjera</v>
          </cell>
        </row>
        <row r="10">
          <cell r="A10">
            <v>1120</v>
          </cell>
          <cell r="B10" t="str">
            <v>Cuentas de ahorro</v>
          </cell>
        </row>
        <row r="11">
          <cell r="A11">
            <v>112005</v>
          </cell>
          <cell r="B11" t="str">
            <v>Bancos</v>
          </cell>
        </row>
        <row r="12">
          <cell r="A12">
            <v>1130</v>
          </cell>
          <cell r="B12" t="str">
            <v>Fondos de Uso restringido</v>
          </cell>
        </row>
        <row r="13">
          <cell r="A13">
            <v>113005</v>
          </cell>
          <cell r="B13" t="str">
            <v>Efectivo restringido</v>
          </cell>
        </row>
        <row r="14">
          <cell r="A14">
            <v>1135</v>
          </cell>
          <cell r="B14" t="str">
            <v>Equivalente de efectivo</v>
          </cell>
        </row>
        <row r="15">
          <cell r="A15">
            <v>113505</v>
          </cell>
          <cell r="B15" t="str">
            <v>Inversiones a corto plazo</v>
          </cell>
        </row>
        <row r="16">
          <cell r="A16">
            <v>1140</v>
          </cell>
          <cell r="B16" t="str">
            <v>Operaciones conjuntas</v>
          </cell>
        </row>
        <row r="17">
          <cell r="A17">
            <v>114005</v>
          </cell>
          <cell r="B17" t="str">
            <v>Operaciones conjuntas general</v>
          </cell>
        </row>
        <row r="18">
          <cell r="A18">
            <v>1150</v>
          </cell>
          <cell r="B18" t="str">
            <v>Sucursales</v>
          </cell>
        </row>
        <row r="19">
          <cell r="A19">
            <v>115005</v>
          </cell>
          <cell r="B19" t="str">
            <v>Sucursales nacionales</v>
          </cell>
        </row>
        <row r="20">
          <cell r="A20">
            <v>12</v>
          </cell>
          <cell r="B20" t="str">
            <v>Otros activos financieros-inversiones</v>
          </cell>
        </row>
        <row r="21">
          <cell r="A21">
            <v>1205</v>
          </cell>
          <cell r="B21" t="str">
            <v>Inversiones al Valor Razonable</v>
          </cell>
        </row>
        <row r="22">
          <cell r="A22">
            <v>120505</v>
          </cell>
          <cell r="B22" t="str">
            <v xml:space="preserve">Agricultura, ganadería, caza y silvicultura </v>
          </cell>
        </row>
        <row r="23">
          <cell r="A23">
            <v>120520</v>
          </cell>
          <cell r="B23" t="str">
            <v xml:space="preserve">Industria manufacturera </v>
          </cell>
        </row>
        <row r="24">
          <cell r="A24">
            <v>120530</v>
          </cell>
          <cell r="B24" t="str">
            <v>Construcción</v>
          </cell>
        </row>
        <row r="25">
          <cell r="A25">
            <v>120540</v>
          </cell>
          <cell r="B25" t="str">
            <v xml:space="preserve">Hoteles y restaurantes </v>
          </cell>
        </row>
        <row r="26">
          <cell r="A26">
            <v>1215</v>
          </cell>
          <cell r="B26" t="str">
            <v>Inversiones al Costo Amortizado</v>
          </cell>
        </row>
        <row r="27">
          <cell r="A27">
            <v>122505</v>
          </cell>
          <cell r="B27" t="str">
            <v>Certificados de depósitos a termino</v>
          </cell>
        </row>
        <row r="28">
          <cell r="A28">
            <v>12250505</v>
          </cell>
          <cell r="B28" t="str">
            <v>Costo CDT</v>
          </cell>
        </row>
        <row r="29">
          <cell r="A29">
            <v>12250510</v>
          </cell>
          <cell r="B29" t="str">
            <v>Costo amortizado cdt</v>
          </cell>
        </row>
        <row r="30">
          <cell r="A30">
            <v>122510</v>
          </cell>
          <cell r="B30" t="str">
            <v>Títulos</v>
          </cell>
        </row>
        <row r="31">
          <cell r="A31">
            <v>12251005</v>
          </cell>
          <cell r="B31" t="str">
            <v>Costo títulos</v>
          </cell>
        </row>
        <row r="32">
          <cell r="A32">
            <v>12251010</v>
          </cell>
          <cell r="B32" t="str">
            <v>Costo amortizado títulos</v>
          </cell>
        </row>
        <row r="33">
          <cell r="A33">
            <v>122515</v>
          </cell>
          <cell r="B33" t="str">
            <v>Bonos</v>
          </cell>
        </row>
        <row r="34">
          <cell r="A34">
            <v>12251505</v>
          </cell>
          <cell r="B34" t="str">
            <v>Costo bonos</v>
          </cell>
        </row>
        <row r="35">
          <cell r="A35">
            <v>12251510</v>
          </cell>
          <cell r="B35" t="str">
            <v>Costo amortizado bonos</v>
          </cell>
        </row>
        <row r="36">
          <cell r="A36">
            <v>1265</v>
          </cell>
          <cell r="B36" t="str">
            <v>Inversiones en negocios conjuntos</v>
          </cell>
        </row>
        <row r="37">
          <cell r="A37">
            <v>126505</v>
          </cell>
          <cell r="B37" t="str">
            <v>Inversiones en negocios conjuntos en general</v>
          </cell>
        </row>
        <row r="38">
          <cell r="A38">
            <v>1270</v>
          </cell>
          <cell r="B38" t="str">
            <v>Inversiones en asociadas</v>
          </cell>
        </row>
        <row r="39">
          <cell r="A39">
            <v>127001</v>
          </cell>
          <cell r="B39" t="str">
            <v>Al costo</v>
          </cell>
        </row>
        <row r="40">
          <cell r="A40">
            <v>127002</v>
          </cell>
          <cell r="B40" t="str">
            <v>Al valor razonable</v>
          </cell>
        </row>
        <row r="41">
          <cell r="A41">
            <v>127003</v>
          </cell>
          <cell r="B41" t="str">
            <v>Al método de la participación</v>
          </cell>
        </row>
        <row r="42">
          <cell r="A42">
            <v>127099</v>
          </cell>
          <cell r="B42" t="str">
            <v>Deterioro acumulado</v>
          </cell>
        </row>
        <row r="43">
          <cell r="A43">
            <v>1275</v>
          </cell>
          <cell r="B43" t="str">
            <v>Inversiones en subsidiarias</v>
          </cell>
        </row>
        <row r="44">
          <cell r="A44">
            <v>127505</v>
          </cell>
          <cell r="B44" t="str">
            <v>Inversiones en subsidiarias en general</v>
          </cell>
        </row>
        <row r="45">
          <cell r="A45">
            <v>1280</v>
          </cell>
          <cell r="B45" t="str">
            <v>Operaciones conjuntas</v>
          </cell>
        </row>
        <row r="46">
          <cell r="A46">
            <v>128005</v>
          </cell>
          <cell r="B46" t="str">
            <v>Operaciones conjuntas general</v>
          </cell>
        </row>
        <row r="47">
          <cell r="A47">
            <v>1285</v>
          </cell>
          <cell r="B47" t="str">
            <v>Sucursales</v>
          </cell>
        </row>
        <row r="48">
          <cell r="A48">
            <v>128505</v>
          </cell>
          <cell r="B48" t="str">
            <v>Sucursales nacionales</v>
          </cell>
        </row>
        <row r="49">
          <cell r="A49">
            <v>1290</v>
          </cell>
          <cell r="B49" t="str">
            <v>Instrumentos financieros derivados</v>
          </cell>
        </row>
        <row r="50">
          <cell r="A50">
            <v>129005</v>
          </cell>
          <cell r="B50" t="str">
            <v>Instrumentos financieros derivados</v>
          </cell>
        </row>
        <row r="51">
          <cell r="A51">
            <v>1295</v>
          </cell>
          <cell r="B51" t="str">
            <v>Otras inversiones</v>
          </cell>
        </row>
        <row r="52">
          <cell r="A52">
            <v>129505</v>
          </cell>
          <cell r="B52" t="str">
            <v>Aportes en cooperativas</v>
          </cell>
        </row>
        <row r="53">
          <cell r="A53">
            <v>129510</v>
          </cell>
          <cell r="B53" t="str">
            <v>Derechos en clubes sociales</v>
          </cell>
        </row>
        <row r="54">
          <cell r="A54">
            <v>129515</v>
          </cell>
          <cell r="B54" t="str">
            <v>Acciones o derechos en clubes deportivos</v>
          </cell>
        </row>
        <row r="55">
          <cell r="A55">
            <v>129520</v>
          </cell>
          <cell r="B55" t="str">
            <v>Bonos en colegios</v>
          </cell>
        </row>
        <row r="56">
          <cell r="A56">
            <v>129595</v>
          </cell>
          <cell r="B56" t="str">
            <v>Diversas</v>
          </cell>
        </row>
        <row r="57">
          <cell r="A57">
            <v>1299</v>
          </cell>
          <cell r="B57" t="str">
            <v>Deterioro de valor de las acciones</v>
          </cell>
        </row>
        <row r="58">
          <cell r="A58">
            <v>129905</v>
          </cell>
          <cell r="B58" t="str">
            <v>Deterioro de valor</v>
          </cell>
        </row>
        <row r="59">
          <cell r="A59">
            <v>13</v>
          </cell>
          <cell r="B59" t="str">
            <v>Cuentas Comerciales Por Cobrar y Otras Cuentas por Cobrar</v>
          </cell>
        </row>
        <row r="60">
          <cell r="A60">
            <v>1305</v>
          </cell>
          <cell r="B60" t="str">
            <v>Clientes</v>
          </cell>
        </row>
        <row r="61">
          <cell r="A61">
            <v>130505</v>
          </cell>
          <cell r="B61" t="str">
            <v>Clientes nacionales</v>
          </cell>
        </row>
        <row r="62">
          <cell r="A62">
            <v>1325</v>
          </cell>
          <cell r="B62" t="str">
            <v>Cuentas por cobrar a socios y accionistas</v>
          </cell>
        </row>
        <row r="63">
          <cell r="A63">
            <v>132505</v>
          </cell>
          <cell r="B63" t="str">
            <v>A socios</v>
          </cell>
        </row>
        <row r="64">
          <cell r="A64">
            <v>1345</v>
          </cell>
          <cell r="B64" t="str">
            <v>Ingresos por cobrar</v>
          </cell>
        </row>
        <row r="65">
          <cell r="A65">
            <v>134505</v>
          </cell>
          <cell r="B65" t="str">
            <v>Dividendos y/o participaciones</v>
          </cell>
        </row>
        <row r="66">
          <cell r="A66">
            <v>1350</v>
          </cell>
          <cell r="B66" t="str">
            <v>Retención sobre contratos</v>
          </cell>
        </row>
        <row r="67">
          <cell r="A67">
            <v>135005</v>
          </cell>
          <cell r="B67" t="str">
            <v>En construcción</v>
          </cell>
        </row>
        <row r="68">
          <cell r="A68">
            <v>1360</v>
          </cell>
          <cell r="B68" t="str">
            <v>Reclamaciones</v>
          </cell>
        </row>
        <row r="69">
          <cell r="A69">
            <v>136005</v>
          </cell>
          <cell r="B69" t="str">
            <v>A compañías aseguradoras</v>
          </cell>
        </row>
        <row r="70">
          <cell r="A70">
            <v>1365</v>
          </cell>
          <cell r="B70" t="str">
            <v>Cuentas por cobrar a trabajado</v>
          </cell>
        </row>
        <row r="71">
          <cell r="A71">
            <v>136505</v>
          </cell>
          <cell r="B71" t="str">
            <v>Vivienda</v>
          </cell>
        </row>
        <row r="72">
          <cell r="A72">
            <v>136510</v>
          </cell>
          <cell r="B72" t="str">
            <v>Vehículo</v>
          </cell>
        </row>
        <row r="73">
          <cell r="A73">
            <v>136515</v>
          </cell>
          <cell r="B73" t="str">
            <v>Educación</v>
          </cell>
        </row>
        <row r="74">
          <cell r="A74">
            <v>1370</v>
          </cell>
          <cell r="B74" t="str">
            <v>Prestamos a particulares</v>
          </cell>
        </row>
        <row r="75">
          <cell r="A75">
            <v>137005</v>
          </cell>
          <cell r="B75" t="str">
            <v>Con garantía real</v>
          </cell>
        </row>
        <row r="76">
          <cell r="A76">
            <v>137010</v>
          </cell>
          <cell r="B76" t="str">
            <v>Con garantía personal</v>
          </cell>
        </row>
        <row r="77">
          <cell r="A77">
            <v>1380</v>
          </cell>
          <cell r="B77" t="str">
            <v>Deudores varios</v>
          </cell>
        </row>
        <row r="78">
          <cell r="A78">
            <v>138005</v>
          </cell>
          <cell r="B78" t="str">
            <v>Depositarios</v>
          </cell>
        </row>
        <row r="79">
          <cell r="A79">
            <v>1385</v>
          </cell>
          <cell r="B79" t="str">
            <v>Operaciones conjuntas</v>
          </cell>
        </row>
        <row r="80">
          <cell r="A80">
            <v>138505</v>
          </cell>
          <cell r="B80" t="str">
            <v>Derechos de recompra de cartera negociada</v>
          </cell>
        </row>
        <row r="81">
          <cell r="A81">
            <v>1390</v>
          </cell>
          <cell r="B81" t="str">
            <v>Sucursales</v>
          </cell>
        </row>
        <row r="82">
          <cell r="A82">
            <v>139005</v>
          </cell>
          <cell r="B82" t="str">
            <v>Sucursales</v>
          </cell>
        </row>
        <row r="83">
          <cell r="A83">
            <v>1399</v>
          </cell>
          <cell r="B83" t="str">
            <v>Deterioro de cartera</v>
          </cell>
        </row>
        <row r="84">
          <cell r="A84">
            <v>139905</v>
          </cell>
          <cell r="B84" t="str">
            <v>Clientes nacionales</v>
          </cell>
        </row>
        <row r="85">
          <cell r="A85">
            <v>14</v>
          </cell>
          <cell r="B85" t="str">
            <v xml:space="preserve">Inventarios </v>
          </cell>
        </row>
        <row r="86">
          <cell r="A86">
            <v>1401</v>
          </cell>
          <cell r="B86" t="str">
            <v xml:space="preserve">Anticipo inventarios </v>
          </cell>
        </row>
        <row r="87">
          <cell r="A87">
            <v>140105</v>
          </cell>
          <cell r="B87" t="str">
            <v xml:space="preserve">Anticipo inventarios </v>
          </cell>
        </row>
        <row r="88">
          <cell r="A88">
            <v>1405</v>
          </cell>
          <cell r="B88" t="str">
            <v>Materia prima</v>
          </cell>
        </row>
        <row r="89">
          <cell r="A89">
            <v>140505</v>
          </cell>
          <cell r="B89" t="str">
            <v>Materia prima generales</v>
          </cell>
        </row>
        <row r="90">
          <cell r="A90">
            <v>1410</v>
          </cell>
          <cell r="B90" t="str">
            <v>Producto en proceso</v>
          </cell>
        </row>
        <row r="91">
          <cell r="A91">
            <v>141005</v>
          </cell>
          <cell r="B91" t="str">
            <v>Producto en proceso generales</v>
          </cell>
        </row>
        <row r="92">
          <cell r="A92">
            <v>1430</v>
          </cell>
          <cell r="B92" t="str">
            <v>Productos terminados</v>
          </cell>
        </row>
        <row r="93">
          <cell r="A93">
            <v>143005</v>
          </cell>
          <cell r="B93" t="str">
            <v>Productos terminados generales</v>
          </cell>
        </row>
        <row r="94">
          <cell r="A94">
            <v>1435</v>
          </cell>
          <cell r="B94" t="str">
            <v>Producto no fabricado por la entidad</v>
          </cell>
        </row>
        <row r="95">
          <cell r="A95">
            <v>143505</v>
          </cell>
          <cell r="B95" t="str">
            <v>Producto para la venta</v>
          </cell>
        </row>
        <row r="96">
          <cell r="A96">
            <v>1440</v>
          </cell>
          <cell r="B96" t="str">
            <v>Bienes Raíces para venta</v>
          </cell>
        </row>
        <row r="97">
          <cell r="A97">
            <v>144005</v>
          </cell>
          <cell r="B97" t="str">
            <v>Bienes Raíces para venta</v>
          </cell>
        </row>
        <row r="98">
          <cell r="A98">
            <v>1445</v>
          </cell>
          <cell r="B98" t="str">
            <v>Semovientes</v>
          </cell>
        </row>
        <row r="99">
          <cell r="A99">
            <v>144505</v>
          </cell>
          <cell r="B99" t="str">
            <v>Especies mayores</v>
          </cell>
        </row>
        <row r="100">
          <cell r="A100">
            <v>144510</v>
          </cell>
          <cell r="B100" t="str">
            <v>Especies menores</v>
          </cell>
        </row>
        <row r="101">
          <cell r="A101">
            <v>1450</v>
          </cell>
          <cell r="B101" t="str">
            <v>Inventarios que surge de actividades agrícolas</v>
          </cell>
        </row>
        <row r="102">
          <cell r="A102">
            <v>145005</v>
          </cell>
          <cell r="B102" t="str">
            <v>Productos agrícolas</v>
          </cell>
        </row>
        <row r="103">
          <cell r="A103">
            <v>1470</v>
          </cell>
          <cell r="B103" t="str">
            <v>Operaciones conjuntas</v>
          </cell>
        </row>
        <row r="104">
          <cell r="A104">
            <v>147005</v>
          </cell>
          <cell r="B104" t="str">
            <v>Operaciones conjuntas</v>
          </cell>
        </row>
        <row r="105">
          <cell r="A105">
            <v>1475</v>
          </cell>
          <cell r="B105" t="str">
            <v>Sucursales</v>
          </cell>
        </row>
        <row r="106">
          <cell r="A106">
            <v>147505</v>
          </cell>
          <cell r="B106" t="str">
            <v>Sucursales</v>
          </cell>
        </row>
        <row r="107">
          <cell r="A107">
            <v>1499</v>
          </cell>
          <cell r="B107" t="str">
            <v>Deterioro de valor del inventario</v>
          </cell>
        </row>
        <row r="108">
          <cell r="A108">
            <v>149905</v>
          </cell>
          <cell r="B108" t="str">
            <v>Materias primas</v>
          </cell>
        </row>
        <row r="109">
          <cell r="A109">
            <v>149910</v>
          </cell>
          <cell r="B109" t="str">
            <v>Mercancía no Fabricada Por La Empresa</v>
          </cell>
        </row>
        <row r="110">
          <cell r="A110">
            <v>15</v>
          </cell>
          <cell r="B110" t="str">
            <v>Activos fijos</v>
          </cell>
        </row>
        <row r="111">
          <cell r="A111">
            <v>1501</v>
          </cell>
          <cell r="B111" t="str">
            <v>Propiedades planta y equipo</v>
          </cell>
        </row>
        <row r="112">
          <cell r="A112">
            <v>150114</v>
          </cell>
          <cell r="B112" t="str">
            <v>Terrenos</v>
          </cell>
        </row>
        <row r="113">
          <cell r="A113">
            <v>15011405</v>
          </cell>
          <cell r="B113" t="str">
            <v>Costo terreno</v>
          </cell>
        </row>
        <row r="114">
          <cell r="A114">
            <v>15011410</v>
          </cell>
          <cell r="B114" t="str">
            <v>Valor de revaluación Terreno</v>
          </cell>
        </row>
        <row r="115">
          <cell r="A115">
            <v>150116</v>
          </cell>
          <cell r="B115" t="str">
            <v>Construcciones y edificaciones</v>
          </cell>
        </row>
        <row r="116">
          <cell r="A116">
            <v>15011605</v>
          </cell>
          <cell r="B116" t="str">
            <v>Costo Construc y Edif</v>
          </cell>
        </row>
        <row r="117">
          <cell r="A117">
            <v>15011610</v>
          </cell>
          <cell r="B117" t="str">
            <v>Valor de revaluación Construc. Y Edif.</v>
          </cell>
        </row>
        <row r="118">
          <cell r="A118">
            <v>150120</v>
          </cell>
          <cell r="B118" t="str">
            <v>Maquinaria y equipo</v>
          </cell>
        </row>
        <row r="119">
          <cell r="A119">
            <v>152014</v>
          </cell>
          <cell r="B119" t="str">
            <v>Equipo de oficina</v>
          </cell>
        </row>
        <row r="120">
          <cell r="A120">
            <v>152018</v>
          </cell>
          <cell r="B120" t="str">
            <v>Equipo de computación y comunicación</v>
          </cell>
        </row>
        <row r="121">
          <cell r="A121">
            <v>150140</v>
          </cell>
          <cell r="B121" t="str">
            <v>Flota y equipo de transporte</v>
          </cell>
        </row>
        <row r="122">
          <cell r="A122">
            <v>150172</v>
          </cell>
          <cell r="B122" t="str">
            <v>Minas y canteras</v>
          </cell>
        </row>
        <row r="123">
          <cell r="A123">
            <v>150174</v>
          </cell>
          <cell r="B123" t="str">
            <v>Operaciones conjuntas</v>
          </cell>
        </row>
        <row r="124">
          <cell r="A124">
            <v>150176</v>
          </cell>
          <cell r="B124" t="str">
            <v>Sucursales</v>
          </cell>
        </row>
        <row r="125">
          <cell r="A125">
            <v>150180</v>
          </cell>
          <cell r="B125" t="str">
            <v>Ppye arrendamiento financiero</v>
          </cell>
        </row>
        <row r="126">
          <cell r="A126">
            <v>150192</v>
          </cell>
          <cell r="B126" t="str">
            <v>Depreciación acumulada</v>
          </cell>
        </row>
        <row r="127">
          <cell r="A127">
            <v>15019201</v>
          </cell>
          <cell r="B127" t="str">
            <v>Construcciones y edificaciones</v>
          </cell>
        </row>
        <row r="128">
          <cell r="A128">
            <v>15019202</v>
          </cell>
          <cell r="B128" t="str">
            <v>Maquinaria y equipo</v>
          </cell>
        </row>
        <row r="129">
          <cell r="A129">
            <v>15019203</v>
          </cell>
          <cell r="B129" t="str">
            <v>Equipo de oficina</v>
          </cell>
        </row>
        <row r="130">
          <cell r="A130">
            <v>15019204</v>
          </cell>
          <cell r="B130" t="str">
            <v>Equipo de computación y comunicación</v>
          </cell>
        </row>
        <row r="131">
          <cell r="A131">
            <v>15019205</v>
          </cell>
          <cell r="B131" t="str">
            <v>Flota y equipo de transporte</v>
          </cell>
        </row>
        <row r="132">
          <cell r="A132">
            <v>15019206</v>
          </cell>
          <cell r="B132" t="str">
            <v>Minas y canteras</v>
          </cell>
        </row>
        <row r="133">
          <cell r="A133">
            <v>15019207</v>
          </cell>
          <cell r="B133" t="str">
            <v>Operaciones conjuntas</v>
          </cell>
        </row>
        <row r="134">
          <cell r="A134">
            <v>15019208</v>
          </cell>
          <cell r="B134" t="str">
            <v>Sucursales</v>
          </cell>
        </row>
        <row r="135">
          <cell r="A135">
            <v>150199</v>
          </cell>
          <cell r="B135" t="str">
            <v>Deterioro de valor de los activos</v>
          </cell>
        </row>
        <row r="136">
          <cell r="A136">
            <v>15019901</v>
          </cell>
          <cell r="B136" t="str">
            <v>Construcciones y edificaciones</v>
          </cell>
        </row>
        <row r="137">
          <cell r="A137">
            <v>15019902</v>
          </cell>
          <cell r="B137" t="str">
            <v>Maquinaria y equipo</v>
          </cell>
        </row>
        <row r="138">
          <cell r="A138">
            <v>15019903</v>
          </cell>
          <cell r="B138" t="str">
            <v>Equipo de oficina</v>
          </cell>
        </row>
        <row r="139">
          <cell r="A139">
            <v>15019904</v>
          </cell>
          <cell r="B139" t="str">
            <v>Equipo de computación y comunicación</v>
          </cell>
        </row>
        <row r="140">
          <cell r="A140">
            <v>15019905</v>
          </cell>
          <cell r="B140" t="str">
            <v>Flota y equipo de transporte</v>
          </cell>
        </row>
        <row r="141">
          <cell r="A141">
            <v>15019906</v>
          </cell>
          <cell r="B141" t="str">
            <v>Minas y canteras</v>
          </cell>
        </row>
        <row r="142">
          <cell r="A142">
            <v>15019907</v>
          </cell>
          <cell r="B142" t="str">
            <v>Operaciones conjuntas</v>
          </cell>
        </row>
        <row r="143">
          <cell r="A143">
            <v>15019908</v>
          </cell>
          <cell r="B143" t="str">
            <v>Sucursales</v>
          </cell>
        </row>
        <row r="144">
          <cell r="A144">
            <v>1502</v>
          </cell>
          <cell r="B144" t="str">
            <v xml:space="preserve"> Propiedad de inversión</v>
          </cell>
        </row>
        <row r="145">
          <cell r="A145">
            <v>150205</v>
          </cell>
          <cell r="B145" t="str">
            <v>Terrenos</v>
          </cell>
        </row>
        <row r="146">
          <cell r="A146">
            <v>150210</v>
          </cell>
          <cell r="B146" t="str">
            <v>Edificaciones</v>
          </cell>
        </row>
        <row r="147">
          <cell r="A147">
            <v>150292</v>
          </cell>
          <cell r="B147" t="str">
            <v>Depreciación acumulada</v>
          </cell>
        </row>
        <row r="148">
          <cell r="A148">
            <v>150299</v>
          </cell>
          <cell r="B148" t="str">
            <v>Deterioro de valor de los activos</v>
          </cell>
        </row>
        <row r="149">
          <cell r="A149">
            <v>16</v>
          </cell>
          <cell r="B149" t="str">
            <v>Activos intangibles distintos a la plusvalía</v>
          </cell>
        </row>
        <row r="150">
          <cell r="A150">
            <v>1610</v>
          </cell>
          <cell r="B150" t="str">
            <v>Marcas</v>
          </cell>
        </row>
        <row r="151">
          <cell r="A151">
            <v>161005</v>
          </cell>
          <cell r="B151" t="str">
            <v>Adquiridas</v>
          </cell>
        </row>
        <row r="152">
          <cell r="A152">
            <v>1615</v>
          </cell>
          <cell r="B152" t="str">
            <v>Patentes</v>
          </cell>
        </row>
        <row r="153">
          <cell r="A153">
            <v>161505</v>
          </cell>
          <cell r="B153" t="str">
            <v>Adquiridas</v>
          </cell>
        </row>
        <row r="154">
          <cell r="A154">
            <v>1620</v>
          </cell>
          <cell r="B154" t="str">
            <v>Programas de computador</v>
          </cell>
        </row>
        <row r="155">
          <cell r="A155">
            <v>162005</v>
          </cell>
          <cell r="B155" t="str">
            <v>Concesiones</v>
          </cell>
        </row>
        <row r="156">
          <cell r="A156">
            <v>1625</v>
          </cell>
          <cell r="B156" t="str">
            <v>Derechos</v>
          </cell>
        </row>
        <row r="157">
          <cell r="A157">
            <v>162505</v>
          </cell>
          <cell r="B157" t="str">
            <v>Derechos de autor</v>
          </cell>
        </row>
        <row r="158">
          <cell r="A158">
            <v>1630</v>
          </cell>
          <cell r="B158" t="str">
            <v>Otros activos intangibles</v>
          </cell>
        </row>
        <row r="159">
          <cell r="A159">
            <v>163005</v>
          </cell>
          <cell r="B159" t="str">
            <v>Know how</v>
          </cell>
        </row>
        <row r="160">
          <cell r="A160">
            <v>1635</v>
          </cell>
          <cell r="B160" t="str">
            <v>Licencias</v>
          </cell>
        </row>
        <row r="161">
          <cell r="A161">
            <v>163505</v>
          </cell>
          <cell r="B161" t="str">
            <v>Software</v>
          </cell>
        </row>
        <row r="162">
          <cell r="A162">
            <v>1640</v>
          </cell>
          <cell r="B162" t="str">
            <v>Operaciones conjuntas</v>
          </cell>
        </row>
        <row r="163">
          <cell r="A163">
            <v>164005</v>
          </cell>
          <cell r="B163" t="str">
            <v>Operaciones conjuntas</v>
          </cell>
        </row>
        <row r="164">
          <cell r="A164">
            <v>1645</v>
          </cell>
          <cell r="B164" t="str">
            <v>Sucursales</v>
          </cell>
        </row>
        <row r="165">
          <cell r="A165">
            <v>164505</v>
          </cell>
          <cell r="B165" t="str">
            <v>Sucursales</v>
          </cell>
        </row>
        <row r="166">
          <cell r="A166">
            <v>1698</v>
          </cell>
          <cell r="B166" t="str">
            <v>Amortización acumulada</v>
          </cell>
        </row>
        <row r="167">
          <cell r="A167">
            <v>169805</v>
          </cell>
          <cell r="B167" t="str">
            <v>Crédito mercantil</v>
          </cell>
        </row>
        <row r="168">
          <cell r="A168">
            <v>1699</v>
          </cell>
          <cell r="B168" t="str">
            <v>Deterioro de valor</v>
          </cell>
        </row>
        <row r="169">
          <cell r="A169">
            <v>169905</v>
          </cell>
          <cell r="B169" t="str">
            <v>Plusvalía o crédito mercantil</v>
          </cell>
        </row>
        <row r="170">
          <cell r="A170">
            <v>17</v>
          </cell>
          <cell r="B170" t="str">
            <v xml:space="preserve">Activos por impuestos </v>
          </cell>
        </row>
        <row r="171">
          <cell r="A171">
            <v>1705</v>
          </cell>
          <cell r="B171" t="str">
            <v>Act por impto. Diferido</v>
          </cell>
        </row>
        <row r="172">
          <cell r="A172">
            <v>170505</v>
          </cell>
          <cell r="B172" t="str">
            <v>Impuesto diferido</v>
          </cell>
        </row>
        <row r="173">
          <cell r="A173">
            <v>1710</v>
          </cell>
          <cell r="B173" t="str">
            <v>Activos por impto. Corriente</v>
          </cell>
        </row>
        <row r="174">
          <cell r="A174">
            <v>171005</v>
          </cell>
          <cell r="B174" t="str">
            <v>Retención en la fuente</v>
          </cell>
        </row>
        <row r="175">
          <cell r="A175">
            <v>17100501</v>
          </cell>
          <cell r="B175" t="str">
            <v>Retención arrendamientos tarifa 3.5%</v>
          </cell>
        </row>
        <row r="176">
          <cell r="A176">
            <v>17100502</v>
          </cell>
          <cell r="B176" t="str">
            <v>Retención compras tarifa2.5%</v>
          </cell>
        </row>
        <row r="177">
          <cell r="A177">
            <v>17100503</v>
          </cell>
          <cell r="B177" t="str">
            <v>Retención servicios tarifa4%</v>
          </cell>
        </row>
        <row r="178">
          <cell r="A178">
            <v>17100504</v>
          </cell>
          <cell r="B178" t="str">
            <v>Retención rendimientos financieros tarifa 7%</v>
          </cell>
        </row>
        <row r="179">
          <cell r="A179">
            <v>171010</v>
          </cell>
          <cell r="B179" t="str">
            <v>Retención de IVA</v>
          </cell>
        </row>
        <row r="180">
          <cell r="A180">
            <v>171015</v>
          </cell>
          <cell r="B180" t="str">
            <v>Retención de ICA</v>
          </cell>
        </row>
        <row r="181">
          <cell r="A181">
            <v>17101501</v>
          </cell>
          <cell r="B181" t="str">
            <v>Retención ICA tarifa 11.04%</v>
          </cell>
        </row>
        <row r="182">
          <cell r="A182">
            <v>171020</v>
          </cell>
          <cell r="B182" t="str">
            <v>Autorretención renta dec 2201 2016</v>
          </cell>
        </row>
        <row r="183">
          <cell r="A183">
            <v>17102005</v>
          </cell>
          <cell r="B183" t="str">
            <v>Autorretención renta dec 2201 2016</v>
          </cell>
        </row>
        <row r="184">
          <cell r="A184">
            <v>1740</v>
          </cell>
          <cell r="B184" t="str">
            <v>Operaciones conjuntas</v>
          </cell>
        </row>
        <row r="185">
          <cell r="A185">
            <v>174005</v>
          </cell>
          <cell r="B185" t="str">
            <v>Operaciones conjuntas</v>
          </cell>
        </row>
        <row r="186">
          <cell r="A186">
            <v>1745</v>
          </cell>
          <cell r="B186" t="str">
            <v>Sucursales</v>
          </cell>
        </row>
        <row r="187">
          <cell r="A187">
            <v>174505</v>
          </cell>
          <cell r="B187" t="str">
            <v>Sucursales</v>
          </cell>
        </row>
        <row r="188">
          <cell r="A188">
            <v>18</v>
          </cell>
          <cell r="B188" t="str">
            <v>Activos biológicos</v>
          </cell>
        </row>
        <row r="189">
          <cell r="A189">
            <v>1805</v>
          </cell>
          <cell r="B189" t="str">
            <v>Semovientes</v>
          </cell>
        </row>
        <row r="190">
          <cell r="A190">
            <v>180505</v>
          </cell>
          <cell r="B190" t="str">
            <v>Semovientes en general</v>
          </cell>
        </row>
        <row r="191">
          <cell r="A191">
            <v>1892</v>
          </cell>
          <cell r="B191" t="str">
            <v>Depreciación acumulada</v>
          </cell>
        </row>
        <row r="192">
          <cell r="A192">
            <v>189205</v>
          </cell>
          <cell r="B192" t="str">
            <v>Depreciación acumulada de semovientes</v>
          </cell>
        </row>
        <row r="193">
          <cell r="A193">
            <v>1899</v>
          </cell>
          <cell r="B193" t="str">
            <v>Deterioro de valor de los activos</v>
          </cell>
        </row>
        <row r="194">
          <cell r="A194">
            <v>189905</v>
          </cell>
          <cell r="B194" t="str">
            <v>Deterioro en semovientes</v>
          </cell>
        </row>
        <row r="195">
          <cell r="A195">
            <v>19</v>
          </cell>
          <cell r="B195" t="str">
            <v>Otros activos no financieros</v>
          </cell>
        </row>
        <row r="196">
          <cell r="A196">
            <v>1905</v>
          </cell>
          <cell r="B196" t="str">
            <v>De inversiones</v>
          </cell>
        </row>
        <row r="197">
          <cell r="A197">
            <v>190505</v>
          </cell>
          <cell r="B197" t="str">
            <v>De acciones</v>
          </cell>
        </row>
        <row r="198">
          <cell r="A198">
            <v>2</v>
          </cell>
          <cell r="B198" t="str">
            <v>Pasivo</v>
          </cell>
        </row>
        <row r="199">
          <cell r="A199">
            <v>21</v>
          </cell>
          <cell r="B199" t="str">
            <v>Otros pasivos financieros</v>
          </cell>
        </row>
        <row r="200">
          <cell r="A200">
            <v>2105</v>
          </cell>
          <cell r="B200" t="str">
            <v>Prestamos con bancos nacionales</v>
          </cell>
        </row>
        <row r="201">
          <cell r="A201">
            <v>210505</v>
          </cell>
          <cell r="B201" t="str">
            <v>Sobregiros</v>
          </cell>
        </row>
        <row r="202">
          <cell r="A202">
            <v>210510</v>
          </cell>
          <cell r="B202" t="str">
            <v>Pagares</v>
          </cell>
        </row>
        <row r="203">
          <cell r="A203">
            <v>2110</v>
          </cell>
          <cell r="B203" t="str">
            <v>Obligaciones financieras (exterior)</v>
          </cell>
        </row>
        <row r="204">
          <cell r="A204">
            <v>211005</v>
          </cell>
          <cell r="B204" t="str">
            <v>Sobregiros</v>
          </cell>
        </row>
        <row r="205">
          <cell r="A205">
            <v>211005</v>
          </cell>
          <cell r="B205" t="str">
            <v>Pagares</v>
          </cell>
        </row>
        <row r="206">
          <cell r="A206">
            <v>2120</v>
          </cell>
          <cell r="B206" t="str">
            <v>Compañías de financiamiento comercial</v>
          </cell>
        </row>
        <row r="207">
          <cell r="A207">
            <v>212005</v>
          </cell>
          <cell r="B207" t="str">
            <v>Pagares</v>
          </cell>
        </row>
        <row r="208">
          <cell r="A208">
            <v>2125</v>
          </cell>
          <cell r="B208" t="str">
            <v>Corporaciones de ahorro y vivienda</v>
          </cell>
        </row>
        <row r="209">
          <cell r="A209">
            <v>212505</v>
          </cell>
          <cell r="B209" t="str">
            <v>Sobregiros</v>
          </cell>
        </row>
        <row r="210">
          <cell r="A210">
            <v>2130</v>
          </cell>
          <cell r="B210" t="str">
            <v>Arrendamientos financieros</v>
          </cell>
        </row>
        <row r="211">
          <cell r="A211">
            <v>213005</v>
          </cell>
          <cell r="B211" t="str">
            <v>Sobregiros</v>
          </cell>
        </row>
        <row r="212">
          <cell r="A212">
            <v>213010</v>
          </cell>
          <cell r="B212" t="str">
            <v>Pagares</v>
          </cell>
        </row>
        <row r="213">
          <cell r="A213">
            <v>213015</v>
          </cell>
          <cell r="B213" t="str">
            <v>Hipotecarias</v>
          </cell>
        </row>
        <row r="214">
          <cell r="A214">
            <v>2150</v>
          </cell>
          <cell r="B214" t="str">
            <v>Derivados financieros</v>
          </cell>
        </row>
        <row r="215">
          <cell r="A215">
            <v>215005</v>
          </cell>
          <cell r="B215" t="str">
            <v>Derivados financieros general</v>
          </cell>
        </row>
        <row r="216">
          <cell r="A216">
            <v>2155</v>
          </cell>
          <cell r="B216" t="str">
            <v>Operaciones conjuntas</v>
          </cell>
        </row>
        <row r="217">
          <cell r="A217">
            <v>215505</v>
          </cell>
          <cell r="B217" t="str">
            <v>Operaciones conjuntas general</v>
          </cell>
        </row>
        <row r="218">
          <cell r="A218">
            <v>2160</v>
          </cell>
          <cell r="B218" t="str">
            <v>Sucursales</v>
          </cell>
        </row>
        <row r="219">
          <cell r="A219">
            <v>216005</v>
          </cell>
          <cell r="B219" t="str">
            <v>Sucursales nacionales</v>
          </cell>
        </row>
        <row r="220">
          <cell r="A220">
            <v>22</v>
          </cell>
          <cell r="B220" t="str">
            <v>Cuentas comerciales por pagar</v>
          </cell>
        </row>
        <row r="221">
          <cell r="A221">
            <v>2205</v>
          </cell>
          <cell r="B221" t="str">
            <v>Proveedores</v>
          </cell>
        </row>
        <row r="222">
          <cell r="A222">
            <v>220505</v>
          </cell>
          <cell r="B222" t="str">
            <v>Proveedores nacionales</v>
          </cell>
        </row>
        <row r="223">
          <cell r="A223">
            <v>2230</v>
          </cell>
          <cell r="B223" t="str">
            <v>Operaciones conjuntas</v>
          </cell>
        </row>
        <row r="224">
          <cell r="A224">
            <v>223005</v>
          </cell>
          <cell r="B224" t="str">
            <v>Operaciones conjuntas</v>
          </cell>
        </row>
        <row r="225">
          <cell r="A225">
            <v>2235</v>
          </cell>
          <cell r="B225" t="str">
            <v>Sucursales</v>
          </cell>
        </row>
        <row r="226">
          <cell r="A226">
            <v>223505</v>
          </cell>
          <cell r="B226" t="str">
            <v>Sucursales</v>
          </cell>
        </row>
        <row r="227">
          <cell r="A227">
            <v>23</v>
          </cell>
          <cell r="B227" t="str">
            <v>Otras cuentas por pagar</v>
          </cell>
        </row>
        <row r="228">
          <cell r="A228">
            <v>2315</v>
          </cell>
          <cell r="B228" t="str">
            <v>A compañías vinculadas</v>
          </cell>
        </row>
        <row r="229">
          <cell r="A229">
            <v>231505</v>
          </cell>
          <cell r="B229" t="str">
            <v>A compañías vinculadas nacionales</v>
          </cell>
        </row>
        <row r="230">
          <cell r="A230">
            <v>2320</v>
          </cell>
          <cell r="B230" t="str">
            <v>A contratistas</v>
          </cell>
        </row>
        <row r="231">
          <cell r="A231">
            <v>232005</v>
          </cell>
          <cell r="B231" t="str">
            <v>En moneda nacional</v>
          </cell>
        </row>
        <row r="232">
          <cell r="A232">
            <v>232010</v>
          </cell>
          <cell r="B232" t="str">
            <v>En moneda extranjera</v>
          </cell>
        </row>
        <row r="233">
          <cell r="A233">
            <v>2335</v>
          </cell>
          <cell r="B233" t="str">
            <v>Costos y gastos por pagar</v>
          </cell>
        </row>
        <row r="234">
          <cell r="A234">
            <v>233505</v>
          </cell>
          <cell r="B234" t="str">
            <v>Gastos financieros</v>
          </cell>
        </row>
        <row r="235">
          <cell r="A235">
            <v>233520</v>
          </cell>
          <cell r="B235" t="str">
            <v>Comisiones</v>
          </cell>
        </row>
        <row r="236">
          <cell r="A236">
            <v>233525</v>
          </cell>
          <cell r="B236" t="str">
            <v>Honorarios</v>
          </cell>
        </row>
        <row r="237">
          <cell r="A237">
            <v>233540</v>
          </cell>
          <cell r="B237" t="str">
            <v>Arrendamientos</v>
          </cell>
        </row>
        <row r="238">
          <cell r="A238">
            <v>233595</v>
          </cell>
          <cell r="B238" t="str">
            <v>Otros</v>
          </cell>
        </row>
        <row r="239">
          <cell r="A239">
            <v>2355</v>
          </cell>
          <cell r="B239" t="str">
            <v>Deudas con accionistas o socios</v>
          </cell>
        </row>
        <row r="240">
          <cell r="A240">
            <v>235505</v>
          </cell>
          <cell r="B240" t="str">
            <v>Con accionistas</v>
          </cell>
        </row>
        <row r="241">
          <cell r="A241">
            <v>235510</v>
          </cell>
          <cell r="B241" t="str">
            <v>Con socios</v>
          </cell>
        </row>
        <row r="242">
          <cell r="A242">
            <v>2360</v>
          </cell>
          <cell r="B242" t="str">
            <v>Dividendos o participaciones por pagar</v>
          </cell>
        </row>
        <row r="243">
          <cell r="A243">
            <v>236005</v>
          </cell>
          <cell r="B243" t="str">
            <v>Dividendos por pagar</v>
          </cell>
        </row>
        <row r="244">
          <cell r="A244">
            <v>236010</v>
          </cell>
          <cell r="B244" t="str">
            <v>Participaciones por pagar</v>
          </cell>
        </row>
        <row r="245">
          <cell r="A245">
            <v>2370</v>
          </cell>
          <cell r="B245" t="str">
            <v>Retenciones y aportes por beneficio a empleados</v>
          </cell>
        </row>
        <row r="246">
          <cell r="A246">
            <v>237001</v>
          </cell>
          <cell r="B246" t="str">
            <v>Aportes al S.S. S</v>
          </cell>
        </row>
        <row r="247">
          <cell r="A247">
            <v>237002</v>
          </cell>
          <cell r="B247" t="str">
            <v>Aportes a fondos de pensiones</v>
          </cell>
        </row>
        <row r="248">
          <cell r="A248">
            <v>237003</v>
          </cell>
          <cell r="B248" t="str">
            <v>Aporte a A.R.L.</v>
          </cell>
        </row>
        <row r="249">
          <cell r="A249">
            <v>237004</v>
          </cell>
          <cell r="B249" t="str">
            <v>Aportes a Caja de Compensación</v>
          </cell>
        </row>
        <row r="250">
          <cell r="A250">
            <v>2375</v>
          </cell>
          <cell r="B250" t="str">
            <v>Ingresos recibidos por anticipado</v>
          </cell>
        </row>
        <row r="251">
          <cell r="A251">
            <v>237505</v>
          </cell>
          <cell r="B251" t="str">
            <v>Cuotas por devolver</v>
          </cell>
        </row>
        <row r="252">
          <cell r="A252">
            <v>2377</v>
          </cell>
          <cell r="B252" t="str">
            <v>Anticipos licitación</v>
          </cell>
        </row>
        <row r="253">
          <cell r="A253">
            <v>237705</v>
          </cell>
          <cell r="B253" t="str">
            <v>Anticipos licitación en general</v>
          </cell>
        </row>
        <row r="254">
          <cell r="A254">
            <v>2378</v>
          </cell>
          <cell r="B254" t="str">
            <v>Cuentas en participación</v>
          </cell>
        </row>
        <row r="255">
          <cell r="A255">
            <v>237805</v>
          </cell>
          <cell r="B255" t="str">
            <v>Cuentas en participación generales</v>
          </cell>
        </row>
        <row r="256">
          <cell r="A256">
            <v>2379</v>
          </cell>
          <cell r="B256" t="str">
            <v>Retenciones sobre contratos</v>
          </cell>
        </row>
        <row r="257">
          <cell r="A257">
            <v>237905</v>
          </cell>
          <cell r="B257" t="str">
            <v>Retenciones sobre contratos nacionales</v>
          </cell>
        </row>
        <row r="258">
          <cell r="A258">
            <v>2380</v>
          </cell>
          <cell r="B258" t="str">
            <v>Acreedores varios</v>
          </cell>
        </row>
        <row r="259">
          <cell r="A259">
            <v>238005</v>
          </cell>
          <cell r="B259" t="str">
            <v>Depositarios</v>
          </cell>
        </row>
        <row r="260">
          <cell r="A260">
            <v>238030</v>
          </cell>
          <cell r="B260" t="str">
            <v>Fondo de cesantías y pensiones</v>
          </cell>
        </row>
        <row r="261">
          <cell r="A261">
            <v>2385</v>
          </cell>
          <cell r="B261" t="str">
            <v>Cxp asociadas negocios conjunto</v>
          </cell>
        </row>
        <row r="262">
          <cell r="A262">
            <v>238505</v>
          </cell>
          <cell r="B262" t="str">
            <v>Negocios conjuntos</v>
          </cell>
        </row>
        <row r="263">
          <cell r="A263">
            <v>2390</v>
          </cell>
          <cell r="B263" t="str">
            <v>Operaciones conjuntas</v>
          </cell>
        </row>
        <row r="264">
          <cell r="A264">
            <v>239005</v>
          </cell>
          <cell r="B264" t="str">
            <v>Operaciones conjuntas general</v>
          </cell>
        </row>
        <row r="265">
          <cell r="A265">
            <v>2395</v>
          </cell>
          <cell r="B265" t="str">
            <v>Sucursales</v>
          </cell>
        </row>
        <row r="266">
          <cell r="A266">
            <v>239505</v>
          </cell>
          <cell r="B266" t="str">
            <v>Sucursales nacionales</v>
          </cell>
        </row>
        <row r="267">
          <cell r="A267">
            <v>239510</v>
          </cell>
          <cell r="B267" t="str">
            <v>Sucursales en el extranjero</v>
          </cell>
        </row>
        <row r="268">
          <cell r="A268">
            <v>24</v>
          </cell>
          <cell r="B268" t="str">
            <v>Pasivos por impuestos corrientes</v>
          </cell>
        </row>
        <row r="269">
          <cell r="A269">
            <v>2404</v>
          </cell>
          <cell r="B269" t="str">
            <v>De renta y complementarios</v>
          </cell>
        </row>
        <row r="270">
          <cell r="A270">
            <v>240405</v>
          </cell>
          <cell r="B270" t="str">
            <v>Vigencia fiscal corriente</v>
          </cell>
        </row>
        <row r="271">
          <cell r="A271">
            <v>2408</v>
          </cell>
          <cell r="B271" t="str">
            <v>Impuesto sobre las ventas por pagar</v>
          </cell>
        </row>
        <row r="272">
          <cell r="A272">
            <v>240801</v>
          </cell>
          <cell r="B272" t="str">
            <v>Iva generado</v>
          </cell>
        </row>
        <row r="273">
          <cell r="A273">
            <v>240802</v>
          </cell>
          <cell r="B273" t="str">
            <v>Iva descontable</v>
          </cell>
        </row>
        <row r="274">
          <cell r="A274">
            <v>2412</v>
          </cell>
          <cell r="B274" t="str">
            <v>De industria y comercio</v>
          </cell>
        </row>
        <row r="275">
          <cell r="A275">
            <v>241205</v>
          </cell>
          <cell r="B275" t="str">
            <v>Vigencia fiscal corriente</v>
          </cell>
        </row>
        <row r="276">
          <cell r="A276">
            <v>2469</v>
          </cell>
          <cell r="B276" t="str">
            <v>Al sacrificio de ganado</v>
          </cell>
        </row>
        <row r="277">
          <cell r="A277">
            <v>246905</v>
          </cell>
          <cell r="B277" t="str">
            <v>Vigencia fiscal corriente</v>
          </cell>
        </row>
        <row r="278">
          <cell r="A278">
            <v>2488</v>
          </cell>
          <cell r="B278" t="str">
            <v>Operaciones conjuntas</v>
          </cell>
        </row>
        <row r="279">
          <cell r="A279">
            <v>248890</v>
          </cell>
          <cell r="B279" t="str">
            <v>Otros</v>
          </cell>
        </row>
        <row r="280">
          <cell r="A280">
            <v>2489</v>
          </cell>
          <cell r="B280" t="str">
            <v>Sucursales</v>
          </cell>
        </row>
        <row r="281">
          <cell r="A281">
            <v>248905</v>
          </cell>
          <cell r="B281" t="str">
            <v>Otros</v>
          </cell>
        </row>
        <row r="282">
          <cell r="A282">
            <v>2495</v>
          </cell>
          <cell r="B282" t="str">
            <v>Otros</v>
          </cell>
        </row>
        <row r="283">
          <cell r="A283">
            <v>249505</v>
          </cell>
          <cell r="B283" t="str">
            <v>Diversos</v>
          </cell>
        </row>
        <row r="284">
          <cell r="A284">
            <v>25</v>
          </cell>
          <cell r="B284" t="str">
            <v>Beneficios a los Empleados</v>
          </cell>
        </row>
        <row r="285">
          <cell r="A285">
            <v>2501</v>
          </cell>
          <cell r="B285" t="str">
            <v>A corto plazo</v>
          </cell>
        </row>
        <row r="286">
          <cell r="A286">
            <v>250105</v>
          </cell>
          <cell r="B286" t="str">
            <v>Salarios por pagar</v>
          </cell>
        </row>
        <row r="287">
          <cell r="A287">
            <v>250110</v>
          </cell>
          <cell r="B287" t="str">
            <v>Cesantías consolidadas</v>
          </cell>
        </row>
        <row r="288">
          <cell r="A288">
            <v>250115</v>
          </cell>
          <cell r="B288" t="str">
            <v>Intereses sobre cesantías</v>
          </cell>
        </row>
        <row r="289">
          <cell r="A289">
            <v>250120</v>
          </cell>
          <cell r="B289" t="str">
            <v>Prima de servicios</v>
          </cell>
        </row>
        <row r="290">
          <cell r="A290">
            <v>250125</v>
          </cell>
          <cell r="B290" t="str">
            <v>Vacaciones consolidadas</v>
          </cell>
        </row>
        <row r="291">
          <cell r="A291">
            <v>250130</v>
          </cell>
          <cell r="B291" t="str">
            <v>Prestaciones extralegales</v>
          </cell>
        </row>
        <row r="292">
          <cell r="A292">
            <v>250135</v>
          </cell>
          <cell r="B292" t="str">
            <v>Beneficios largo plazo</v>
          </cell>
        </row>
        <row r="293">
          <cell r="A293">
            <v>250150</v>
          </cell>
          <cell r="B293" t="str">
            <v>Operaciones conjuntas</v>
          </cell>
        </row>
        <row r="294">
          <cell r="A294">
            <v>250155</v>
          </cell>
          <cell r="B294" t="str">
            <v>Sucursales</v>
          </cell>
        </row>
        <row r="295">
          <cell r="A295">
            <v>26</v>
          </cell>
          <cell r="B295" t="str">
            <v>Otras provisiones</v>
          </cell>
        </row>
        <row r="296">
          <cell r="A296">
            <v>2605</v>
          </cell>
          <cell r="B296" t="str">
            <v>Para costos y gastos</v>
          </cell>
        </row>
        <row r="297">
          <cell r="A297">
            <v>260505</v>
          </cell>
          <cell r="B297" t="str">
            <v>Intereses</v>
          </cell>
        </row>
        <row r="298">
          <cell r="A298">
            <v>260510</v>
          </cell>
          <cell r="B298" t="str">
            <v>Comisiones</v>
          </cell>
        </row>
        <row r="299">
          <cell r="A299">
            <v>260515</v>
          </cell>
          <cell r="B299" t="str">
            <v>Honorarios</v>
          </cell>
        </row>
        <row r="300">
          <cell r="A300">
            <v>2615</v>
          </cell>
          <cell r="B300" t="str">
            <v>Para obligaciones fiscales</v>
          </cell>
        </row>
        <row r="301">
          <cell r="A301">
            <v>261505</v>
          </cell>
          <cell r="B301" t="str">
            <v>De renta y complementarios</v>
          </cell>
        </row>
        <row r="302">
          <cell r="A302">
            <v>261510</v>
          </cell>
          <cell r="B302" t="str">
            <v>De industria y comercio</v>
          </cell>
        </row>
        <row r="303">
          <cell r="A303">
            <v>2635</v>
          </cell>
          <cell r="B303" t="str">
            <v>Provisiones por Procesos legales</v>
          </cell>
        </row>
        <row r="304">
          <cell r="A304">
            <v>263505</v>
          </cell>
          <cell r="B304" t="str">
            <v>Provisiones demandas laborales</v>
          </cell>
        </row>
        <row r="305">
          <cell r="A305">
            <v>2640</v>
          </cell>
          <cell r="B305" t="str">
            <v>Inversiones en subsidiarias</v>
          </cell>
        </row>
        <row r="306">
          <cell r="A306">
            <v>264005</v>
          </cell>
          <cell r="B306" t="str">
            <v>Para obligación de garantías</v>
          </cell>
        </row>
        <row r="307">
          <cell r="A307">
            <v>27</v>
          </cell>
          <cell r="B307" t="str">
            <v>Pasivos por impuestos</v>
          </cell>
        </row>
        <row r="308">
          <cell r="A308">
            <v>2705</v>
          </cell>
          <cell r="B308" t="str">
            <v>Pasivos por impuesto diferido</v>
          </cell>
        </row>
        <row r="309">
          <cell r="A309">
            <v>270505</v>
          </cell>
          <cell r="B309" t="str">
            <v>Vigencia fiscal corriente</v>
          </cell>
        </row>
        <row r="310">
          <cell r="A310">
            <v>28</v>
          </cell>
          <cell r="B310" t="str">
            <v>Otros pasivos no financieros</v>
          </cell>
        </row>
        <row r="311">
          <cell r="A311">
            <v>2805</v>
          </cell>
          <cell r="B311" t="str">
            <v>Anticipos y avances recibidos</v>
          </cell>
        </row>
        <row r="312">
          <cell r="A312">
            <v>280505</v>
          </cell>
          <cell r="B312" t="str">
            <v>Anticipos recibidos subvenciones</v>
          </cell>
        </row>
        <row r="313">
          <cell r="A313">
            <v>2810</v>
          </cell>
          <cell r="B313" t="str">
            <v>Demandas por pagar</v>
          </cell>
        </row>
        <row r="314">
          <cell r="A314">
            <v>281005</v>
          </cell>
          <cell r="B314" t="str">
            <v>Demandas laborales</v>
          </cell>
        </row>
        <row r="315">
          <cell r="A315">
            <v>2865</v>
          </cell>
          <cell r="B315" t="str">
            <v>Retención en la fuente</v>
          </cell>
        </row>
        <row r="316">
          <cell r="A316">
            <v>286502</v>
          </cell>
          <cell r="B316" t="str">
            <v>Retención en la fuente por compras</v>
          </cell>
        </row>
        <row r="317">
          <cell r="A317">
            <v>286503</v>
          </cell>
          <cell r="B317" t="str">
            <v>Retenciones en la fuente por servicios</v>
          </cell>
        </row>
        <row r="318">
          <cell r="A318">
            <v>286504</v>
          </cell>
          <cell r="B318" t="str">
            <v>Retenciones en la fuente por contratos de construcción</v>
          </cell>
        </row>
        <row r="319">
          <cell r="A319">
            <v>286505</v>
          </cell>
          <cell r="B319" t="str">
            <v>Retención en la fuente por transporte de carga</v>
          </cell>
        </row>
        <row r="320">
          <cell r="A320">
            <v>286506</v>
          </cell>
          <cell r="B320" t="str">
            <v>Retención en la fuente por arrendamientos inmuebles</v>
          </cell>
        </row>
        <row r="321">
          <cell r="A321">
            <v>286507</v>
          </cell>
          <cell r="B321" t="str">
            <v>Retención En La Fuente Por contratos de consultoría</v>
          </cell>
        </row>
        <row r="322">
          <cell r="A322">
            <v>2867</v>
          </cell>
          <cell r="B322" t="str">
            <v>Retención de iva</v>
          </cell>
        </row>
        <row r="323">
          <cell r="A323">
            <v>286705</v>
          </cell>
          <cell r="B323" t="str">
            <v>Retención de iva</v>
          </cell>
        </row>
        <row r="324">
          <cell r="A324">
            <v>2868</v>
          </cell>
          <cell r="B324" t="str">
            <v>Retención de ica</v>
          </cell>
        </row>
        <row r="325">
          <cell r="A325">
            <v>286802</v>
          </cell>
          <cell r="B325" t="str">
            <v>Retención de ica por compras</v>
          </cell>
        </row>
        <row r="326">
          <cell r="A326">
            <v>286803</v>
          </cell>
          <cell r="B326" t="str">
            <v>Retención de ica por servicios</v>
          </cell>
        </row>
        <row r="327">
          <cell r="A327">
            <v>2870</v>
          </cell>
          <cell r="B327" t="str">
            <v>Retenciones y aportes de nomina</v>
          </cell>
        </row>
        <row r="328">
          <cell r="A328">
            <v>287005</v>
          </cell>
          <cell r="B328" t="str">
            <v>Retenciones de nomina</v>
          </cell>
        </row>
        <row r="329">
          <cell r="A329">
            <v>2880</v>
          </cell>
          <cell r="B329" t="str">
            <v>Pérdidas en asociadas negocio</v>
          </cell>
        </row>
        <row r="330">
          <cell r="A330">
            <v>288005</v>
          </cell>
          <cell r="B330" t="str">
            <v>Pérdidas</v>
          </cell>
        </row>
        <row r="331">
          <cell r="A331">
            <v>2885</v>
          </cell>
          <cell r="B331" t="str">
            <v>Autorretención renta dec 2201 2016</v>
          </cell>
        </row>
        <row r="332">
          <cell r="A332">
            <v>288505</v>
          </cell>
          <cell r="B332" t="str">
            <v>Autorretención renta dec 2201 2016</v>
          </cell>
        </row>
        <row r="333">
          <cell r="A333">
            <v>2895</v>
          </cell>
          <cell r="B333" t="str">
            <v>Diversos</v>
          </cell>
        </row>
        <row r="334">
          <cell r="A334">
            <v>289505</v>
          </cell>
          <cell r="B334" t="str">
            <v>Prestamos de producto</v>
          </cell>
        </row>
        <row r="335">
          <cell r="A335">
            <v>3</v>
          </cell>
          <cell r="B335" t="str">
            <v>Patrimonio</v>
          </cell>
        </row>
        <row r="336">
          <cell r="A336">
            <v>31</v>
          </cell>
          <cell r="B336" t="str">
            <v>Capital emitido</v>
          </cell>
        </row>
        <row r="337">
          <cell r="A337">
            <v>3105</v>
          </cell>
          <cell r="B337" t="str">
            <v>Capital suscrito y pagado</v>
          </cell>
        </row>
        <row r="338">
          <cell r="A338">
            <v>310505</v>
          </cell>
          <cell r="B338" t="str">
            <v>Capital emitido</v>
          </cell>
        </row>
        <row r="339">
          <cell r="A339">
            <v>32</v>
          </cell>
          <cell r="B339" t="str">
            <v>Superávit de capital</v>
          </cell>
        </row>
        <row r="340">
          <cell r="A340">
            <v>3205</v>
          </cell>
          <cell r="B340" t="str">
            <v>Prima en colocación de acciones, cuotas o partes de interés social</v>
          </cell>
        </row>
        <row r="341">
          <cell r="A341">
            <v>320505</v>
          </cell>
          <cell r="B341" t="str">
            <v>Prima en colocación de acciones</v>
          </cell>
        </row>
        <row r="342">
          <cell r="A342">
            <v>33</v>
          </cell>
          <cell r="B342" t="str">
            <v>Reservas</v>
          </cell>
        </row>
        <row r="343">
          <cell r="A343">
            <v>3305</v>
          </cell>
          <cell r="B343" t="str">
            <v>Reservas obligatorias</v>
          </cell>
        </row>
        <row r="344">
          <cell r="A344">
            <v>330505</v>
          </cell>
          <cell r="B344" t="str">
            <v>Reserva legal</v>
          </cell>
        </row>
        <row r="345">
          <cell r="A345">
            <v>3310</v>
          </cell>
          <cell r="B345" t="str">
            <v>Reservas estatutaria</v>
          </cell>
        </row>
        <row r="346">
          <cell r="A346">
            <v>331005</v>
          </cell>
          <cell r="B346" t="str">
            <v>Para futuras capitalizaciones</v>
          </cell>
        </row>
        <row r="347">
          <cell r="A347">
            <v>3315</v>
          </cell>
          <cell r="B347" t="str">
            <v>Reservas ocasionales</v>
          </cell>
        </row>
        <row r="348">
          <cell r="A348">
            <v>331505</v>
          </cell>
          <cell r="B348" t="str">
            <v>Para beneficencia y civismo</v>
          </cell>
        </row>
        <row r="349">
          <cell r="A349">
            <v>36</v>
          </cell>
          <cell r="B349" t="str">
            <v>Resultados del ejercicio</v>
          </cell>
        </row>
        <row r="350">
          <cell r="A350">
            <v>3605</v>
          </cell>
          <cell r="B350" t="str">
            <v>Utilidad del ejercicio</v>
          </cell>
        </row>
        <row r="351">
          <cell r="A351">
            <v>360505</v>
          </cell>
          <cell r="B351" t="str">
            <v>Ganancias o excedentes del periodo</v>
          </cell>
        </row>
        <row r="352">
          <cell r="A352">
            <v>3610</v>
          </cell>
          <cell r="B352" t="str">
            <v>Pérdidas del ejercicio</v>
          </cell>
        </row>
        <row r="353">
          <cell r="A353">
            <v>361005</v>
          </cell>
          <cell r="B353" t="str">
            <v>Pérdidas o excedentes del periodo</v>
          </cell>
        </row>
        <row r="354">
          <cell r="A354">
            <v>37</v>
          </cell>
          <cell r="B354" t="str">
            <v>Ganancias acumuladas</v>
          </cell>
        </row>
        <row r="355">
          <cell r="A355">
            <v>3705</v>
          </cell>
          <cell r="B355" t="str">
            <v>Utilidad acumulada</v>
          </cell>
        </row>
        <row r="356">
          <cell r="A356">
            <v>370505</v>
          </cell>
          <cell r="B356" t="str">
            <v>Ganancias o excedentes de periodos anteriores</v>
          </cell>
        </row>
        <row r="357">
          <cell r="A357">
            <v>3710</v>
          </cell>
          <cell r="B357" t="str">
            <v>Pérdidas acumuladas</v>
          </cell>
        </row>
        <row r="358">
          <cell r="A358">
            <v>371005</v>
          </cell>
          <cell r="B358" t="str">
            <v>Pérdidas o excedentes de periodos anteriores</v>
          </cell>
        </row>
        <row r="359">
          <cell r="A359">
            <v>3715</v>
          </cell>
          <cell r="B359" t="str">
            <v>Ganancia o pérdida en adopción por primera vez</v>
          </cell>
        </row>
        <row r="360">
          <cell r="A360">
            <v>371505</v>
          </cell>
          <cell r="B360" t="str">
            <v>Impactos por adopción por primera vez</v>
          </cell>
        </row>
        <row r="361">
          <cell r="A361">
            <v>3720</v>
          </cell>
          <cell r="B361" t="str">
            <v>Cambios en políticas estimaciones y errores</v>
          </cell>
        </row>
        <row r="362">
          <cell r="A362">
            <v>372005</v>
          </cell>
          <cell r="B362" t="str">
            <v>Cambios en políticas estimaciones y errores en general</v>
          </cell>
        </row>
        <row r="363">
          <cell r="A363">
            <v>38</v>
          </cell>
          <cell r="B363" t="str">
            <v>Otro resultado integral - ori</v>
          </cell>
        </row>
        <row r="364">
          <cell r="A364">
            <v>3805</v>
          </cell>
          <cell r="B364" t="str">
            <v>Superávit</v>
          </cell>
        </row>
        <row r="365">
          <cell r="A365">
            <v>380505</v>
          </cell>
          <cell r="B365" t="str">
            <v>Superávit por revaluación</v>
          </cell>
        </row>
        <row r="366">
          <cell r="A366">
            <v>3810</v>
          </cell>
          <cell r="B366" t="str">
            <v>Método de la participación</v>
          </cell>
        </row>
        <row r="367">
          <cell r="A367">
            <v>381005</v>
          </cell>
          <cell r="B367" t="str">
            <v>Superávit método de la participación</v>
          </cell>
        </row>
        <row r="368">
          <cell r="A368">
            <v>3815</v>
          </cell>
          <cell r="B368" t="str">
            <v>Cálculo actuarial</v>
          </cell>
        </row>
        <row r="369">
          <cell r="A369">
            <v>381505</v>
          </cell>
          <cell r="B369" t="str">
            <v>Superávit cálculo actuarial</v>
          </cell>
        </row>
        <row r="370">
          <cell r="A370">
            <v>39</v>
          </cell>
          <cell r="B370" t="str">
            <v>Participaciones</v>
          </cell>
        </row>
        <row r="371">
          <cell r="A371">
            <v>3905</v>
          </cell>
          <cell r="B371" t="str">
            <v>Participaciones no controladora</v>
          </cell>
        </row>
        <row r="372">
          <cell r="A372">
            <v>390505</v>
          </cell>
          <cell r="B372" t="str">
            <v>Participaciones no controladora en general</v>
          </cell>
        </row>
        <row r="373">
          <cell r="A373">
            <v>4</v>
          </cell>
          <cell r="B373" t="str">
            <v>Ingresos de actividades ordinarias</v>
          </cell>
        </row>
        <row r="374">
          <cell r="A374">
            <v>41</v>
          </cell>
          <cell r="B374" t="str">
            <v>Operacionales</v>
          </cell>
        </row>
        <row r="375">
          <cell r="A375">
            <v>4105</v>
          </cell>
          <cell r="B375" t="str">
            <v>Mercancía no fabricada por la empresa</v>
          </cell>
        </row>
        <row r="376">
          <cell r="A376">
            <v>410505</v>
          </cell>
          <cell r="B376" t="str">
            <v>Comercio al por mayor y al por menor</v>
          </cell>
        </row>
        <row r="377">
          <cell r="A377">
            <v>4110</v>
          </cell>
          <cell r="B377" t="str">
            <v>Mercancía fabricada por la empresa</v>
          </cell>
        </row>
        <row r="378">
          <cell r="A378">
            <v>41105</v>
          </cell>
          <cell r="B378" t="str">
            <v>Venta de productos</v>
          </cell>
        </row>
        <row r="379">
          <cell r="A379">
            <v>4180</v>
          </cell>
          <cell r="B379" t="str">
            <v>Operaciones conjuntas</v>
          </cell>
        </row>
        <row r="380">
          <cell r="A380">
            <v>418005</v>
          </cell>
          <cell r="B380" t="str">
            <v>Operaciones conjuntas generales</v>
          </cell>
        </row>
        <row r="381">
          <cell r="A381">
            <v>42</v>
          </cell>
          <cell r="B381" t="str">
            <v>Prestación de servicios</v>
          </cell>
        </row>
        <row r="382">
          <cell r="A382">
            <v>4210</v>
          </cell>
          <cell r="B382" t="str">
            <v>Actividad financiera</v>
          </cell>
        </row>
        <row r="383">
          <cell r="A383">
            <v>421005</v>
          </cell>
          <cell r="B383" t="str">
            <v>Intereses</v>
          </cell>
        </row>
        <row r="384">
          <cell r="A384">
            <v>4220</v>
          </cell>
          <cell r="B384" t="str">
            <v>Arrendamientos</v>
          </cell>
        </row>
        <row r="385">
          <cell r="A385">
            <v>422005</v>
          </cell>
          <cell r="B385" t="str">
            <v>Terrenos</v>
          </cell>
        </row>
        <row r="386">
          <cell r="A386">
            <v>4230</v>
          </cell>
          <cell r="B386" t="str">
            <v>Honorarios</v>
          </cell>
        </row>
        <row r="387">
          <cell r="A387">
            <v>423005</v>
          </cell>
          <cell r="B387" t="str">
            <v>Asesorías</v>
          </cell>
        </row>
        <row r="388">
          <cell r="A388">
            <v>423010</v>
          </cell>
          <cell r="B388" t="str">
            <v>Asistencia técnica</v>
          </cell>
        </row>
        <row r="389">
          <cell r="A389">
            <v>4295</v>
          </cell>
          <cell r="B389" t="str">
            <v xml:space="preserve">Otros </v>
          </cell>
        </row>
        <row r="390">
          <cell r="A390">
            <v>429505</v>
          </cell>
          <cell r="B390" t="str">
            <v xml:space="preserve">Otros </v>
          </cell>
        </row>
        <row r="391">
          <cell r="A391">
            <v>43</v>
          </cell>
          <cell r="B391" t="str">
            <v>Contratos de construcción</v>
          </cell>
        </row>
        <row r="392">
          <cell r="A392">
            <v>4330</v>
          </cell>
          <cell r="B392" t="str">
            <v>Construcciones nacionales</v>
          </cell>
        </row>
        <row r="393">
          <cell r="A393">
            <v>433005</v>
          </cell>
          <cell r="B393" t="str">
            <v>Construcción</v>
          </cell>
        </row>
        <row r="394">
          <cell r="A394">
            <v>45</v>
          </cell>
          <cell r="B394" t="str">
            <v>Otros ingresos o ganancias</v>
          </cell>
        </row>
        <row r="395">
          <cell r="A395">
            <v>4505</v>
          </cell>
          <cell r="B395" t="str">
            <v>Utilidad en venta</v>
          </cell>
        </row>
        <row r="396">
          <cell r="A396">
            <v>450505</v>
          </cell>
          <cell r="B396" t="str">
            <v>Utilidad en venta de inversión</v>
          </cell>
        </row>
        <row r="397">
          <cell r="A397">
            <v>4510</v>
          </cell>
          <cell r="B397" t="str">
            <v>Excedente en venta</v>
          </cell>
        </row>
        <row r="398">
          <cell r="A398">
            <v>451005</v>
          </cell>
          <cell r="B398" t="str">
            <v>Utilidad en venta de propiedad</v>
          </cell>
        </row>
        <row r="399">
          <cell r="A399">
            <v>4515</v>
          </cell>
          <cell r="B399" t="str">
            <v>Interés</v>
          </cell>
        </row>
        <row r="400">
          <cell r="A400">
            <v>451505</v>
          </cell>
          <cell r="B400" t="str">
            <v>Interés implícito</v>
          </cell>
        </row>
        <row r="401">
          <cell r="A401">
            <v>451510</v>
          </cell>
          <cell r="B401" t="str">
            <v>Interés de mercado</v>
          </cell>
        </row>
        <row r="402">
          <cell r="A402">
            <v>45151005</v>
          </cell>
          <cell r="B402" t="str">
            <v>Interés Costo amortizado (cxc)</v>
          </cell>
        </row>
        <row r="403">
          <cell r="A403">
            <v>45151010</v>
          </cell>
          <cell r="B403" t="str">
            <v>Interés Costo amortizado (Inversiones)</v>
          </cell>
        </row>
        <row r="404">
          <cell r="A404">
            <v>4520</v>
          </cell>
          <cell r="B404" t="str">
            <v>Recuperaciones</v>
          </cell>
        </row>
        <row r="405">
          <cell r="A405">
            <v>452005</v>
          </cell>
          <cell r="B405" t="str">
            <v>Recuperaciones de costos y gastos</v>
          </cell>
        </row>
        <row r="406">
          <cell r="A406">
            <v>4525</v>
          </cell>
          <cell r="B406" t="str">
            <v>Indemnizaciones</v>
          </cell>
        </row>
        <row r="407">
          <cell r="A407">
            <v>452505</v>
          </cell>
          <cell r="B407" t="str">
            <v>Indemnizaciones laborales</v>
          </cell>
        </row>
        <row r="408">
          <cell r="A408">
            <v>4530</v>
          </cell>
          <cell r="B408" t="str">
            <v>Ingresos por método de la participación</v>
          </cell>
        </row>
        <row r="409">
          <cell r="A409">
            <v>453005</v>
          </cell>
          <cell r="B409" t="str">
            <v>Método de la participación</v>
          </cell>
        </row>
        <row r="410">
          <cell r="A410">
            <v>4535</v>
          </cell>
          <cell r="B410" t="str">
            <v>Por valor razonable</v>
          </cell>
        </row>
        <row r="411">
          <cell r="A411">
            <v>453505</v>
          </cell>
          <cell r="B411" t="str">
            <v>Activos biológicos</v>
          </cell>
        </row>
        <row r="412">
          <cell r="A412">
            <v>453510</v>
          </cell>
          <cell r="B412" t="str">
            <v>Propiedades de inversión</v>
          </cell>
        </row>
        <row r="413">
          <cell r="A413">
            <v>453515</v>
          </cell>
          <cell r="B413" t="str">
            <v>Instrumentos financieros</v>
          </cell>
        </row>
        <row r="414">
          <cell r="A414">
            <v>453520</v>
          </cell>
          <cell r="B414" t="str">
            <v>Instrumentos derivados</v>
          </cell>
        </row>
        <row r="415">
          <cell r="A415">
            <v>4545</v>
          </cell>
          <cell r="B415" t="str">
            <v>Ingresos por conversión me</v>
          </cell>
        </row>
        <row r="416">
          <cell r="A416">
            <v>454505</v>
          </cell>
          <cell r="B416" t="str">
            <v>Diferencia en cambio</v>
          </cell>
        </row>
        <row r="417">
          <cell r="A417">
            <v>4565</v>
          </cell>
          <cell r="B417" t="str">
            <v>Subvenciones</v>
          </cell>
        </row>
        <row r="418">
          <cell r="A418">
            <v>456505</v>
          </cell>
          <cell r="B418" t="str">
            <v>Ingresos por subvenciones</v>
          </cell>
        </row>
        <row r="419">
          <cell r="A419">
            <v>4595</v>
          </cell>
          <cell r="B419" t="str">
            <v>Diversos</v>
          </cell>
        </row>
        <row r="420">
          <cell r="A420">
            <v>459505</v>
          </cell>
          <cell r="B420" t="str">
            <v>Aprovechamientos</v>
          </cell>
        </row>
        <row r="421">
          <cell r="A421">
            <v>5</v>
          </cell>
          <cell r="B421" t="str">
            <v>Gastos/ costos de administración</v>
          </cell>
        </row>
        <row r="422">
          <cell r="A422">
            <v>51</v>
          </cell>
          <cell r="B422" t="str">
            <v>Gastos de administración</v>
          </cell>
        </row>
        <row r="423">
          <cell r="A423">
            <v>5105</v>
          </cell>
          <cell r="B423" t="str">
            <v>Gastos de personal</v>
          </cell>
        </row>
        <row r="424">
          <cell r="A424">
            <v>510506</v>
          </cell>
          <cell r="B424" t="str">
            <v>Salarios</v>
          </cell>
        </row>
        <row r="425">
          <cell r="A425">
            <v>510515</v>
          </cell>
          <cell r="B425" t="str">
            <v>Horas extra</v>
          </cell>
        </row>
        <row r="426">
          <cell r="A426">
            <v>510527</v>
          </cell>
          <cell r="B426" t="str">
            <v>Auxilio de transporte</v>
          </cell>
        </row>
        <row r="427">
          <cell r="A427">
            <v>510530</v>
          </cell>
          <cell r="B427" t="str">
            <v>Cesantías</v>
          </cell>
        </row>
        <row r="428">
          <cell r="A428">
            <v>510533</v>
          </cell>
          <cell r="B428" t="str">
            <v>Intereses sobre cesantías</v>
          </cell>
        </row>
        <row r="429">
          <cell r="A429">
            <v>510536</v>
          </cell>
          <cell r="B429" t="str">
            <v>Prima de servicios</v>
          </cell>
        </row>
        <row r="430">
          <cell r="A430">
            <v>510539</v>
          </cell>
          <cell r="B430" t="str">
            <v>Vacaciones</v>
          </cell>
        </row>
        <row r="431">
          <cell r="A431">
            <v>510568</v>
          </cell>
          <cell r="B431" t="str">
            <v>A.r.l.</v>
          </cell>
        </row>
        <row r="432">
          <cell r="A432">
            <v>510569</v>
          </cell>
          <cell r="B432" t="str">
            <v>Aporte a fondos de pensiones</v>
          </cell>
        </row>
        <row r="433">
          <cell r="A433">
            <v>510572</v>
          </cell>
          <cell r="B433" t="str">
            <v>Aportes caja de compensación</v>
          </cell>
        </row>
        <row r="434">
          <cell r="A434">
            <v>510580</v>
          </cell>
          <cell r="B434" t="str">
            <v>Operaciones conjuntas</v>
          </cell>
        </row>
        <row r="435">
          <cell r="A435">
            <v>5110</v>
          </cell>
          <cell r="B435" t="str">
            <v>Honorarios</v>
          </cell>
        </row>
        <row r="436">
          <cell r="A436">
            <v>511025</v>
          </cell>
          <cell r="B436" t="str">
            <v>Asesoría jurídica</v>
          </cell>
        </row>
        <row r="437">
          <cell r="A437">
            <v>511030</v>
          </cell>
          <cell r="B437" t="str">
            <v>Asesoría financiera</v>
          </cell>
        </row>
        <row r="438">
          <cell r="A438">
            <v>511035</v>
          </cell>
          <cell r="B438" t="str">
            <v>Asesoría técnica</v>
          </cell>
        </row>
        <row r="439">
          <cell r="A439">
            <v>5115</v>
          </cell>
          <cell r="B439" t="str">
            <v>Impuestos</v>
          </cell>
        </row>
        <row r="440">
          <cell r="A440">
            <v>511505</v>
          </cell>
          <cell r="B440" t="str">
            <v>Industria y comercio</v>
          </cell>
        </row>
        <row r="441">
          <cell r="A441">
            <v>511510</v>
          </cell>
          <cell r="B441" t="str">
            <v>Iva descontable</v>
          </cell>
        </row>
        <row r="442">
          <cell r="A442">
            <v>5120</v>
          </cell>
          <cell r="B442" t="str">
            <v>Arrendamientos</v>
          </cell>
        </row>
        <row r="443">
          <cell r="A443">
            <v>512010</v>
          </cell>
          <cell r="B443" t="str">
            <v>Construcciones y edificaciones</v>
          </cell>
        </row>
        <row r="444">
          <cell r="A444">
            <v>5125</v>
          </cell>
          <cell r="B444" t="str">
            <v>Contribuciones y afiliaciones</v>
          </cell>
        </row>
        <row r="445">
          <cell r="A445">
            <v>512505</v>
          </cell>
          <cell r="B445" t="str">
            <v>Contribuciones</v>
          </cell>
        </row>
        <row r="446">
          <cell r="A446">
            <v>512510</v>
          </cell>
          <cell r="B446" t="str">
            <v>Afiliaciones</v>
          </cell>
        </row>
        <row r="447">
          <cell r="A447">
            <v>5130</v>
          </cell>
          <cell r="B447" t="str">
            <v>Seguros</v>
          </cell>
        </row>
        <row r="448">
          <cell r="A448">
            <v>513005</v>
          </cell>
          <cell r="B448" t="str">
            <v>Manejo</v>
          </cell>
        </row>
        <row r="449">
          <cell r="A449">
            <v>5135</v>
          </cell>
          <cell r="B449" t="str">
            <v>Servicios</v>
          </cell>
        </row>
        <row r="450">
          <cell r="A450">
            <v>513505</v>
          </cell>
          <cell r="B450" t="str">
            <v>Aseo y vigilancia</v>
          </cell>
        </row>
        <row r="451">
          <cell r="A451">
            <v>513525</v>
          </cell>
          <cell r="B451" t="str">
            <v>Acueducto y alcantarillado</v>
          </cell>
        </row>
        <row r="452">
          <cell r="A452">
            <v>512530</v>
          </cell>
          <cell r="B452" t="str">
            <v>Energía eléctrica</v>
          </cell>
        </row>
        <row r="453">
          <cell r="A453">
            <v>512535</v>
          </cell>
          <cell r="B453" t="str">
            <v>Teléfono</v>
          </cell>
        </row>
        <row r="454">
          <cell r="A454">
            <v>512555</v>
          </cell>
          <cell r="B454" t="str">
            <v>Gas</v>
          </cell>
        </row>
        <row r="455">
          <cell r="A455">
            <v>5140</v>
          </cell>
          <cell r="B455" t="str">
            <v>Gastos legales</v>
          </cell>
        </row>
        <row r="456">
          <cell r="A456">
            <v>514005</v>
          </cell>
          <cell r="B456" t="str">
            <v>Notariales</v>
          </cell>
        </row>
        <row r="457">
          <cell r="A457">
            <v>5145</v>
          </cell>
          <cell r="B457" t="str">
            <v>Mantenimiento y reparaciones</v>
          </cell>
        </row>
        <row r="458">
          <cell r="A458">
            <v>514510</v>
          </cell>
          <cell r="B458" t="str">
            <v>Construcciones y edificaciones</v>
          </cell>
        </row>
        <row r="459">
          <cell r="A459">
            <v>5150</v>
          </cell>
          <cell r="B459" t="str">
            <v>Adecuación e instalación</v>
          </cell>
        </row>
        <row r="460">
          <cell r="A460">
            <v>515005</v>
          </cell>
          <cell r="B460" t="str">
            <v>Instalaciones eléctricas</v>
          </cell>
        </row>
        <row r="461">
          <cell r="A461">
            <v>515010</v>
          </cell>
          <cell r="B461" t="str">
            <v>Arreglos ornamentales</v>
          </cell>
        </row>
        <row r="462">
          <cell r="A462">
            <v>515015</v>
          </cell>
          <cell r="B462" t="str">
            <v>Reparaciones locativas</v>
          </cell>
        </row>
        <row r="463">
          <cell r="A463">
            <v>5155</v>
          </cell>
          <cell r="B463" t="str">
            <v>Gastos de viaje</v>
          </cell>
        </row>
        <row r="464">
          <cell r="A464">
            <v>515505</v>
          </cell>
          <cell r="B464" t="str">
            <v> Alojamiento y manutención</v>
          </cell>
        </row>
        <row r="465">
          <cell r="A465">
            <v>5160</v>
          </cell>
          <cell r="B465" t="str">
            <v>Depreciaciones</v>
          </cell>
        </row>
        <row r="466">
          <cell r="A466">
            <v>516005</v>
          </cell>
          <cell r="B466" t="str">
            <v>Construcciones y edificaciones</v>
          </cell>
        </row>
        <row r="467">
          <cell r="A467">
            <v>516010</v>
          </cell>
          <cell r="B467" t="str">
            <v>Maquinaria y equipo</v>
          </cell>
        </row>
        <row r="468">
          <cell r="A468">
            <v>516015</v>
          </cell>
          <cell r="B468" t="str">
            <v>Equipo de oficina</v>
          </cell>
        </row>
        <row r="469">
          <cell r="A469">
            <v>516020</v>
          </cell>
          <cell r="B469" t="str">
            <v>Equipo de computación y comunicación</v>
          </cell>
        </row>
        <row r="470">
          <cell r="A470">
            <v>5165</v>
          </cell>
          <cell r="B470" t="str">
            <v>Amortizaciones</v>
          </cell>
        </row>
        <row r="471">
          <cell r="A471">
            <v>516510</v>
          </cell>
          <cell r="B471" t="str">
            <v>Intangibles</v>
          </cell>
        </row>
        <row r="472">
          <cell r="A472">
            <v>5195</v>
          </cell>
          <cell r="B472" t="str">
            <v>Diversos</v>
          </cell>
        </row>
        <row r="473">
          <cell r="A473">
            <v>519505</v>
          </cell>
          <cell r="B473" t="str">
            <v>Comisiones</v>
          </cell>
        </row>
        <row r="474">
          <cell r="A474">
            <v>519510</v>
          </cell>
          <cell r="B474" t="str">
            <v>Libros, suscripciones, periódicos y revistas</v>
          </cell>
        </row>
        <row r="475">
          <cell r="A475">
            <v>519520</v>
          </cell>
          <cell r="B475" t="str">
            <v>Gastos de representación y relaciones públicas</v>
          </cell>
        </row>
        <row r="476">
          <cell r="A476">
            <v>519525</v>
          </cell>
          <cell r="B476" t="str">
            <v>Elementos de aseo y cafetería</v>
          </cell>
        </row>
        <row r="477">
          <cell r="A477">
            <v>519530</v>
          </cell>
          <cell r="B477" t="str">
            <v>Útiles, papelería y fotocopias</v>
          </cell>
        </row>
        <row r="478">
          <cell r="A478">
            <v>519535</v>
          </cell>
          <cell r="B478" t="str">
            <v>Combustibles y lubricantes</v>
          </cell>
        </row>
        <row r="479">
          <cell r="A479">
            <v>519545</v>
          </cell>
          <cell r="B479" t="str">
            <v>Taxis y buses</v>
          </cell>
        </row>
        <row r="480">
          <cell r="A480">
            <v>519560</v>
          </cell>
          <cell r="B480" t="str">
            <v>Casino y restaurante</v>
          </cell>
        </row>
        <row r="481">
          <cell r="A481">
            <v>519565</v>
          </cell>
          <cell r="B481" t="str">
            <v>Parqueaderos</v>
          </cell>
        </row>
        <row r="482">
          <cell r="A482">
            <v>519595</v>
          </cell>
          <cell r="B482" t="str">
            <v>Otros</v>
          </cell>
        </row>
        <row r="483">
          <cell r="A483">
            <v>5199</v>
          </cell>
          <cell r="B483" t="str">
            <v>Deterioro Del Valor de los Activos</v>
          </cell>
        </row>
        <row r="484">
          <cell r="A484">
            <v>519901</v>
          </cell>
          <cell r="B484" t="str">
            <v>Cuentas comerciales por cobrar</v>
          </cell>
        </row>
        <row r="485">
          <cell r="A485">
            <v>519902</v>
          </cell>
          <cell r="B485" t="str">
            <v>Propiedades planta y equipo</v>
          </cell>
        </row>
        <row r="486">
          <cell r="A486">
            <v>519903</v>
          </cell>
          <cell r="B486" t="str">
            <v>Propiedades de inversión</v>
          </cell>
        </row>
        <row r="487">
          <cell r="A487">
            <v>519904</v>
          </cell>
          <cell r="B487" t="str">
            <v>Inversiones</v>
          </cell>
        </row>
        <row r="488">
          <cell r="A488">
            <v>52</v>
          </cell>
          <cell r="B488" t="str">
            <v>Operaciones de Ventas</v>
          </cell>
        </row>
        <row r="489">
          <cell r="A489">
            <v>5205</v>
          </cell>
          <cell r="B489" t="str">
            <v>Gastos de personal</v>
          </cell>
        </row>
        <row r="490">
          <cell r="A490">
            <v>520506</v>
          </cell>
          <cell r="B490" t="str">
            <v>Salarios</v>
          </cell>
        </row>
        <row r="491">
          <cell r="A491">
            <v>520515</v>
          </cell>
          <cell r="B491" t="str">
            <v>Horas extra</v>
          </cell>
        </row>
        <row r="492">
          <cell r="A492">
            <v>520527</v>
          </cell>
          <cell r="B492" t="str">
            <v>Auxilio de transporte</v>
          </cell>
        </row>
        <row r="493">
          <cell r="A493">
            <v>520530</v>
          </cell>
          <cell r="B493" t="str">
            <v>Cesantías</v>
          </cell>
        </row>
        <row r="494">
          <cell r="A494">
            <v>520533</v>
          </cell>
          <cell r="B494" t="str">
            <v>Intereses sobre cesantías</v>
          </cell>
        </row>
        <row r="495">
          <cell r="A495">
            <v>520536</v>
          </cell>
          <cell r="B495" t="str">
            <v>Prima de servicios</v>
          </cell>
        </row>
        <row r="496">
          <cell r="A496">
            <v>520539</v>
          </cell>
          <cell r="B496" t="str">
            <v>Vacaciones</v>
          </cell>
        </row>
        <row r="497">
          <cell r="A497">
            <v>5295</v>
          </cell>
          <cell r="B497" t="str">
            <v>Diversos</v>
          </cell>
        </row>
        <row r="498">
          <cell r="A498">
            <v>529505</v>
          </cell>
          <cell r="B498" t="str">
            <v>Comisiones</v>
          </cell>
        </row>
        <row r="499">
          <cell r="A499">
            <v>529510</v>
          </cell>
          <cell r="B499" t="str">
            <v>Libros, suscripciones, periódicos y revistas</v>
          </cell>
        </row>
        <row r="500">
          <cell r="A500">
            <v>529520</v>
          </cell>
          <cell r="B500" t="str">
            <v>Gastos de representación y relaciones públicas</v>
          </cell>
        </row>
        <row r="501">
          <cell r="A501">
            <v>529525</v>
          </cell>
          <cell r="B501" t="str">
            <v>Elementos de aseo y cafetería</v>
          </cell>
        </row>
        <row r="502">
          <cell r="A502">
            <v>529530</v>
          </cell>
          <cell r="B502" t="str">
            <v>Útiles, papelería y fotocopias</v>
          </cell>
        </row>
        <row r="503">
          <cell r="A503">
            <v>529535</v>
          </cell>
          <cell r="B503" t="str">
            <v>Combustibles y lubricantes</v>
          </cell>
        </row>
        <row r="504">
          <cell r="A504">
            <v>529545</v>
          </cell>
          <cell r="B504" t="str">
            <v>Taxis y buses</v>
          </cell>
        </row>
        <row r="505">
          <cell r="A505">
            <v>529560</v>
          </cell>
          <cell r="B505" t="str">
            <v>Casino y restaurante</v>
          </cell>
        </row>
        <row r="506">
          <cell r="A506">
            <v>529565</v>
          </cell>
          <cell r="B506" t="str">
            <v>Parqueaderos</v>
          </cell>
        </row>
        <row r="507">
          <cell r="A507">
            <v>529595</v>
          </cell>
          <cell r="B507" t="str">
            <v>Otros</v>
          </cell>
        </row>
        <row r="508">
          <cell r="A508">
            <v>53</v>
          </cell>
          <cell r="B508" t="str">
            <v>Costos financieros</v>
          </cell>
        </row>
        <row r="509">
          <cell r="A509">
            <v>5305</v>
          </cell>
          <cell r="B509" t="str">
            <v>Financieros</v>
          </cell>
        </row>
        <row r="510">
          <cell r="A510">
            <v>530505</v>
          </cell>
          <cell r="B510" t="str">
            <v>Arrendamientos</v>
          </cell>
        </row>
        <row r="511">
          <cell r="A511">
            <v>530510</v>
          </cell>
          <cell r="B511" t="str">
            <v>Costos por prestamos</v>
          </cell>
        </row>
        <row r="512">
          <cell r="A512">
            <v>530515</v>
          </cell>
          <cell r="B512" t="str">
            <v>Comisiones</v>
          </cell>
        </row>
        <row r="513">
          <cell r="A513">
            <v>5310</v>
          </cell>
          <cell r="B513" t="str">
            <v>Gastos interés socios</v>
          </cell>
        </row>
        <row r="514">
          <cell r="A514">
            <v>531005</v>
          </cell>
          <cell r="B514" t="str">
            <v>A socios</v>
          </cell>
        </row>
        <row r="515">
          <cell r="A515">
            <v>5315</v>
          </cell>
          <cell r="B515" t="str">
            <v>Gastos por valor razonable</v>
          </cell>
        </row>
        <row r="516">
          <cell r="A516">
            <v>531505</v>
          </cell>
          <cell r="B516" t="str">
            <v>Propiedades de inversión</v>
          </cell>
        </row>
        <row r="517">
          <cell r="A517">
            <v>531510</v>
          </cell>
          <cell r="B517" t="str">
            <v>Activos biológicos</v>
          </cell>
        </row>
        <row r="518">
          <cell r="A518">
            <v>531515</v>
          </cell>
          <cell r="B518" t="str">
            <v>Instrumentos financieros</v>
          </cell>
        </row>
        <row r="519">
          <cell r="A519">
            <v>531520</v>
          </cell>
          <cell r="B519" t="str">
            <v>Gastos por valoración fwd</v>
          </cell>
        </row>
        <row r="520">
          <cell r="A520">
            <v>54</v>
          </cell>
          <cell r="B520" t="str">
            <v>Gasto por impuesto a las ganan</v>
          </cell>
        </row>
        <row r="521">
          <cell r="A521">
            <v>5405</v>
          </cell>
          <cell r="B521" t="str">
            <v>Impuesto de renta y complementario</v>
          </cell>
        </row>
        <row r="522">
          <cell r="A522">
            <v>540505</v>
          </cell>
          <cell r="B522" t="str">
            <v>Impuesto de renta y complementarios</v>
          </cell>
        </row>
        <row r="523">
          <cell r="A523">
            <v>55</v>
          </cell>
          <cell r="B523" t="str">
            <v>Otros gastos o pérdidas</v>
          </cell>
        </row>
        <row r="524">
          <cell r="A524">
            <v>5505</v>
          </cell>
          <cell r="B524" t="str">
            <v>Ganancias y pérdidas</v>
          </cell>
        </row>
        <row r="525">
          <cell r="A525">
            <v>550505</v>
          </cell>
          <cell r="B525" t="str">
            <v>Ganancias y pérdidas</v>
          </cell>
        </row>
        <row r="526">
          <cell r="A526">
            <v>5510</v>
          </cell>
          <cell r="B526" t="str">
            <v>Pérdida en venta y retiro de bienes</v>
          </cell>
        </row>
        <row r="527">
          <cell r="A527">
            <v>551005</v>
          </cell>
          <cell r="B527" t="str">
            <v>Pérdida en venta</v>
          </cell>
        </row>
        <row r="528">
          <cell r="A528">
            <v>551010</v>
          </cell>
          <cell r="B528" t="str">
            <v>Retiro de bienes</v>
          </cell>
        </row>
        <row r="529">
          <cell r="A529">
            <v>5513</v>
          </cell>
          <cell r="B529" t="str">
            <v>Pérdidas</v>
          </cell>
        </row>
        <row r="530">
          <cell r="A530">
            <v>551305</v>
          </cell>
          <cell r="B530" t="str">
            <v>Pérdidas método de participación</v>
          </cell>
        </row>
        <row r="531">
          <cell r="A531">
            <v>5515</v>
          </cell>
          <cell r="B531" t="str">
            <v>Gastos extraordinarios</v>
          </cell>
        </row>
        <row r="532">
          <cell r="A532">
            <v>551505</v>
          </cell>
          <cell r="B532" t="str">
            <v>Costas y procesos judiciales</v>
          </cell>
        </row>
        <row r="533">
          <cell r="A533">
            <v>5595</v>
          </cell>
          <cell r="B533" t="str">
            <v>Gastos diversos</v>
          </cell>
        </row>
        <row r="534">
          <cell r="A534">
            <v>559505</v>
          </cell>
          <cell r="B534" t="str">
            <v>Por litigios y demandas</v>
          </cell>
        </row>
        <row r="535">
          <cell r="A535">
            <v>6</v>
          </cell>
          <cell r="B535" t="str">
            <v>Costos de ventas</v>
          </cell>
        </row>
        <row r="536">
          <cell r="A536">
            <v>61</v>
          </cell>
          <cell r="B536" t="str">
            <v>Costo de ventas y de prestación</v>
          </cell>
        </row>
        <row r="537">
          <cell r="A537">
            <v>6130</v>
          </cell>
          <cell r="B537" t="str">
            <v>Construcción</v>
          </cell>
        </row>
        <row r="538">
          <cell r="A538">
            <v>613005</v>
          </cell>
          <cell r="B538" t="str">
            <v>Preparación de terrenos</v>
          </cell>
        </row>
        <row r="539">
          <cell r="A539">
            <v>6135</v>
          </cell>
          <cell r="B539" t="str">
            <v xml:space="preserve">Comercio al por mayor y al por menor </v>
          </cell>
        </row>
        <row r="540">
          <cell r="A540">
            <v>613501</v>
          </cell>
          <cell r="B540" t="str">
            <v>Mercancía no fabricada por la empresa</v>
          </cell>
        </row>
        <row r="541">
          <cell r="A541">
            <v>613599</v>
          </cell>
          <cell r="B541" t="str">
            <v>Deterioro de valor</v>
          </cell>
        </row>
      </sheetData>
      <sheetData sheetId="3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0:E31"/>
  <sheetViews>
    <sheetView showGridLines="0" topLeftCell="A10" workbookViewId="0">
      <selection activeCell="B10" sqref="B10:E10"/>
    </sheetView>
  </sheetViews>
  <sheetFormatPr baseColWidth="10" defaultRowHeight="15" x14ac:dyDescent="0.25"/>
  <cols>
    <col min="1" max="1" width="24.7109375" customWidth="1"/>
    <col min="2" max="2" width="20.140625" customWidth="1"/>
    <col min="3" max="3" width="100.28515625" customWidth="1"/>
  </cols>
  <sheetData>
    <row r="10" spans="2:5" ht="204.75" customHeight="1" x14ac:dyDescent="0.25">
      <c r="B10" s="282" t="s">
        <v>271</v>
      </c>
      <c r="C10" s="282"/>
      <c r="D10" s="282"/>
      <c r="E10" s="282"/>
    </row>
    <row r="12" spans="2:5" ht="26.25" x14ac:dyDescent="0.25">
      <c r="C12" s="283" t="s">
        <v>259</v>
      </c>
      <c r="D12" s="284"/>
    </row>
    <row r="14" spans="2:5" ht="92.25" customHeight="1" x14ac:dyDescent="0.25">
      <c r="B14" s="285" t="s">
        <v>260</v>
      </c>
      <c r="C14" s="285"/>
      <c r="D14" s="285"/>
      <c r="E14" s="285"/>
    </row>
    <row r="17" spans="3:4" ht="55.5" customHeight="1" x14ac:dyDescent="0.25">
      <c r="C17" s="283" t="s">
        <v>261</v>
      </c>
      <c r="D17" s="284"/>
    </row>
    <row r="21" spans="3:4" ht="26.25" x14ac:dyDescent="0.25">
      <c r="C21" s="261" t="s">
        <v>262</v>
      </c>
    </row>
    <row r="22" spans="3:4" ht="26.25" x14ac:dyDescent="0.25">
      <c r="C22" s="261" t="s">
        <v>263</v>
      </c>
    </row>
    <row r="23" spans="3:4" ht="26.25" x14ac:dyDescent="0.25">
      <c r="C23" s="261" t="s">
        <v>264</v>
      </c>
    </row>
    <row r="24" spans="3:4" ht="26.25" x14ac:dyDescent="0.25">
      <c r="C24" s="261" t="s">
        <v>265</v>
      </c>
    </row>
    <row r="25" spans="3:4" ht="26.25" x14ac:dyDescent="0.25">
      <c r="C25" s="261" t="s">
        <v>266</v>
      </c>
    </row>
    <row r="26" spans="3:4" ht="26.25" x14ac:dyDescent="0.25">
      <c r="C26" s="261" t="s">
        <v>267</v>
      </c>
    </row>
    <row r="27" spans="3:4" ht="26.25" x14ac:dyDescent="0.25">
      <c r="C27" s="261" t="s">
        <v>268</v>
      </c>
    </row>
    <row r="28" spans="3:4" ht="26.25" x14ac:dyDescent="0.25">
      <c r="C28" s="261" t="s">
        <v>269</v>
      </c>
    </row>
    <row r="29" spans="3:4" ht="21" x14ac:dyDescent="0.35">
      <c r="C29" s="67"/>
    </row>
    <row r="30" spans="3:4" ht="156" customHeight="1" x14ac:dyDescent="0.25">
      <c r="C30" s="285" t="s">
        <v>270</v>
      </c>
      <c r="D30" s="285"/>
    </row>
    <row r="31" spans="3:4" ht="259.5" customHeight="1" x14ac:dyDescent="0.25">
      <c r="C31" s="281" t="s">
        <v>272</v>
      </c>
      <c r="D31" s="281"/>
    </row>
  </sheetData>
  <mergeCells count="6">
    <mergeCell ref="C31:D31"/>
    <mergeCell ref="B10:E10"/>
    <mergeCell ref="C12:D12"/>
    <mergeCell ref="B14:E14"/>
    <mergeCell ref="C17:D17"/>
    <mergeCell ref="C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169"/>
  <sheetViews>
    <sheetView showGridLines="0" tabSelected="1" topLeftCell="A125" zoomScale="110" zoomScaleNormal="110" workbookViewId="0">
      <selection activeCell="C133" sqref="C133:C135"/>
    </sheetView>
  </sheetViews>
  <sheetFormatPr baseColWidth="10" defaultRowHeight="23.25" x14ac:dyDescent="0.35"/>
  <cols>
    <col min="2" max="2" width="15" style="1" bestFit="1" customWidth="1"/>
    <col min="3" max="3" width="86.28515625" style="1" bestFit="1" customWidth="1"/>
    <col min="4" max="4" width="28.85546875" style="2" customWidth="1"/>
    <col min="5" max="7" width="28.85546875" style="3" customWidth="1"/>
    <col min="10" max="10" width="14.7109375" customWidth="1"/>
    <col min="250" max="250" width="15" bestFit="1" customWidth="1"/>
    <col min="251" max="251" width="86.28515625" bestFit="1" customWidth="1"/>
    <col min="252" max="255" width="28.85546875" customWidth="1"/>
    <col min="256" max="256" width="12.5703125" customWidth="1"/>
    <col min="257" max="260" width="28.85546875" customWidth="1"/>
    <col min="262" max="263" width="20.28515625" customWidth="1"/>
    <col min="506" max="506" width="15" bestFit="1" customWidth="1"/>
    <col min="507" max="507" width="86.28515625" bestFit="1" customWidth="1"/>
    <col min="508" max="511" width="28.85546875" customWidth="1"/>
    <col min="512" max="512" width="12.5703125" customWidth="1"/>
    <col min="513" max="516" width="28.85546875" customWidth="1"/>
    <col min="518" max="519" width="20.28515625" customWidth="1"/>
    <col min="762" max="762" width="15" bestFit="1" customWidth="1"/>
    <col min="763" max="763" width="86.28515625" bestFit="1" customWidth="1"/>
    <col min="764" max="767" width="28.85546875" customWidth="1"/>
    <col min="768" max="768" width="12.5703125" customWidth="1"/>
    <col min="769" max="772" width="28.85546875" customWidth="1"/>
    <col min="774" max="775" width="20.28515625" customWidth="1"/>
    <col min="1018" max="1018" width="15" bestFit="1" customWidth="1"/>
    <col min="1019" max="1019" width="86.28515625" bestFit="1" customWidth="1"/>
    <col min="1020" max="1023" width="28.85546875" customWidth="1"/>
    <col min="1024" max="1024" width="12.5703125" customWidth="1"/>
    <col min="1025" max="1028" width="28.85546875" customWidth="1"/>
    <col min="1030" max="1031" width="20.28515625" customWidth="1"/>
    <col min="1274" max="1274" width="15" bestFit="1" customWidth="1"/>
    <col min="1275" max="1275" width="86.28515625" bestFit="1" customWidth="1"/>
    <col min="1276" max="1279" width="28.85546875" customWidth="1"/>
    <col min="1280" max="1280" width="12.5703125" customWidth="1"/>
    <col min="1281" max="1284" width="28.85546875" customWidth="1"/>
    <col min="1286" max="1287" width="20.28515625" customWidth="1"/>
    <col min="1530" max="1530" width="15" bestFit="1" customWidth="1"/>
    <col min="1531" max="1531" width="86.28515625" bestFit="1" customWidth="1"/>
    <col min="1532" max="1535" width="28.85546875" customWidth="1"/>
    <col min="1536" max="1536" width="12.5703125" customWidth="1"/>
    <col min="1537" max="1540" width="28.85546875" customWidth="1"/>
    <col min="1542" max="1543" width="20.28515625" customWidth="1"/>
    <col min="1786" max="1786" width="15" bestFit="1" customWidth="1"/>
    <col min="1787" max="1787" width="86.28515625" bestFit="1" customWidth="1"/>
    <col min="1788" max="1791" width="28.85546875" customWidth="1"/>
    <col min="1792" max="1792" width="12.5703125" customWidth="1"/>
    <col min="1793" max="1796" width="28.85546875" customWidth="1"/>
    <col min="1798" max="1799" width="20.28515625" customWidth="1"/>
    <col min="2042" max="2042" width="15" bestFit="1" customWidth="1"/>
    <col min="2043" max="2043" width="86.28515625" bestFit="1" customWidth="1"/>
    <col min="2044" max="2047" width="28.85546875" customWidth="1"/>
    <col min="2048" max="2048" width="12.5703125" customWidth="1"/>
    <col min="2049" max="2052" width="28.85546875" customWidth="1"/>
    <col min="2054" max="2055" width="20.28515625" customWidth="1"/>
    <col min="2298" max="2298" width="15" bestFit="1" customWidth="1"/>
    <col min="2299" max="2299" width="86.28515625" bestFit="1" customWidth="1"/>
    <col min="2300" max="2303" width="28.85546875" customWidth="1"/>
    <col min="2304" max="2304" width="12.5703125" customWidth="1"/>
    <col min="2305" max="2308" width="28.85546875" customWidth="1"/>
    <col min="2310" max="2311" width="20.28515625" customWidth="1"/>
    <col min="2554" max="2554" width="15" bestFit="1" customWidth="1"/>
    <col min="2555" max="2555" width="86.28515625" bestFit="1" customWidth="1"/>
    <col min="2556" max="2559" width="28.85546875" customWidth="1"/>
    <col min="2560" max="2560" width="12.5703125" customWidth="1"/>
    <col min="2561" max="2564" width="28.85546875" customWidth="1"/>
    <col min="2566" max="2567" width="20.28515625" customWidth="1"/>
    <col min="2810" max="2810" width="15" bestFit="1" customWidth="1"/>
    <col min="2811" max="2811" width="86.28515625" bestFit="1" customWidth="1"/>
    <col min="2812" max="2815" width="28.85546875" customWidth="1"/>
    <col min="2816" max="2816" width="12.5703125" customWidth="1"/>
    <col min="2817" max="2820" width="28.85546875" customWidth="1"/>
    <col min="2822" max="2823" width="20.28515625" customWidth="1"/>
    <col min="3066" max="3066" width="15" bestFit="1" customWidth="1"/>
    <col min="3067" max="3067" width="86.28515625" bestFit="1" customWidth="1"/>
    <col min="3068" max="3071" width="28.85546875" customWidth="1"/>
    <col min="3072" max="3072" width="12.5703125" customWidth="1"/>
    <col min="3073" max="3076" width="28.85546875" customWidth="1"/>
    <col min="3078" max="3079" width="20.28515625" customWidth="1"/>
    <col min="3322" max="3322" width="15" bestFit="1" customWidth="1"/>
    <col min="3323" max="3323" width="86.28515625" bestFit="1" customWidth="1"/>
    <col min="3324" max="3327" width="28.85546875" customWidth="1"/>
    <col min="3328" max="3328" width="12.5703125" customWidth="1"/>
    <col min="3329" max="3332" width="28.85546875" customWidth="1"/>
    <col min="3334" max="3335" width="20.28515625" customWidth="1"/>
    <col min="3578" max="3578" width="15" bestFit="1" customWidth="1"/>
    <col min="3579" max="3579" width="86.28515625" bestFit="1" customWidth="1"/>
    <col min="3580" max="3583" width="28.85546875" customWidth="1"/>
    <col min="3584" max="3584" width="12.5703125" customWidth="1"/>
    <col min="3585" max="3588" width="28.85546875" customWidth="1"/>
    <col min="3590" max="3591" width="20.28515625" customWidth="1"/>
    <col min="3834" max="3834" width="15" bestFit="1" customWidth="1"/>
    <col min="3835" max="3835" width="86.28515625" bestFit="1" customWidth="1"/>
    <col min="3836" max="3839" width="28.85546875" customWidth="1"/>
    <col min="3840" max="3840" width="12.5703125" customWidth="1"/>
    <col min="3841" max="3844" width="28.85546875" customWidth="1"/>
    <col min="3846" max="3847" width="20.28515625" customWidth="1"/>
    <col min="4090" max="4090" width="15" bestFit="1" customWidth="1"/>
    <col min="4091" max="4091" width="86.28515625" bestFit="1" customWidth="1"/>
    <col min="4092" max="4095" width="28.85546875" customWidth="1"/>
    <col min="4096" max="4096" width="12.5703125" customWidth="1"/>
    <col min="4097" max="4100" width="28.85546875" customWidth="1"/>
    <col min="4102" max="4103" width="20.28515625" customWidth="1"/>
    <col min="4346" max="4346" width="15" bestFit="1" customWidth="1"/>
    <col min="4347" max="4347" width="86.28515625" bestFit="1" customWidth="1"/>
    <col min="4348" max="4351" width="28.85546875" customWidth="1"/>
    <col min="4352" max="4352" width="12.5703125" customWidth="1"/>
    <col min="4353" max="4356" width="28.85546875" customWidth="1"/>
    <col min="4358" max="4359" width="20.28515625" customWidth="1"/>
    <col min="4602" max="4602" width="15" bestFit="1" customWidth="1"/>
    <col min="4603" max="4603" width="86.28515625" bestFit="1" customWidth="1"/>
    <col min="4604" max="4607" width="28.85546875" customWidth="1"/>
    <col min="4608" max="4608" width="12.5703125" customWidth="1"/>
    <col min="4609" max="4612" width="28.85546875" customWidth="1"/>
    <col min="4614" max="4615" width="20.28515625" customWidth="1"/>
    <col min="4858" max="4858" width="15" bestFit="1" customWidth="1"/>
    <col min="4859" max="4859" width="86.28515625" bestFit="1" customWidth="1"/>
    <col min="4860" max="4863" width="28.85546875" customWidth="1"/>
    <col min="4864" max="4864" width="12.5703125" customWidth="1"/>
    <col min="4865" max="4868" width="28.85546875" customWidth="1"/>
    <col min="4870" max="4871" width="20.28515625" customWidth="1"/>
    <col min="5114" max="5114" width="15" bestFit="1" customWidth="1"/>
    <col min="5115" max="5115" width="86.28515625" bestFit="1" customWidth="1"/>
    <col min="5116" max="5119" width="28.85546875" customWidth="1"/>
    <col min="5120" max="5120" width="12.5703125" customWidth="1"/>
    <col min="5121" max="5124" width="28.85546875" customWidth="1"/>
    <col min="5126" max="5127" width="20.28515625" customWidth="1"/>
    <col min="5370" max="5370" width="15" bestFit="1" customWidth="1"/>
    <col min="5371" max="5371" width="86.28515625" bestFit="1" customWidth="1"/>
    <col min="5372" max="5375" width="28.85546875" customWidth="1"/>
    <col min="5376" max="5376" width="12.5703125" customWidth="1"/>
    <col min="5377" max="5380" width="28.85546875" customWidth="1"/>
    <col min="5382" max="5383" width="20.28515625" customWidth="1"/>
    <col min="5626" max="5626" width="15" bestFit="1" customWidth="1"/>
    <col min="5627" max="5627" width="86.28515625" bestFit="1" customWidth="1"/>
    <col min="5628" max="5631" width="28.85546875" customWidth="1"/>
    <col min="5632" max="5632" width="12.5703125" customWidth="1"/>
    <col min="5633" max="5636" width="28.85546875" customWidth="1"/>
    <col min="5638" max="5639" width="20.28515625" customWidth="1"/>
    <col min="5882" max="5882" width="15" bestFit="1" customWidth="1"/>
    <col min="5883" max="5883" width="86.28515625" bestFit="1" customWidth="1"/>
    <col min="5884" max="5887" width="28.85546875" customWidth="1"/>
    <col min="5888" max="5888" width="12.5703125" customWidth="1"/>
    <col min="5889" max="5892" width="28.85546875" customWidth="1"/>
    <col min="5894" max="5895" width="20.28515625" customWidth="1"/>
    <col min="6138" max="6138" width="15" bestFit="1" customWidth="1"/>
    <col min="6139" max="6139" width="86.28515625" bestFit="1" customWidth="1"/>
    <col min="6140" max="6143" width="28.85546875" customWidth="1"/>
    <col min="6144" max="6144" width="12.5703125" customWidth="1"/>
    <col min="6145" max="6148" width="28.85546875" customWidth="1"/>
    <col min="6150" max="6151" width="20.28515625" customWidth="1"/>
    <col min="6394" max="6394" width="15" bestFit="1" customWidth="1"/>
    <col min="6395" max="6395" width="86.28515625" bestFit="1" customWidth="1"/>
    <col min="6396" max="6399" width="28.85546875" customWidth="1"/>
    <col min="6400" max="6400" width="12.5703125" customWidth="1"/>
    <col min="6401" max="6404" width="28.85546875" customWidth="1"/>
    <col min="6406" max="6407" width="20.28515625" customWidth="1"/>
    <col min="6650" max="6650" width="15" bestFit="1" customWidth="1"/>
    <col min="6651" max="6651" width="86.28515625" bestFit="1" customWidth="1"/>
    <col min="6652" max="6655" width="28.85546875" customWidth="1"/>
    <col min="6656" max="6656" width="12.5703125" customWidth="1"/>
    <col min="6657" max="6660" width="28.85546875" customWidth="1"/>
    <col min="6662" max="6663" width="20.28515625" customWidth="1"/>
    <col min="6906" max="6906" width="15" bestFit="1" customWidth="1"/>
    <col min="6907" max="6907" width="86.28515625" bestFit="1" customWidth="1"/>
    <col min="6908" max="6911" width="28.85546875" customWidth="1"/>
    <col min="6912" max="6912" width="12.5703125" customWidth="1"/>
    <col min="6913" max="6916" width="28.85546875" customWidth="1"/>
    <col min="6918" max="6919" width="20.28515625" customWidth="1"/>
    <col min="7162" max="7162" width="15" bestFit="1" customWidth="1"/>
    <col min="7163" max="7163" width="86.28515625" bestFit="1" customWidth="1"/>
    <col min="7164" max="7167" width="28.85546875" customWidth="1"/>
    <col min="7168" max="7168" width="12.5703125" customWidth="1"/>
    <col min="7169" max="7172" width="28.85546875" customWidth="1"/>
    <col min="7174" max="7175" width="20.28515625" customWidth="1"/>
    <col min="7418" max="7418" width="15" bestFit="1" customWidth="1"/>
    <col min="7419" max="7419" width="86.28515625" bestFit="1" customWidth="1"/>
    <col min="7420" max="7423" width="28.85546875" customWidth="1"/>
    <col min="7424" max="7424" width="12.5703125" customWidth="1"/>
    <col min="7425" max="7428" width="28.85546875" customWidth="1"/>
    <col min="7430" max="7431" width="20.28515625" customWidth="1"/>
    <col min="7674" max="7674" width="15" bestFit="1" customWidth="1"/>
    <col min="7675" max="7675" width="86.28515625" bestFit="1" customWidth="1"/>
    <col min="7676" max="7679" width="28.85546875" customWidth="1"/>
    <col min="7680" max="7680" width="12.5703125" customWidth="1"/>
    <col min="7681" max="7684" width="28.85546875" customWidth="1"/>
    <col min="7686" max="7687" width="20.28515625" customWidth="1"/>
    <col min="7930" max="7930" width="15" bestFit="1" customWidth="1"/>
    <col min="7931" max="7931" width="86.28515625" bestFit="1" customWidth="1"/>
    <col min="7932" max="7935" width="28.85546875" customWidth="1"/>
    <col min="7936" max="7936" width="12.5703125" customWidth="1"/>
    <col min="7937" max="7940" width="28.85546875" customWidth="1"/>
    <col min="7942" max="7943" width="20.28515625" customWidth="1"/>
    <col min="8186" max="8186" width="15" bestFit="1" customWidth="1"/>
    <col min="8187" max="8187" width="86.28515625" bestFit="1" customWidth="1"/>
    <col min="8188" max="8191" width="28.85546875" customWidth="1"/>
    <col min="8192" max="8192" width="12.5703125" customWidth="1"/>
    <col min="8193" max="8196" width="28.85546875" customWidth="1"/>
    <col min="8198" max="8199" width="20.28515625" customWidth="1"/>
    <col min="8442" max="8442" width="15" bestFit="1" customWidth="1"/>
    <col min="8443" max="8443" width="86.28515625" bestFit="1" customWidth="1"/>
    <col min="8444" max="8447" width="28.85546875" customWidth="1"/>
    <col min="8448" max="8448" width="12.5703125" customWidth="1"/>
    <col min="8449" max="8452" width="28.85546875" customWidth="1"/>
    <col min="8454" max="8455" width="20.28515625" customWidth="1"/>
    <col min="8698" max="8698" width="15" bestFit="1" customWidth="1"/>
    <col min="8699" max="8699" width="86.28515625" bestFit="1" customWidth="1"/>
    <col min="8700" max="8703" width="28.85546875" customWidth="1"/>
    <col min="8704" max="8704" width="12.5703125" customWidth="1"/>
    <col min="8705" max="8708" width="28.85546875" customWidth="1"/>
    <col min="8710" max="8711" width="20.28515625" customWidth="1"/>
    <col min="8954" max="8954" width="15" bestFit="1" customWidth="1"/>
    <col min="8955" max="8955" width="86.28515625" bestFit="1" customWidth="1"/>
    <col min="8956" max="8959" width="28.85546875" customWidth="1"/>
    <col min="8960" max="8960" width="12.5703125" customWidth="1"/>
    <col min="8961" max="8964" width="28.85546875" customWidth="1"/>
    <col min="8966" max="8967" width="20.28515625" customWidth="1"/>
    <col min="9210" max="9210" width="15" bestFit="1" customWidth="1"/>
    <col min="9211" max="9211" width="86.28515625" bestFit="1" customWidth="1"/>
    <col min="9212" max="9215" width="28.85546875" customWidth="1"/>
    <col min="9216" max="9216" width="12.5703125" customWidth="1"/>
    <col min="9217" max="9220" width="28.85546875" customWidth="1"/>
    <col min="9222" max="9223" width="20.28515625" customWidth="1"/>
    <col min="9466" max="9466" width="15" bestFit="1" customWidth="1"/>
    <col min="9467" max="9467" width="86.28515625" bestFit="1" customWidth="1"/>
    <col min="9468" max="9471" width="28.85546875" customWidth="1"/>
    <col min="9472" max="9472" width="12.5703125" customWidth="1"/>
    <col min="9473" max="9476" width="28.85546875" customWidth="1"/>
    <col min="9478" max="9479" width="20.28515625" customWidth="1"/>
    <col min="9722" max="9722" width="15" bestFit="1" customWidth="1"/>
    <col min="9723" max="9723" width="86.28515625" bestFit="1" customWidth="1"/>
    <col min="9724" max="9727" width="28.85546875" customWidth="1"/>
    <col min="9728" max="9728" width="12.5703125" customWidth="1"/>
    <col min="9729" max="9732" width="28.85546875" customWidth="1"/>
    <col min="9734" max="9735" width="20.28515625" customWidth="1"/>
    <col min="9978" max="9978" width="15" bestFit="1" customWidth="1"/>
    <col min="9979" max="9979" width="86.28515625" bestFit="1" customWidth="1"/>
    <col min="9980" max="9983" width="28.85546875" customWidth="1"/>
    <col min="9984" max="9984" width="12.5703125" customWidth="1"/>
    <col min="9985" max="9988" width="28.85546875" customWidth="1"/>
    <col min="9990" max="9991" width="20.28515625" customWidth="1"/>
    <col min="10234" max="10234" width="15" bestFit="1" customWidth="1"/>
    <col min="10235" max="10235" width="86.28515625" bestFit="1" customWidth="1"/>
    <col min="10236" max="10239" width="28.85546875" customWidth="1"/>
    <col min="10240" max="10240" width="12.5703125" customWidth="1"/>
    <col min="10241" max="10244" width="28.85546875" customWidth="1"/>
    <col min="10246" max="10247" width="20.28515625" customWidth="1"/>
    <col min="10490" max="10490" width="15" bestFit="1" customWidth="1"/>
    <col min="10491" max="10491" width="86.28515625" bestFit="1" customWidth="1"/>
    <col min="10492" max="10495" width="28.85546875" customWidth="1"/>
    <col min="10496" max="10496" width="12.5703125" customWidth="1"/>
    <col min="10497" max="10500" width="28.85546875" customWidth="1"/>
    <col min="10502" max="10503" width="20.28515625" customWidth="1"/>
    <col min="10746" max="10746" width="15" bestFit="1" customWidth="1"/>
    <col min="10747" max="10747" width="86.28515625" bestFit="1" customWidth="1"/>
    <col min="10748" max="10751" width="28.85546875" customWidth="1"/>
    <col min="10752" max="10752" width="12.5703125" customWidth="1"/>
    <col min="10753" max="10756" width="28.85546875" customWidth="1"/>
    <col min="10758" max="10759" width="20.28515625" customWidth="1"/>
    <col min="11002" max="11002" width="15" bestFit="1" customWidth="1"/>
    <col min="11003" max="11003" width="86.28515625" bestFit="1" customWidth="1"/>
    <col min="11004" max="11007" width="28.85546875" customWidth="1"/>
    <col min="11008" max="11008" width="12.5703125" customWidth="1"/>
    <col min="11009" max="11012" width="28.85546875" customWidth="1"/>
    <col min="11014" max="11015" width="20.28515625" customWidth="1"/>
    <col min="11258" max="11258" width="15" bestFit="1" customWidth="1"/>
    <col min="11259" max="11259" width="86.28515625" bestFit="1" customWidth="1"/>
    <col min="11260" max="11263" width="28.85546875" customWidth="1"/>
    <col min="11264" max="11264" width="12.5703125" customWidth="1"/>
    <col min="11265" max="11268" width="28.85546875" customWidth="1"/>
    <col min="11270" max="11271" width="20.28515625" customWidth="1"/>
    <col min="11514" max="11514" width="15" bestFit="1" customWidth="1"/>
    <col min="11515" max="11515" width="86.28515625" bestFit="1" customWidth="1"/>
    <col min="11516" max="11519" width="28.85546875" customWidth="1"/>
    <col min="11520" max="11520" width="12.5703125" customWidth="1"/>
    <col min="11521" max="11524" width="28.85546875" customWidth="1"/>
    <col min="11526" max="11527" width="20.28515625" customWidth="1"/>
    <col min="11770" max="11770" width="15" bestFit="1" customWidth="1"/>
    <col min="11771" max="11771" width="86.28515625" bestFit="1" customWidth="1"/>
    <col min="11772" max="11775" width="28.85546875" customWidth="1"/>
    <col min="11776" max="11776" width="12.5703125" customWidth="1"/>
    <col min="11777" max="11780" width="28.85546875" customWidth="1"/>
    <col min="11782" max="11783" width="20.28515625" customWidth="1"/>
    <col min="12026" max="12026" width="15" bestFit="1" customWidth="1"/>
    <col min="12027" max="12027" width="86.28515625" bestFit="1" customWidth="1"/>
    <col min="12028" max="12031" width="28.85546875" customWidth="1"/>
    <col min="12032" max="12032" width="12.5703125" customWidth="1"/>
    <col min="12033" max="12036" width="28.85546875" customWidth="1"/>
    <col min="12038" max="12039" width="20.28515625" customWidth="1"/>
    <col min="12282" max="12282" width="15" bestFit="1" customWidth="1"/>
    <col min="12283" max="12283" width="86.28515625" bestFit="1" customWidth="1"/>
    <col min="12284" max="12287" width="28.85546875" customWidth="1"/>
    <col min="12288" max="12288" width="12.5703125" customWidth="1"/>
    <col min="12289" max="12292" width="28.85546875" customWidth="1"/>
    <col min="12294" max="12295" width="20.28515625" customWidth="1"/>
    <col min="12538" max="12538" width="15" bestFit="1" customWidth="1"/>
    <col min="12539" max="12539" width="86.28515625" bestFit="1" customWidth="1"/>
    <col min="12540" max="12543" width="28.85546875" customWidth="1"/>
    <col min="12544" max="12544" width="12.5703125" customWidth="1"/>
    <col min="12545" max="12548" width="28.85546875" customWidth="1"/>
    <col min="12550" max="12551" width="20.28515625" customWidth="1"/>
    <col min="12794" max="12794" width="15" bestFit="1" customWidth="1"/>
    <col min="12795" max="12795" width="86.28515625" bestFit="1" customWidth="1"/>
    <col min="12796" max="12799" width="28.85546875" customWidth="1"/>
    <col min="12800" max="12800" width="12.5703125" customWidth="1"/>
    <col min="12801" max="12804" width="28.85546875" customWidth="1"/>
    <col min="12806" max="12807" width="20.28515625" customWidth="1"/>
    <col min="13050" max="13050" width="15" bestFit="1" customWidth="1"/>
    <col min="13051" max="13051" width="86.28515625" bestFit="1" customWidth="1"/>
    <col min="13052" max="13055" width="28.85546875" customWidth="1"/>
    <col min="13056" max="13056" width="12.5703125" customWidth="1"/>
    <col min="13057" max="13060" width="28.85546875" customWidth="1"/>
    <col min="13062" max="13063" width="20.28515625" customWidth="1"/>
    <col min="13306" max="13306" width="15" bestFit="1" customWidth="1"/>
    <col min="13307" max="13307" width="86.28515625" bestFit="1" customWidth="1"/>
    <col min="13308" max="13311" width="28.85546875" customWidth="1"/>
    <col min="13312" max="13312" width="12.5703125" customWidth="1"/>
    <col min="13313" max="13316" width="28.85546875" customWidth="1"/>
    <col min="13318" max="13319" width="20.28515625" customWidth="1"/>
    <col min="13562" max="13562" width="15" bestFit="1" customWidth="1"/>
    <col min="13563" max="13563" width="86.28515625" bestFit="1" customWidth="1"/>
    <col min="13564" max="13567" width="28.85546875" customWidth="1"/>
    <col min="13568" max="13568" width="12.5703125" customWidth="1"/>
    <col min="13569" max="13572" width="28.85546875" customWidth="1"/>
    <col min="13574" max="13575" width="20.28515625" customWidth="1"/>
    <col min="13818" max="13818" width="15" bestFit="1" customWidth="1"/>
    <col min="13819" max="13819" width="86.28515625" bestFit="1" customWidth="1"/>
    <col min="13820" max="13823" width="28.85546875" customWidth="1"/>
    <col min="13824" max="13824" width="12.5703125" customWidth="1"/>
    <col min="13825" max="13828" width="28.85546875" customWidth="1"/>
    <col min="13830" max="13831" width="20.28515625" customWidth="1"/>
    <col min="14074" max="14074" width="15" bestFit="1" customWidth="1"/>
    <col min="14075" max="14075" width="86.28515625" bestFit="1" customWidth="1"/>
    <col min="14076" max="14079" width="28.85546875" customWidth="1"/>
    <col min="14080" max="14080" width="12.5703125" customWidth="1"/>
    <col min="14081" max="14084" width="28.85546875" customWidth="1"/>
    <col min="14086" max="14087" width="20.28515625" customWidth="1"/>
    <col min="14330" max="14330" width="15" bestFit="1" customWidth="1"/>
    <col min="14331" max="14331" width="86.28515625" bestFit="1" customWidth="1"/>
    <col min="14332" max="14335" width="28.85546875" customWidth="1"/>
    <col min="14336" max="14336" width="12.5703125" customWidth="1"/>
    <col min="14337" max="14340" width="28.85546875" customWidth="1"/>
    <col min="14342" max="14343" width="20.28515625" customWidth="1"/>
    <col min="14586" max="14586" width="15" bestFit="1" customWidth="1"/>
    <col min="14587" max="14587" width="86.28515625" bestFit="1" customWidth="1"/>
    <col min="14588" max="14591" width="28.85546875" customWidth="1"/>
    <col min="14592" max="14592" width="12.5703125" customWidth="1"/>
    <col min="14593" max="14596" width="28.85546875" customWidth="1"/>
    <col min="14598" max="14599" width="20.28515625" customWidth="1"/>
    <col min="14842" max="14842" width="15" bestFit="1" customWidth="1"/>
    <col min="14843" max="14843" width="86.28515625" bestFit="1" customWidth="1"/>
    <col min="14844" max="14847" width="28.85546875" customWidth="1"/>
    <col min="14848" max="14848" width="12.5703125" customWidth="1"/>
    <col min="14849" max="14852" width="28.85546875" customWidth="1"/>
    <col min="14854" max="14855" width="20.28515625" customWidth="1"/>
    <col min="15098" max="15098" width="15" bestFit="1" customWidth="1"/>
    <col min="15099" max="15099" width="86.28515625" bestFit="1" customWidth="1"/>
    <col min="15100" max="15103" width="28.85546875" customWidth="1"/>
    <col min="15104" max="15104" width="12.5703125" customWidth="1"/>
    <col min="15105" max="15108" width="28.85546875" customWidth="1"/>
    <col min="15110" max="15111" width="20.28515625" customWidth="1"/>
    <col min="15354" max="15354" width="15" bestFit="1" customWidth="1"/>
    <col min="15355" max="15355" width="86.28515625" bestFit="1" customWidth="1"/>
    <col min="15356" max="15359" width="28.85546875" customWidth="1"/>
    <col min="15360" max="15360" width="12.5703125" customWidth="1"/>
    <col min="15361" max="15364" width="28.85546875" customWidth="1"/>
    <col min="15366" max="15367" width="20.28515625" customWidth="1"/>
    <col min="15610" max="15610" width="15" bestFit="1" customWidth="1"/>
    <col min="15611" max="15611" width="86.28515625" bestFit="1" customWidth="1"/>
    <col min="15612" max="15615" width="28.85546875" customWidth="1"/>
    <col min="15616" max="15616" width="12.5703125" customWidth="1"/>
    <col min="15617" max="15620" width="28.85546875" customWidth="1"/>
    <col min="15622" max="15623" width="20.28515625" customWidth="1"/>
    <col min="15866" max="15866" width="15" bestFit="1" customWidth="1"/>
    <col min="15867" max="15867" width="86.28515625" bestFit="1" customWidth="1"/>
    <col min="15868" max="15871" width="28.85546875" customWidth="1"/>
    <col min="15872" max="15872" width="12.5703125" customWidth="1"/>
    <col min="15873" max="15876" width="28.85546875" customWidth="1"/>
    <col min="15878" max="15879" width="20.28515625" customWidth="1"/>
    <col min="16122" max="16122" width="15" bestFit="1" customWidth="1"/>
    <col min="16123" max="16123" width="86.28515625" bestFit="1" customWidth="1"/>
    <col min="16124" max="16127" width="28.85546875" customWidth="1"/>
    <col min="16128" max="16128" width="12.5703125" customWidth="1"/>
    <col min="16129" max="16132" width="28.85546875" customWidth="1"/>
    <col min="16134" max="16135" width="20.28515625" customWidth="1"/>
  </cols>
  <sheetData>
    <row r="1" spans="2:7" ht="24" thickBot="1" x14ac:dyDescent="0.4"/>
    <row r="2" spans="2:7" ht="72" customHeight="1" thickBot="1" x14ac:dyDescent="0.3">
      <c r="B2" s="153"/>
      <c r="C2" s="286" t="s">
        <v>0</v>
      </c>
      <c r="D2" s="286"/>
      <c r="E2" s="286"/>
      <c r="F2" s="286"/>
      <c r="G2" s="286"/>
    </row>
    <row r="4" spans="2:7" ht="29.25" thickBot="1" x14ac:dyDescent="0.5">
      <c r="D4" s="287" t="s">
        <v>159</v>
      </c>
      <c r="E4" s="287"/>
      <c r="F4" s="287"/>
      <c r="G4" s="287"/>
    </row>
    <row r="5" spans="2:7" ht="21" customHeight="1" thickBot="1" x14ac:dyDescent="0.3">
      <c r="B5" s="4" t="s">
        <v>1</v>
      </c>
      <c r="C5" s="5" t="s">
        <v>2</v>
      </c>
      <c r="D5" s="6" t="s">
        <v>3</v>
      </c>
      <c r="E5" s="7" t="s">
        <v>4</v>
      </c>
      <c r="F5" s="7" t="s">
        <v>5</v>
      </c>
      <c r="G5" s="7" t="s">
        <v>6</v>
      </c>
    </row>
    <row r="6" spans="2:7" x14ac:dyDescent="0.35">
      <c r="B6" s="8">
        <v>11</v>
      </c>
      <c r="C6" s="8" t="s">
        <v>7</v>
      </c>
      <c r="D6" s="9">
        <f>SUM(D7:D10)</f>
        <v>72900000</v>
      </c>
      <c r="E6" s="9">
        <f>SUM(E7:E10)</f>
        <v>0</v>
      </c>
      <c r="F6" s="9">
        <f>SUM(F7:F10)</f>
        <v>0</v>
      </c>
      <c r="G6" s="9">
        <f>SUM(G7:G10)</f>
        <v>72900000</v>
      </c>
    </row>
    <row r="7" spans="2:7" x14ac:dyDescent="0.35">
      <c r="B7" s="10">
        <v>1105</v>
      </c>
      <c r="C7" s="10" t="s">
        <v>8</v>
      </c>
      <c r="D7" s="11">
        <v>500000</v>
      </c>
      <c r="E7" s="11"/>
      <c r="F7" s="11"/>
      <c r="G7" s="12">
        <f>+D7+E7-F7</f>
        <v>500000</v>
      </c>
    </row>
    <row r="8" spans="2:7" x14ac:dyDescent="0.35">
      <c r="B8" s="10">
        <v>1110</v>
      </c>
      <c r="C8" s="10" t="s">
        <v>9</v>
      </c>
      <c r="D8" s="11">
        <v>32400000</v>
      </c>
      <c r="E8" s="11"/>
      <c r="F8" s="11"/>
      <c r="G8" s="12">
        <f>+D8+E8-F8</f>
        <v>32400000</v>
      </c>
    </row>
    <row r="9" spans="2:7" x14ac:dyDescent="0.35">
      <c r="B9" s="10">
        <v>1150</v>
      </c>
      <c r="C9" s="10" t="s">
        <v>10</v>
      </c>
      <c r="D9" s="11">
        <v>15000000</v>
      </c>
      <c r="E9" s="11"/>
      <c r="F9" s="11"/>
      <c r="G9" s="12">
        <f>+D9+E9-F9</f>
        <v>15000000</v>
      </c>
    </row>
    <row r="10" spans="2:7" x14ac:dyDescent="0.35">
      <c r="B10" s="10">
        <v>1190</v>
      </c>
      <c r="C10" s="10" t="s">
        <v>11</v>
      </c>
      <c r="D10" s="11">
        <v>25000000</v>
      </c>
      <c r="E10" s="11"/>
      <c r="F10" s="11"/>
      <c r="G10" s="12">
        <f>+D10+E10-F10</f>
        <v>25000000</v>
      </c>
    </row>
    <row r="11" spans="2:7" x14ac:dyDescent="0.35">
      <c r="B11" s="13">
        <v>12</v>
      </c>
      <c r="C11" s="13" t="s">
        <v>12</v>
      </c>
      <c r="D11" s="14">
        <f>+D12+D19+D22</f>
        <v>70000000</v>
      </c>
      <c r="E11" s="14">
        <f>+E12+E19+E22</f>
        <v>3000000</v>
      </c>
      <c r="F11" s="14">
        <f>+F12+F19+F22</f>
        <v>0</v>
      </c>
      <c r="G11" s="14">
        <f>+G12+G19+G22</f>
        <v>73000000</v>
      </c>
    </row>
    <row r="12" spans="2:7" x14ac:dyDescent="0.35">
      <c r="B12" s="21">
        <v>1205</v>
      </c>
      <c r="C12" s="21" t="s">
        <v>13</v>
      </c>
      <c r="D12" s="22">
        <f>+D13+D14</f>
        <v>50000000</v>
      </c>
      <c r="E12" s="16">
        <f>+E13+E14</f>
        <v>3000000</v>
      </c>
      <c r="F12" s="16">
        <f>+F13+F14</f>
        <v>0</v>
      </c>
      <c r="G12" s="16">
        <f>+G13+G14</f>
        <v>53000000</v>
      </c>
    </row>
    <row r="13" spans="2:7" x14ac:dyDescent="0.35">
      <c r="B13" s="239" t="s">
        <v>14</v>
      </c>
      <c r="C13" s="240" t="s">
        <v>15</v>
      </c>
      <c r="D13" s="241">
        <v>50000000</v>
      </c>
      <c r="E13" s="11"/>
      <c r="F13" s="11"/>
      <c r="G13" s="278">
        <f>+D13+E13-F13</f>
        <v>50000000</v>
      </c>
    </row>
    <row r="14" spans="2:7" x14ac:dyDescent="0.35">
      <c r="B14" s="242" t="s">
        <v>16</v>
      </c>
      <c r="C14" s="243" t="s">
        <v>17</v>
      </c>
      <c r="D14" s="244">
        <v>0</v>
      </c>
      <c r="E14" s="244">
        <f>+INVERSIONES!D38</f>
        <v>3000000</v>
      </c>
      <c r="F14" s="244"/>
      <c r="G14" s="277">
        <f>+D14+E14-F14</f>
        <v>3000000</v>
      </c>
    </row>
    <row r="15" spans="2:7" x14ac:dyDescent="0.35">
      <c r="B15" s="15">
        <v>1210</v>
      </c>
      <c r="C15" s="15" t="s">
        <v>18</v>
      </c>
      <c r="D15" s="16">
        <f>+D16+D17+D18</f>
        <v>0</v>
      </c>
      <c r="E15" s="16">
        <f>+E16+E17+E18</f>
        <v>0</v>
      </c>
      <c r="F15" s="16">
        <f>+F16+F17+F18</f>
        <v>0</v>
      </c>
      <c r="G15" s="16">
        <f>+G16+G17+G18</f>
        <v>0</v>
      </c>
    </row>
    <row r="16" spans="2:7" x14ac:dyDescent="0.35">
      <c r="B16" s="17" t="s">
        <v>19</v>
      </c>
      <c r="C16" s="10" t="s">
        <v>15</v>
      </c>
      <c r="D16" s="11">
        <v>0</v>
      </c>
      <c r="E16" s="11"/>
      <c r="F16" s="11"/>
      <c r="G16" s="12">
        <f>+D16+E16-F16</f>
        <v>0</v>
      </c>
    </row>
    <row r="17" spans="2:7" x14ac:dyDescent="0.35">
      <c r="B17" s="17" t="s">
        <v>20</v>
      </c>
      <c r="C17" s="10" t="s">
        <v>17</v>
      </c>
      <c r="D17" s="11">
        <v>0</v>
      </c>
      <c r="E17" s="11"/>
      <c r="F17" s="11"/>
      <c r="G17" s="12">
        <f>+D17+E17-F17</f>
        <v>0</v>
      </c>
    </row>
    <row r="18" spans="2:7" x14ac:dyDescent="0.35">
      <c r="B18" s="17" t="s">
        <v>20</v>
      </c>
      <c r="C18" s="10" t="s">
        <v>21</v>
      </c>
      <c r="D18" s="11">
        <v>0</v>
      </c>
      <c r="E18" s="11"/>
      <c r="F18" s="11"/>
      <c r="G18" s="12">
        <f>+D18+E18-F18</f>
        <v>0</v>
      </c>
    </row>
    <row r="19" spans="2:7" x14ac:dyDescent="0.35">
      <c r="B19" s="275">
        <v>1250</v>
      </c>
      <c r="C19" s="275" t="s">
        <v>22</v>
      </c>
      <c r="D19" s="276">
        <f>+D20+D21</f>
        <v>20000000</v>
      </c>
      <c r="E19" s="16">
        <f>+E20+E21</f>
        <v>0</v>
      </c>
      <c r="F19" s="16">
        <f>+F20+F21</f>
        <v>0</v>
      </c>
      <c r="G19" s="16">
        <f>+G20+G21</f>
        <v>20000000</v>
      </c>
    </row>
    <row r="20" spans="2:7" x14ac:dyDescent="0.35">
      <c r="B20" s="242" t="s">
        <v>23</v>
      </c>
      <c r="C20" s="243" t="s">
        <v>15</v>
      </c>
      <c r="D20" s="244">
        <v>20000000</v>
      </c>
      <c r="E20" s="11"/>
      <c r="F20" s="11"/>
      <c r="G20" s="12">
        <f>+D20+E20-F20</f>
        <v>20000000</v>
      </c>
    </row>
    <row r="21" spans="2:7" s="18" customFormat="1" x14ac:dyDescent="0.35">
      <c r="B21" s="17" t="s">
        <v>24</v>
      </c>
      <c r="C21" s="10" t="s">
        <v>25</v>
      </c>
      <c r="D21" s="11"/>
      <c r="E21" s="11">
        <v>0</v>
      </c>
      <c r="F21" s="11"/>
      <c r="G21" s="12">
        <f>+D21+E21-F21</f>
        <v>0</v>
      </c>
    </row>
    <row r="22" spans="2:7" x14ac:dyDescent="0.35">
      <c r="B22" s="19">
        <v>1299</v>
      </c>
      <c r="C22" s="15" t="s">
        <v>26</v>
      </c>
      <c r="D22" s="16">
        <f>+D23</f>
        <v>0</v>
      </c>
      <c r="E22" s="16"/>
      <c r="F22" s="16"/>
      <c r="G22" s="12">
        <f>+D22+E22-F22</f>
        <v>0</v>
      </c>
    </row>
    <row r="23" spans="2:7" x14ac:dyDescent="0.35">
      <c r="B23" s="17" t="s">
        <v>27</v>
      </c>
      <c r="C23" s="10" t="s">
        <v>28</v>
      </c>
      <c r="D23" s="11"/>
      <c r="E23" s="11"/>
      <c r="F23" s="11"/>
      <c r="G23" s="12">
        <f>+D23+E23-F23</f>
        <v>0</v>
      </c>
    </row>
    <row r="24" spans="2:7" x14ac:dyDescent="0.35">
      <c r="B24" s="13">
        <v>13</v>
      </c>
      <c r="C24" s="13" t="s">
        <v>29</v>
      </c>
      <c r="D24" s="14">
        <f>+D25+D29+D34+D27</f>
        <v>115700000</v>
      </c>
      <c r="E24" s="14">
        <f>+E25+E29+E34+E27</f>
        <v>0</v>
      </c>
      <c r="F24" s="14">
        <f>+F25+F29+F34+F27</f>
        <v>6000000</v>
      </c>
      <c r="G24" s="14">
        <f>+G25+G29+G34+G27</f>
        <v>109700000</v>
      </c>
    </row>
    <row r="25" spans="2:7" x14ac:dyDescent="0.35">
      <c r="B25" s="15">
        <v>1305</v>
      </c>
      <c r="C25" s="15" t="s">
        <v>30</v>
      </c>
      <c r="D25" s="16">
        <f>+D26</f>
        <v>65000000</v>
      </c>
      <c r="E25" s="16">
        <f>+E26</f>
        <v>0</v>
      </c>
      <c r="F25" s="16">
        <f>+F26</f>
        <v>0</v>
      </c>
      <c r="G25" s="16">
        <f>+G26</f>
        <v>65000000</v>
      </c>
    </row>
    <row r="26" spans="2:7" x14ac:dyDescent="0.35">
      <c r="B26" s="230" t="s">
        <v>31</v>
      </c>
      <c r="C26" s="231" t="s">
        <v>32</v>
      </c>
      <c r="D26" s="232">
        <v>65000000</v>
      </c>
      <c r="E26" s="232">
        <v>0</v>
      </c>
      <c r="F26" s="232"/>
      <c r="G26" s="233">
        <f>+D26+E26-F26</f>
        <v>65000000</v>
      </c>
    </row>
    <row r="27" spans="2:7" x14ac:dyDescent="0.35">
      <c r="B27" s="15">
        <v>1325</v>
      </c>
      <c r="C27" s="15" t="s">
        <v>33</v>
      </c>
      <c r="D27" s="16">
        <f>+D28</f>
        <v>30000000</v>
      </c>
      <c r="E27" s="16">
        <f>+E28</f>
        <v>0</v>
      </c>
      <c r="F27" s="16">
        <f>+F28</f>
        <v>0</v>
      </c>
      <c r="G27" s="16">
        <f>+G28</f>
        <v>30000000</v>
      </c>
    </row>
    <row r="28" spans="2:7" x14ac:dyDescent="0.35">
      <c r="B28" s="17" t="s">
        <v>34</v>
      </c>
      <c r="C28" s="10" t="s">
        <v>35</v>
      </c>
      <c r="D28" s="11">
        <v>30000000</v>
      </c>
      <c r="E28" s="11"/>
      <c r="F28" s="11"/>
      <c r="G28" s="12">
        <f>+D28+E28-F28</f>
        <v>30000000</v>
      </c>
    </row>
    <row r="29" spans="2:7" x14ac:dyDescent="0.35">
      <c r="B29" s="279">
        <v>1355</v>
      </c>
      <c r="C29" s="279" t="s">
        <v>36</v>
      </c>
      <c r="D29" s="280">
        <f>SUM(D30:D33)</f>
        <v>20700000</v>
      </c>
      <c r="E29" s="280">
        <f t="shared" ref="E29:G29" si="0">SUM(E30:E33)</f>
        <v>0</v>
      </c>
      <c r="F29" s="280">
        <f t="shared" si="0"/>
        <v>0</v>
      </c>
      <c r="G29" s="280">
        <f t="shared" si="0"/>
        <v>20700000</v>
      </c>
    </row>
    <row r="30" spans="2:7" x14ac:dyDescent="0.35">
      <c r="B30" s="17" t="s">
        <v>37</v>
      </c>
      <c r="C30" s="10" t="s">
        <v>38</v>
      </c>
      <c r="D30" s="11">
        <v>17500000</v>
      </c>
      <c r="E30" s="11">
        <v>0</v>
      </c>
      <c r="F30" s="11">
        <v>0</v>
      </c>
      <c r="G30" s="12">
        <f>+D30+E30-F30</f>
        <v>17500000</v>
      </c>
    </row>
    <row r="31" spans="2:7" x14ac:dyDescent="0.35">
      <c r="B31" s="17" t="s">
        <v>37</v>
      </c>
      <c r="C31" s="10" t="s">
        <v>39</v>
      </c>
      <c r="D31" s="11">
        <v>3200000</v>
      </c>
      <c r="E31" s="11"/>
      <c r="F31" s="11">
        <v>0</v>
      </c>
      <c r="G31" s="12">
        <f>+D31+E31-F31</f>
        <v>3200000</v>
      </c>
    </row>
    <row r="32" spans="2:7" x14ac:dyDescent="0.35">
      <c r="B32" s="20" t="s">
        <v>40</v>
      </c>
      <c r="C32" s="21" t="s">
        <v>41</v>
      </c>
      <c r="D32" s="22"/>
      <c r="E32" s="22">
        <v>0</v>
      </c>
      <c r="F32" s="22"/>
      <c r="G32" s="23">
        <f>+D32+E32-F32</f>
        <v>0</v>
      </c>
    </row>
    <row r="33" spans="2:7" x14ac:dyDescent="0.35">
      <c r="B33" s="17" t="s">
        <v>42</v>
      </c>
      <c r="C33" s="10" t="s">
        <v>43</v>
      </c>
      <c r="D33" s="11"/>
      <c r="E33" s="11">
        <v>0</v>
      </c>
      <c r="F33" s="11">
        <v>0</v>
      </c>
      <c r="G33" s="12">
        <f>+D33+E33-F33</f>
        <v>0</v>
      </c>
    </row>
    <row r="34" spans="2:7" x14ac:dyDescent="0.35">
      <c r="B34" s="234">
        <v>1399</v>
      </c>
      <c r="C34" s="234" t="s">
        <v>44</v>
      </c>
      <c r="D34" s="235">
        <f>+D35</f>
        <v>0</v>
      </c>
      <c r="E34" s="235">
        <f>+E35</f>
        <v>0</v>
      </c>
      <c r="F34" s="235">
        <f>+F35</f>
        <v>6000000</v>
      </c>
      <c r="G34" s="235">
        <f>+G35</f>
        <v>-6000000</v>
      </c>
    </row>
    <row r="35" spans="2:7" x14ac:dyDescent="0.35">
      <c r="B35" s="213" t="s">
        <v>45</v>
      </c>
      <c r="C35" s="214" t="s">
        <v>46</v>
      </c>
      <c r="D35" s="215"/>
      <c r="E35" s="215">
        <v>0</v>
      </c>
      <c r="F35" s="215">
        <f>+CXC!J27</f>
        <v>6000000</v>
      </c>
      <c r="G35" s="216">
        <f>+D35+E35-F35</f>
        <v>-6000000</v>
      </c>
    </row>
    <row r="36" spans="2:7" x14ac:dyDescent="0.35">
      <c r="B36" s="13">
        <v>14</v>
      </c>
      <c r="C36" s="13" t="s">
        <v>47</v>
      </c>
      <c r="D36" s="14">
        <f>+D37+D38</f>
        <v>78500000</v>
      </c>
      <c r="E36" s="14">
        <f>+E37+E38</f>
        <v>0</v>
      </c>
      <c r="F36" s="14">
        <f>+F37+F38</f>
        <v>11775000</v>
      </c>
      <c r="G36" s="236">
        <f>+G37+G38</f>
        <v>66725000</v>
      </c>
    </row>
    <row r="37" spans="2:7" x14ac:dyDescent="0.35">
      <c r="B37" s="10">
        <v>1435</v>
      </c>
      <c r="C37" s="10" t="s">
        <v>48</v>
      </c>
      <c r="D37" s="11">
        <v>78500000</v>
      </c>
      <c r="E37" s="11"/>
      <c r="F37" s="11"/>
      <c r="G37" s="12">
        <f>+D37+E37-F37</f>
        <v>78500000</v>
      </c>
    </row>
    <row r="38" spans="2:7" x14ac:dyDescent="0.35">
      <c r="B38" s="10">
        <v>1499</v>
      </c>
      <c r="C38" s="10" t="s">
        <v>49</v>
      </c>
      <c r="D38" s="11">
        <v>0</v>
      </c>
      <c r="E38" s="11"/>
      <c r="F38" s="11">
        <f>+INVENTARIOS!D23</f>
        <v>11775000</v>
      </c>
      <c r="G38" s="12">
        <f>+D38+E38-F38</f>
        <v>-11775000</v>
      </c>
    </row>
    <row r="39" spans="2:7" x14ac:dyDescent="0.35">
      <c r="B39" s="13">
        <v>15</v>
      </c>
      <c r="C39" s="13" t="s">
        <v>50</v>
      </c>
      <c r="D39" s="14">
        <f>+D40+D43+D46+D49+D51+D55</f>
        <v>684000000</v>
      </c>
      <c r="E39" s="14">
        <f>+E40+E43+E46+E49+E51+E55</f>
        <v>130000000</v>
      </c>
      <c r="F39" s="14">
        <f>+F40+F43+F46+F49+F51+F55</f>
        <v>18000000</v>
      </c>
      <c r="G39" s="14">
        <f>+G40+G43+G46+G49+G51+G55</f>
        <v>796000000</v>
      </c>
    </row>
    <row r="40" spans="2:7" x14ac:dyDescent="0.35">
      <c r="B40" s="25">
        <v>1508</v>
      </c>
      <c r="C40" s="25" t="s">
        <v>51</v>
      </c>
      <c r="D40" s="26">
        <f>+D41+D42</f>
        <v>100000000</v>
      </c>
      <c r="E40" s="26">
        <f>+E41+E42</f>
        <v>80000000</v>
      </c>
      <c r="F40" s="26">
        <f>+F41+F42</f>
        <v>0</v>
      </c>
      <c r="G40" s="26">
        <f>+G41+G42</f>
        <v>180000000</v>
      </c>
    </row>
    <row r="41" spans="2:7" x14ac:dyDescent="0.35">
      <c r="B41" s="27">
        <v>150805</v>
      </c>
      <c r="C41" s="10" t="s">
        <v>52</v>
      </c>
      <c r="D41" s="11">
        <v>100000000</v>
      </c>
      <c r="E41" s="11"/>
      <c r="F41" s="11"/>
      <c r="G41" s="12">
        <f>+D41+E41-F41</f>
        <v>100000000</v>
      </c>
    </row>
    <row r="42" spans="2:7" x14ac:dyDescent="0.35">
      <c r="B42" s="266">
        <v>150810</v>
      </c>
      <c r="C42" s="267" t="s">
        <v>53</v>
      </c>
      <c r="D42" s="268">
        <v>0</v>
      </c>
      <c r="E42" s="268">
        <f>+PPYE!C5</f>
        <v>80000000</v>
      </c>
      <c r="F42" s="268"/>
      <c r="G42" s="269">
        <f>+D42+E42-F42</f>
        <v>80000000</v>
      </c>
    </row>
    <row r="43" spans="2:7" x14ac:dyDescent="0.35">
      <c r="B43" s="28">
        <v>1516</v>
      </c>
      <c r="C43" s="15" t="s">
        <v>54</v>
      </c>
      <c r="D43" s="16">
        <f>+D44+D45</f>
        <v>400000000</v>
      </c>
      <c r="E43" s="16">
        <f>+E44+E45</f>
        <v>50000000</v>
      </c>
      <c r="F43" s="16">
        <f>+F44+F45</f>
        <v>0</v>
      </c>
      <c r="G43" s="16">
        <f>+G44+G45</f>
        <v>450000000</v>
      </c>
    </row>
    <row r="44" spans="2:7" x14ac:dyDescent="0.35">
      <c r="B44" s="27">
        <v>151605</v>
      </c>
      <c r="C44" s="10" t="s">
        <v>55</v>
      </c>
      <c r="D44" s="11">
        <v>400000000</v>
      </c>
      <c r="E44" s="11"/>
      <c r="F44" s="11"/>
      <c r="G44" s="12">
        <f>+D44+E44-F44</f>
        <v>400000000</v>
      </c>
    </row>
    <row r="45" spans="2:7" x14ac:dyDescent="0.35">
      <c r="B45" s="266">
        <v>151610</v>
      </c>
      <c r="C45" s="267" t="s">
        <v>56</v>
      </c>
      <c r="D45" s="268">
        <v>0</v>
      </c>
      <c r="E45" s="268">
        <f>+PPYE!C8</f>
        <v>50000000</v>
      </c>
      <c r="F45" s="268"/>
      <c r="G45" s="269">
        <f>+D45+E45-F45</f>
        <v>50000000</v>
      </c>
    </row>
    <row r="46" spans="2:7" x14ac:dyDescent="0.35">
      <c r="B46" s="28">
        <v>1520</v>
      </c>
      <c r="C46" s="29" t="s">
        <v>57</v>
      </c>
      <c r="D46" s="16">
        <f>+D47+D48</f>
        <v>119000000</v>
      </c>
      <c r="E46" s="16">
        <f>+E47+E48</f>
        <v>0</v>
      </c>
      <c r="F46" s="16">
        <f>+F47+F48</f>
        <v>0</v>
      </c>
      <c r="G46" s="16">
        <f>+G47+G48</f>
        <v>119000000</v>
      </c>
    </row>
    <row r="47" spans="2:7" x14ac:dyDescent="0.35">
      <c r="B47" s="27">
        <v>152005</v>
      </c>
      <c r="C47" s="30" t="s">
        <v>58</v>
      </c>
      <c r="D47" s="11">
        <v>100000000</v>
      </c>
      <c r="E47" s="11"/>
      <c r="F47" s="11"/>
      <c r="G47" s="12">
        <f>+D47+E47-F47</f>
        <v>100000000</v>
      </c>
    </row>
    <row r="48" spans="2:7" x14ac:dyDescent="0.35">
      <c r="B48" s="27" t="s">
        <v>59</v>
      </c>
      <c r="C48" s="30" t="s">
        <v>60</v>
      </c>
      <c r="D48" s="11">
        <v>19000000</v>
      </c>
      <c r="E48" s="11"/>
      <c r="F48" s="11"/>
      <c r="G48" s="12">
        <f>+D48+E48-F48</f>
        <v>19000000</v>
      </c>
    </row>
    <row r="49" spans="2:10" x14ac:dyDescent="0.35">
      <c r="B49" s="15">
        <v>1540</v>
      </c>
      <c r="C49" s="15" t="s">
        <v>61</v>
      </c>
      <c r="D49" s="16">
        <f>+D50</f>
        <v>65000000</v>
      </c>
      <c r="E49" s="16">
        <f>+E50</f>
        <v>0</v>
      </c>
      <c r="F49" s="16">
        <f>+F50</f>
        <v>0</v>
      </c>
      <c r="G49" s="16">
        <f>+G50</f>
        <v>65000000</v>
      </c>
    </row>
    <row r="50" spans="2:10" x14ac:dyDescent="0.35">
      <c r="B50" s="10">
        <v>154005</v>
      </c>
      <c r="C50" s="10" t="s">
        <v>62</v>
      </c>
      <c r="D50" s="11">
        <v>65000000</v>
      </c>
      <c r="E50" s="11"/>
      <c r="F50" s="11"/>
      <c r="G50" s="12">
        <f>+D50+E50-F50</f>
        <v>65000000</v>
      </c>
      <c r="J50" s="308"/>
    </row>
    <row r="51" spans="2:10" s="18" customFormat="1" x14ac:dyDescent="0.35">
      <c r="B51" s="28">
        <v>1592</v>
      </c>
      <c r="C51" s="31" t="s">
        <v>63</v>
      </c>
      <c r="D51" s="16">
        <f>+D52+D53+D54</f>
        <v>0</v>
      </c>
      <c r="E51" s="16">
        <f>+E52+E53+E54</f>
        <v>0</v>
      </c>
      <c r="F51" s="16">
        <f>+F52+F53+F54</f>
        <v>11500000</v>
      </c>
      <c r="G51" s="16">
        <f>+G52+G53+G54</f>
        <v>-11500000</v>
      </c>
    </row>
    <row r="52" spans="2:10" s="18" customFormat="1" x14ac:dyDescent="0.35">
      <c r="B52" s="27">
        <v>159216</v>
      </c>
      <c r="C52" s="30" t="s">
        <v>54</v>
      </c>
      <c r="D52" s="11">
        <v>0</v>
      </c>
      <c r="E52" s="11"/>
      <c r="F52" s="11"/>
      <c r="G52" s="12">
        <f>+D52+E52-F52</f>
        <v>0</v>
      </c>
    </row>
    <row r="53" spans="2:10" s="18" customFormat="1" x14ac:dyDescent="0.35">
      <c r="B53" s="27">
        <v>159220</v>
      </c>
      <c r="C53" s="30" t="s">
        <v>64</v>
      </c>
      <c r="D53" s="11">
        <v>0</v>
      </c>
      <c r="E53" s="11"/>
      <c r="F53" s="11">
        <f>+PPYE!D26</f>
        <v>5000000</v>
      </c>
      <c r="G53" s="12">
        <f>+D53+E53-F53</f>
        <v>-5000000</v>
      </c>
    </row>
    <row r="54" spans="2:10" x14ac:dyDescent="0.35">
      <c r="B54" s="27">
        <v>159240</v>
      </c>
      <c r="C54" s="30" t="s">
        <v>65</v>
      </c>
      <c r="D54" s="11">
        <v>0</v>
      </c>
      <c r="E54" s="11"/>
      <c r="F54" s="11">
        <f>+PPYE!D27</f>
        <v>6500000</v>
      </c>
      <c r="G54" s="12">
        <f>+D54+E54-F54</f>
        <v>-6500000</v>
      </c>
    </row>
    <row r="55" spans="2:10" x14ac:dyDescent="0.35">
      <c r="B55" s="28">
        <v>1599</v>
      </c>
      <c r="C55" s="31" t="s">
        <v>66</v>
      </c>
      <c r="D55" s="16">
        <f>+D56+D57+D58</f>
        <v>0</v>
      </c>
      <c r="E55" s="16">
        <f>+E56+E57+E58</f>
        <v>0</v>
      </c>
      <c r="F55" s="16">
        <f>+F56+F57+F58</f>
        <v>6500000</v>
      </c>
      <c r="G55" s="16">
        <f>+G56+G57+G58</f>
        <v>-6500000</v>
      </c>
    </row>
    <row r="56" spans="2:10" x14ac:dyDescent="0.35">
      <c r="B56" s="27" t="s">
        <v>67</v>
      </c>
      <c r="C56" s="30" t="s">
        <v>54</v>
      </c>
      <c r="D56" s="11">
        <v>0</v>
      </c>
      <c r="E56" s="11"/>
      <c r="F56" s="11"/>
      <c r="G56" s="12">
        <f>+D56+E56-F56</f>
        <v>0</v>
      </c>
    </row>
    <row r="57" spans="2:10" x14ac:dyDescent="0.35">
      <c r="B57" s="27" t="s">
        <v>67</v>
      </c>
      <c r="C57" s="30" t="s">
        <v>64</v>
      </c>
      <c r="D57" s="11">
        <v>0</v>
      </c>
      <c r="E57" s="11"/>
      <c r="F57" s="11"/>
      <c r="G57" s="12">
        <f>+D57+E57-F57</f>
        <v>0</v>
      </c>
    </row>
    <row r="58" spans="2:10" x14ac:dyDescent="0.35">
      <c r="B58" s="27" t="s">
        <v>67</v>
      </c>
      <c r="C58" s="30" t="s">
        <v>65</v>
      </c>
      <c r="D58" s="11">
        <v>0</v>
      </c>
      <c r="E58" s="11"/>
      <c r="F58" s="11">
        <f>+PPYE!C30</f>
        <v>6500000</v>
      </c>
      <c r="G58" s="12">
        <f>+D58+E58-F58</f>
        <v>-6500000</v>
      </c>
    </row>
    <row r="59" spans="2:10" x14ac:dyDescent="0.35">
      <c r="B59" s="32">
        <v>16</v>
      </c>
      <c r="C59" s="33" t="s">
        <v>68</v>
      </c>
      <c r="D59" s="14">
        <f>+D60+D61</f>
        <v>50000000</v>
      </c>
      <c r="E59" s="14">
        <f>+E60+E61</f>
        <v>0</v>
      </c>
      <c r="F59" s="14">
        <f>+F60+F61</f>
        <v>0</v>
      </c>
      <c r="G59" s="14">
        <f>+G60+G61</f>
        <v>50000000</v>
      </c>
    </row>
    <row r="60" spans="2:10" x14ac:dyDescent="0.35">
      <c r="B60" s="27">
        <v>1625</v>
      </c>
      <c r="C60" s="34" t="s">
        <v>69</v>
      </c>
      <c r="D60" s="11">
        <v>50000000</v>
      </c>
      <c r="E60" s="11"/>
      <c r="F60" s="11"/>
      <c r="G60" s="12">
        <f>+D60+E60-F60</f>
        <v>50000000</v>
      </c>
    </row>
    <row r="61" spans="2:10" x14ac:dyDescent="0.35">
      <c r="B61" s="27">
        <v>1698</v>
      </c>
      <c r="C61" s="34" t="s">
        <v>70</v>
      </c>
      <c r="D61" s="11">
        <v>0</v>
      </c>
      <c r="E61" s="11"/>
      <c r="F61" s="11"/>
      <c r="G61" s="12">
        <f>+D61+E61-F61</f>
        <v>0</v>
      </c>
    </row>
    <row r="62" spans="2:10" x14ac:dyDescent="0.35">
      <c r="B62" s="319">
        <v>17</v>
      </c>
      <c r="C62" s="320" t="s">
        <v>71</v>
      </c>
      <c r="D62" s="321">
        <f>+D63</f>
        <v>3500000</v>
      </c>
      <c r="E62" s="321">
        <f>+'DETERMINACION IMP DIF'!D57</f>
        <v>4053250</v>
      </c>
      <c r="F62" s="321">
        <f>+F63</f>
        <v>0</v>
      </c>
      <c r="G62" s="321">
        <f>+G63</f>
        <v>3500000</v>
      </c>
    </row>
    <row r="63" spans="2:10" x14ac:dyDescent="0.35">
      <c r="B63" s="200">
        <v>1705</v>
      </c>
      <c r="C63" s="201" t="s">
        <v>72</v>
      </c>
      <c r="D63" s="202">
        <v>3500000</v>
      </c>
      <c r="E63" s="202"/>
      <c r="F63" s="202"/>
      <c r="G63" s="203">
        <f>+D63+E63-F63</f>
        <v>3500000</v>
      </c>
    </row>
    <row r="64" spans="2:10" x14ac:dyDescent="0.35">
      <c r="B64" s="13">
        <v>21</v>
      </c>
      <c r="C64" s="13" t="s">
        <v>73</v>
      </c>
      <c r="D64" s="14">
        <f>+D65+D67</f>
        <v>170000000</v>
      </c>
      <c r="E64" s="14">
        <f>+E65+E67</f>
        <v>0</v>
      </c>
      <c r="F64" s="14">
        <f>+F65+F67</f>
        <v>0</v>
      </c>
      <c r="G64" s="14">
        <f>+G65+G67</f>
        <v>170000000</v>
      </c>
    </row>
    <row r="65" spans="2:7" x14ac:dyDescent="0.35">
      <c r="B65" s="27">
        <v>2105</v>
      </c>
      <c r="C65" s="34" t="s">
        <v>74</v>
      </c>
      <c r="D65" s="11">
        <v>120000000</v>
      </c>
      <c r="E65" s="11"/>
      <c r="F65" s="11"/>
      <c r="G65" s="12">
        <f>+D65+E65-F65</f>
        <v>120000000</v>
      </c>
    </row>
    <row r="66" spans="2:7" x14ac:dyDescent="0.35">
      <c r="B66" s="27">
        <v>2110</v>
      </c>
      <c r="C66" s="34" t="s">
        <v>75</v>
      </c>
      <c r="D66" s="11">
        <v>0</v>
      </c>
      <c r="E66" s="11"/>
      <c r="F66" s="11"/>
      <c r="G66" s="12">
        <f>+D66+E66-F66</f>
        <v>0</v>
      </c>
    </row>
    <row r="67" spans="2:7" x14ac:dyDescent="0.35">
      <c r="B67" s="10">
        <v>2115</v>
      </c>
      <c r="C67" s="10" t="s">
        <v>76</v>
      </c>
      <c r="D67" s="11">
        <v>50000000</v>
      </c>
      <c r="E67" s="11"/>
      <c r="F67" s="11"/>
      <c r="G67" s="12">
        <f>+D67+E67-F67</f>
        <v>50000000</v>
      </c>
    </row>
    <row r="68" spans="2:7" x14ac:dyDescent="0.35">
      <c r="B68" s="13">
        <v>22</v>
      </c>
      <c r="C68" s="13" t="s">
        <v>77</v>
      </c>
      <c r="D68" s="14">
        <f>+D69</f>
        <v>120000000</v>
      </c>
      <c r="E68" s="14">
        <f>+E69</f>
        <v>0</v>
      </c>
      <c r="F68" s="14">
        <f>+F69</f>
        <v>0</v>
      </c>
      <c r="G68" s="14">
        <f>+G69</f>
        <v>120000000</v>
      </c>
    </row>
    <row r="69" spans="2:7" s="18" customFormat="1" x14ac:dyDescent="0.35">
      <c r="B69" s="10">
        <v>2205</v>
      </c>
      <c r="C69" s="10" t="s">
        <v>77</v>
      </c>
      <c r="D69" s="11">
        <f>+D70+D71</f>
        <v>120000000</v>
      </c>
      <c r="E69" s="11">
        <f>+E70+E71</f>
        <v>0</v>
      </c>
      <c r="F69" s="11"/>
      <c r="G69" s="12">
        <f>+D69-E69+F69</f>
        <v>120000000</v>
      </c>
    </row>
    <row r="70" spans="2:7" s="18" customFormat="1" x14ac:dyDescent="0.35">
      <c r="B70" s="17" t="s">
        <v>78</v>
      </c>
      <c r="C70" s="10" t="s">
        <v>32</v>
      </c>
      <c r="D70" s="11">
        <v>75000000</v>
      </c>
      <c r="E70" s="11"/>
      <c r="F70" s="11"/>
      <c r="G70" s="12">
        <f>+D70-E70+F70</f>
        <v>75000000</v>
      </c>
    </row>
    <row r="71" spans="2:7" s="18" customFormat="1" x14ac:dyDescent="0.35">
      <c r="B71" s="270" t="s">
        <v>78</v>
      </c>
      <c r="C71" s="267" t="s">
        <v>79</v>
      </c>
      <c r="D71" s="268">
        <v>45000000</v>
      </c>
      <c r="E71" s="268"/>
      <c r="F71" s="268">
        <f>+PASIVO!E32</f>
        <v>1050000</v>
      </c>
      <c r="G71" s="269">
        <f>+D71-E71+F71</f>
        <v>46050000</v>
      </c>
    </row>
    <row r="72" spans="2:7" s="18" customFormat="1" x14ac:dyDescent="0.35">
      <c r="B72" s="13">
        <v>23</v>
      </c>
      <c r="C72" s="13" t="s">
        <v>80</v>
      </c>
      <c r="D72" s="14">
        <f>+D73+D74+D75</f>
        <v>20000000</v>
      </c>
      <c r="E72" s="14">
        <f>+E73+E74+E75</f>
        <v>0</v>
      </c>
      <c r="F72" s="14">
        <f>+F73+F74+F75</f>
        <v>0</v>
      </c>
      <c r="G72" s="14">
        <f>+G73+G74+G75</f>
        <v>20000000</v>
      </c>
    </row>
    <row r="73" spans="2:7" s="18" customFormat="1" x14ac:dyDescent="0.35">
      <c r="B73" s="10">
        <v>2355</v>
      </c>
      <c r="C73" s="10" t="s">
        <v>81</v>
      </c>
      <c r="D73" s="11">
        <v>0</v>
      </c>
      <c r="E73" s="11"/>
      <c r="F73" s="11"/>
      <c r="G73" s="12">
        <f>+D73-E73+F73</f>
        <v>0</v>
      </c>
    </row>
    <row r="74" spans="2:7" s="18" customFormat="1" x14ac:dyDescent="0.35">
      <c r="B74" s="10">
        <v>2365</v>
      </c>
      <c r="C74" s="10" t="s">
        <v>82</v>
      </c>
      <c r="D74" s="11">
        <v>8000000</v>
      </c>
      <c r="E74" s="11"/>
      <c r="F74" s="11"/>
      <c r="G74" s="12">
        <f>+D74-E74+F74</f>
        <v>8000000</v>
      </c>
    </row>
    <row r="75" spans="2:7" s="18" customFormat="1" x14ac:dyDescent="0.35">
      <c r="B75" s="10">
        <v>2370</v>
      </c>
      <c r="C75" s="10" t="s">
        <v>83</v>
      </c>
      <c r="D75" s="11">
        <v>12000000</v>
      </c>
      <c r="E75" s="11"/>
      <c r="F75" s="11"/>
      <c r="G75" s="12">
        <f>+D75-E75+F75</f>
        <v>12000000</v>
      </c>
    </row>
    <row r="76" spans="2:7" s="18" customFormat="1" x14ac:dyDescent="0.35">
      <c r="B76" s="13">
        <v>24</v>
      </c>
      <c r="C76" s="13" t="s">
        <v>84</v>
      </c>
      <c r="D76" s="14">
        <f>+D77+D78+D79</f>
        <v>8500000</v>
      </c>
      <c r="E76" s="14">
        <f>+E77+E78+E79</f>
        <v>0</v>
      </c>
      <c r="F76" s="14">
        <f>+F77+F78+F79</f>
        <v>0</v>
      </c>
      <c r="G76" s="14">
        <f>+G77+G78+G79</f>
        <v>8500000</v>
      </c>
    </row>
    <row r="77" spans="2:7" s="18" customFormat="1" x14ac:dyDescent="0.35">
      <c r="B77" s="35">
        <v>2404</v>
      </c>
      <c r="C77" s="35" t="s">
        <v>85</v>
      </c>
      <c r="D77" s="36">
        <v>0</v>
      </c>
      <c r="E77" s="36"/>
      <c r="F77" s="36"/>
      <c r="G77" s="12">
        <f>+D77-E77+F77</f>
        <v>0</v>
      </c>
    </row>
    <row r="78" spans="2:7" s="18" customFormat="1" x14ac:dyDescent="0.35">
      <c r="B78" s="35">
        <v>2405</v>
      </c>
      <c r="C78" s="35" t="s">
        <v>86</v>
      </c>
      <c r="D78" s="36">
        <v>0</v>
      </c>
      <c r="E78" s="36"/>
      <c r="F78" s="36"/>
      <c r="G78" s="12">
        <f>+D78-E78+F78</f>
        <v>0</v>
      </c>
    </row>
    <row r="79" spans="2:7" x14ac:dyDescent="0.35">
      <c r="B79" s="35">
        <v>2408</v>
      </c>
      <c r="C79" s="35" t="s">
        <v>87</v>
      </c>
      <c r="D79" s="36">
        <v>8500000</v>
      </c>
      <c r="E79" s="36"/>
      <c r="F79" s="36"/>
      <c r="G79" s="12">
        <f>+D79-E79+F79</f>
        <v>8500000</v>
      </c>
    </row>
    <row r="80" spans="2:7" x14ac:dyDescent="0.35">
      <c r="B80" s="13">
        <v>25</v>
      </c>
      <c r="C80" s="13" t="s">
        <v>88</v>
      </c>
      <c r="D80" s="14">
        <f>+D81+D86+D87+D88</f>
        <v>15000000</v>
      </c>
      <c r="E80" s="14">
        <f>+E81+E86+E87+E88</f>
        <v>0</v>
      </c>
      <c r="F80" s="14">
        <f>+F81+F86+F87+F88</f>
        <v>0</v>
      </c>
      <c r="G80" s="14">
        <f>+G81+G86+G87+G88</f>
        <v>15000000</v>
      </c>
    </row>
    <row r="81" spans="2:7" x14ac:dyDescent="0.35">
      <c r="B81" s="37" t="s">
        <v>89</v>
      </c>
      <c r="C81" s="38" t="s">
        <v>90</v>
      </c>
      <c r="D81" s="26">
        <f>+D82+D83+D84+D85</f>
        <v>15000000</v>
      </c>
      <c r="E81" s="26">
        <f>+E82+E83+E84+E85</f>
        <v>0</v>
      </c>
      <c r="F81" s="26">
        <f>+F82+F83+F84+F85</f>
        <v>0</v>
      </c>
      <c r="G81" s="26">
        <f>+G82+G83+G84+G85</f>
        <v>15000000</v>
      </c>
    </row>
    <row r="82" spans="2:7" x14ac:dyDescent="0.35">
      <c r="B82" s="39" t="s">
        <v>91</v>
      </c>
      <c r="C82" s="40" t="s">
        <v>92</v>
      </c>
      <c r="D82" s="36">
        <v>12000000</v>
      </c>
      <c r="E82" s="36"/>
      <c r="F82" s="36"/>
      <c r="G82" s="12">
        <f t="shared" ref="G82:G88" si="1">+D82-E82+F82</f>
        <v>12000000</v>
      </c>
    </row>
    <row r="83" spans="2:7" x14ac:dyDescent="0.35">
      <c r="B83" s="39" t="s">
        <v>91</v>
      </c>
      <c r="C83" s="40" t="s">
        <v>93</v>
      </c>
      <c r="D83" s="36">
        <v>3000000</v>
      </c>
      <c r="E83" s="36"/>
      <c r="F83" s="36"/>
      <c r="G83" s="12">
        <f t="shared" si="1"/>
        <v>3000000</v>
      </c>
    </row>
    <row r="84" spans="2:7" x14ac:dyDescent="0.35">
      <c r="B84" s="39" t="s">
        <v>91</v>
      </c>
      <c r="C84" s="40" t="s">
        <v>94</v>
      </c>
      <c r="D84" s="36">
        <v>0</v>
      </c>
      <c r="E84" s="36"/>
      <c r="F84" s="36"/>
      <c r="G84" s="12">
        <f t="shared" si="1"/>
        <v>0</v>
      </c>
    </row>
    <row r="85" spans="2:7" x14ac:dyDescent="0.35">
      <c r="B85" s="39" t="s">
        <v>91</v>
      </c>
      <c r="C85" s="40" t="s">
        <v>95</v>
      </c>
      <c r="D85" s="36">
        <v>0</v>
      </c>
      <c r="E85" s="36"/>
      <c r="F85" s="36"/>
      <c r="G85" s="12">
        <f t="shared" si="1"/>
        <v>0</v>
      </c>
    </row>
    <row r="86" spans="2:7" x14ac:dyDescent="0.35">
      <c r="B86" s="37" t="s">
        <v>89</v>
      </c>
      <c r="C86" s="38" t="s">
        <v>96</v>
      </c>
      <c r="D86" s="26">
        <v>0</v>
      </c>
      <c r="E86" s="26">
        <v>0</v>
      </c>
      <c r="F86" s="26">
        <v>0</v>
      </c>
      <c r="G86" s="26">
        <f t="shared" si="1"/>
        <v>0</v>
      </c>
    </row>
    <row r="87" spans="2:7" x14ac:dyDescent="0.35">
      <c r="B87" s="37" t="s">
        <v>89</v>
      </c>
      <c r="C87" s="38" t="s">
        <v>97</v>
      </c>
      <c r="D87" s="26">
        <v>0</v>
      </c>
      <c r="E87" s="26">
        <v>0</v>
      </c>
      <c r="F87" s="26">
        <v>0</v>
      </c>
      <c r="G87" s="26">
        <f t="shared" si="1"/>
        <v>0</v>
      </c>
    </row>
    <row r="88" spans="2:7" x14ac:dyDescent="0.35">
      <c r="B88" s="37" t="s">
        <v>89</v>
      </c>
      <c r="C88" s="38" t="s">
        <v>98</v>
      </c>
      <c r="D88" s="26">
        <v>0</v>
      </c>
      <c r="E88" s="26">
        <v>0</v>
      </c>
      <c r="F88" s="26">
        <v>0</v>
      </c>
      <c r="G88" s="26">
        <f t="shared" si="1"/>
        <v>0</v>
      </c>
    </row>
    <row r="89" spans="2:7" x14ac:dyDescent="0.35">
      <c r="B89" s="13">
        <v>26</v>
      </c>
      <c r="C89" s="13" t="s">
        <v>99</v>
      </c>
      <c r="D89" s="14">
        <f>+D90</f>
        <v>0</v>
      </c>
      <c r="E89" s="14">
        <f>+E90</f>
        <v>0</v>
      </c>
      <c r="F89" s="14">
        <f>+F90</f>
        <v>0</v>
      </c>
      <c r="G89" s="14">
        <f>+G90</f>
        <v>0</v>
      </c>
    </row>
    <row r="90" spans="2:7" x14ac:dyDescent="0.35">
      <c r="B90" s="27">
        <v>2605</v>
      </c>
      <c r="C90" s="30" t="s">
        <v>100</v>
      </c>
      <c r="D90" s="11">
        <v>0</v>
      </c>
      <c r="E90" s="11"/>
      <c r="F90" s="11"/>
      <c r="G90" s="12">
        <f>+D90-E90+F90</f>
        <v>0</v>
      </c>
    </row>
    <row r="91" spans="2:7" x14ac:dyDescent="0.35">
      <c r="B91" s="13">
        <v>27</v>
      </c>
      <c r="C91" s="13" t="s">
        <v>101</v>
      </c>
      <c r="D91" s="14">
        <f>+D92</f>
        <v>6000000</v>
      </c>
      <c r="E91" s="14">
        <f>+E92</f>
        <v>0</v>
      </c>
      <c r="F91" s="14">
        <f>+F92</f>
        <v>13950000</v>
      </c>
      <c r="G91" s="14">
        <f>+G92</f>
        <v>19950000</v>
      </c>
    </row>
    <row r="92" spans="2:7" x14ac:dyDescent="0.35">
      <c r="B92" s="322">
        <v>2705</v>
      </c>
      <c r="C92" s="322" t="s">
        <v>72</v>
      </c>
      <c r="D92" s="323">
        <v>6000000</v>
      </c>
      <c r="E92" s="258"/>
      <c r="F92" s="258">
        <f>+'DETERMINACION IMP DIF'!E58</f>
        <v>13950000</v>
      </c>
      <c r="G92" s="259">
        <f>+D92-E92+F92</f>
        <v>19950000</v>
      </c>
    </row>
    <row r="93" spans="2:7" x14ac:dyDescent="0.35">
      <c r="B93" s="13">
        <v>28</v>
      </c>
      <c r="C93" s="13" t="s">
        <v>102</v>
      </c>
      <c r="D93" s="14">
        <v>0</v>
      </c>
      <c r="E93" s="14">
        <v>0</v>
      </c>
      <c r="F93" s="14">
        <v>0</v>
      </c>
      <c r="G93" s="14">
        <v>0</v>
      </c>
    </row>
    <row r="94" spans="2:7" x14ac:dyDescent="0.35">
      <c r="B94" s="25">
        <v>2805</v>
      </c>
      <c r="C94" s="25" t="s">
        <v>103</v>
      </c>
      <c r="D94" s="26">
        <v>0</v>
      </c>
      <c r="E94" s="26"/>
      <c r="F94" s="26"/>
      <c r="G94" s="12">
        <f>+D94-E94+F94</f>
        <v>0</v>
      </c>
    </row>
    <row r="95" spans="2:7" x14ac:dyDescent="0.35">
      <c r="B95" s="13">
        <v>31</v>
      </c>
      <c r="C95" s="13" t="s">
        <v>104</v>
      </c>
      <c r="D95" s="14">
        <f>SUM(D96:D100)</f>
        <v>682500000</v>
      </c>
      <c r="E95" s="14">
        <f>SUM(E96:E100)</f>
        <v>0</v>
      </c>
      <c r="F95" s="14">
        <f>SUM(F96:F100)</f>
        <v>130000000</v>
      </c>
      <c r="G95" s="14">
        <f>SUM(G96:G100)</f>
        <v>812500000</v>
      </c>
    </row>
    <row r="96" spans="2:7" x14ac:dyDescent="0.35">
      <c r="B96" s="10">
        <v>3105</v>
      </c>
      <c r="C96" s="10" t="s">
        <v>105</v>
      </c>
      <c r="D96" s="11">
        <v>450000000</v>
      </c>
      <c r="E96" s="11"/>
      <c r="F96" s="11"/>
      <c r="G96" s="12">
        <f>+D96-E96+F96</f>
        <v>450000000</v>
      </c>
    </row>
    <row r="97" spans="2:7" x14ac:dyDescent="0.35">
      <c r="B97" s="10">
        <v>33</v>
      </c>
      <c r="C97" s="10" t="s">
        <v>106</v>
      </c>
      <c r="D97" s="11">
        <v>150000000</v>
      </c>
      <c r="E97" s="11"/>
      <c r="F97" s="11"/>
      <c r="G97" s="12">
        <f>+D97-E97+F97</f>
        <v>150000000</v>
      </c>
    </row>
    <row r="98" spans="2:7" x14ac:dyDescent="0.35">
      <c r="B98" s="10">
        <v>36</v>
      </c>
      <c r="C98" s="10" t="s">
        <v>107</v>
      </c>
      <c r="D98" s="11"/>
      <c r="E98" s="11"/>
      <c r="F98" s="11"/>
      <c r="G98" s="12">
        <f>+D98-E98+F98</f>
        <v>0</v>
      </c>
    </row>
    <row r="99" spans="2:7" x14ac:dyDescent="0.35">
      <c r="B99" s="10">
        <v>37</v>
      </c>
      <c r="C99" s="10" t="s">
        <v>108</v>
      </c>
      <c r="D99" s="11">
        <v>82500000</v>
      </c>
      <c r="E99" s="11"/>
      <c r="F99" s="11"/>
      <c r="G99" s="12">
        <f>+D99-E99+F99</f>
        <v>82500000</v>
      </c>
    </row>
    <row r="100" spans="2:7" x14ac:dyDescent="0.35">
      <c r="B100" s="267">
        <v>3805</v>
      </c>
      <c r="C100" s="267" t="s">
        <v>109</v>
      </c>
      <c r="D100" s="268"/>
      <c r="E100" s="268"/>
      <c r="F100" s="268">
        <f>+PPYE!D38</f>
        <v>130000000</v>
      </c>
      <c r="G100" s="269">
        <f>+D100-E100+F100</f>
        <v>130000000</v>
      </c>
    </row>
    <row r="101" spans="2:7" x14ac:dyDescent="0.35">
      <c r="B101" s="13">
        <v>4</v>
      </c>
      <c r="C101" s="13" t="s">
        <v>110</v>
      </c>
      <c r="D101" s="14">
        <f>+D102+D103+D110+D112+D104</f>
        <v>725000000</v>
      </c>
      <c r="E101" s="14">
        <f>+E102+E103+E110+E112+E104</f>
        <v>0</v>
      </c>
      <c r="F101" s="14">
        <f>+F102+F103+F110+F112+F104</f>
        <v>3000000</v>
      </c>
      <c r="G101" s="14">
        <f>+G102+G103+G110+G112+G104</f>
        <v>728000000</v>
      </c>
    </row>
    <row r="102" spans="2:7" x14ac:dyDescent="0.35">
      <c r="B102" s="15">
        <v>4105</v>
      </c>
      <c r="C102" s="15" t="s">
        <v>111</v>
      </c>
      <c r="D102" s="16">
        <v>720000000</v>
      </c>
      <c r="E102" s="11"/>
      <c r="F102" s="11"/>
      <c r="G102" s="41">
        <f>+D102-E102+F102</f>
        <v>720000000</v>
      </c>
    </row>
    <row r="103" spans="2:7" x14ac:dyDescent="0.35">
      <c r="B103" s="28">
        <v>4220</v>
      </c>
      <c r="C103" s="29" t="s">
        <v>112</v>
      </c>
      <c r="D103" s="16">
        <v>5000000</v>
      </c>
      <c r="E103" s="11"/>
      <c r="F103" s="11"/>
      <c r="G103" s="41">
        <f>+D103-E103+F103</f>
        <v>5000000</v>
      </c>
    </row>
    <row r="104" spans="2:7" x14ac:dyDescent="0.35">
      <c r="B104" s="28">
        <v>4115</v>
      </c>
      <c r="C104" s="31" t="s">
        <v>113</v>
      </c>
      <c r="D104" s="16">
        <f>+D105+D106</f>
        <v>0</v>
      </c>
      <c r="E104" s="16">
        <f>+E105+E106</f>
        <v>0</v>
      </c>
      <c r="F104" s="16">
        <f>+F105+F106</f>
        <v>3000000</v>
      </c>
      <c r="G104" s="16">
        <f>+G105+G106</f>
        <v>3000000</v>
      </c>
    </row>
    <row r="105" spans="2:7" x14ac:dyDescent="0.35">
      <c r="B105" s="10">
        <v>411505</v>
      </c>
      <c r="C105" s="10" t="s">
        <v>114</v>
      </c>
      <c r="D105" s="11">
        <v>0</v>
      </c>
      <c r="E105" s="11"/>
      <c r="F105" s="11"/>
      <c r="G105" s="12">
        <f>+D105-E105+F105</f>
        <v>0</v>
      </c>
    </row>
    <row r="106" spans="2:7" x14ac:dyDescent="0.35">
      <c r="B106" s="15">
        <v>411510</v>
      </c>
      <c r="C106" s="15" t="s">
        <v>115</v>
      </c>
      <c r="D106" s="16">
        <f>+D107+D108+D109</f>
        <v>0</v>
      </c>
      <c r="E106" s="16">
        <f>+E107+E108+E109</f>
        <v>0</v>
      </c>
      <c r="F106" s="16">
        <f>+F107+F108+F109</f>
        <v>3000000</v>
      </c>
      <c r="G106" s="16">
        <f>+G107+G108+G109</f>
        <v>3000000</v>
      </c>
    </row>
    <row r="107" spans="2:7" x14ac:dyDescent="0.35">
      <c r="B107" s="27">
        <v>45151005</v>
      </c>
      <c r="C107" s="10" t="s">
        <v>116</v>
      </c>
      <c r="D107" s="11">
        <v>0</v>
      </c>
      <c r="E107" s="11"/>
      <c r="F107" s="11"/>
      <c r="G107" s="12">
        <f>+D107-E107+F107</f>
        <v>0</v>
      </c>
    </row>
    <row r="108" spans="2:7" x14ac:dyDescent="0.35">
      <c r="B108" s="27">
        <v>45151010</v>
      </c>
      <c r="C108" s="10" t="s">
        <v>117</v>
      </c>
      <c r="D108" s="11">
        <v>0</v>
      </c>
      <c r="E108" s="11"/>
      <c r="F108" s="11">
        <f>+E21</f>
        <v>0</v>
      </c>
      <c r="G108" s="12">
        <f>+D108-E108+F108</f>
        <v>0</v>
      </c>
    </row>
    <row r="109" spans="2:7" x14ac:dyDescent="0.35">
      <c r="B109" s="266">
        <v>45151015</v>
      </c>
      <c r="C109" s="267" t="s">
        <v>118</v>
      </c>
      <c r="D109" s="268">
        <v>0</v>
      </c>
      <c r="E109" s="268"/>
      <c r="F109" s="268">
        <f>+E14</f>
        <v>3000000</v>
      </c>
      <c r="G109" s="269">
        <f>+D109-E109+F109</f>
        <v>3000000</v>
      </c>
    </row>
    <row r="110" spans="2:7" x14ac:dyDescent="0.35">
      <c r="B110" s="15">
        <v>4545</v>
      </c>
      <c r="C110" s="15" t="s">
        <v>119</v>
      </c>
      <c r="D110" s="16">
        <f>+D111</f>
        <v>0</v>
      </c>
      <c r="E110" s="16">
        <f>+E111</f>
        <v>0</v>
      </c>
      <c r="F110" s="16">
        <f>+F111</f>
        <v>0</v>
      </c>
      <c r="G110" s="16">
        <f>+G111</f>
        <v>0</v>
      </c>
    </row>
    <row r="111" spans="2:7" x14ac:dyDescent="0.35">
      <c r="B111" s="10">
        <v>454505</v>
      </c>
      <c r="C111" s="10" t="s">
        <v>119</v>
      </c>
      <c r="D111" s="11">
        <v>0</v>
      </c>
      <c r="E111" s="11"/>
      <c r="F111" s="11"/>
      <c r="G111" s="12">
        <f>+D111-E111+F111</f>
        <v>0</v>
      </c>
    </row>
    <row r="112" spans="2:7" x14ac:dyDescent="0.35">
      <c r="B112" s="15">
        <v>4565</v>
      </c>
      <c r="C112" s="15" t="s">
        <v>102</v>
      </c>
      <c r="D112" s="16">
        <f>+D113</f>
        <v>0</v>
      </c>
      <c r="E112" s="16">
        <f>+E113</f>
        <v>0</v>
      </c>
      <c r="F112" s="16">
        <f>+F113</f>
        <v>0</v>
      </c>
      <c r="G112" s="16">
        <f>+G113</f>
        <v>0</v>
      </c>
    </row>
    <row r="113" spans="2:10" x14ac:dyDescent="0.35">
      <c r="B113" s="10">
        <v>456505</v>
      </c>
      <c r="C113" s="10" t="s">
        <v>120</v>
      </c>
      <c r="D113" s="11">
        <v>0</v>
      </c>
      <c r="E113" s="11"/>
      <c r="F113" s="11"/>
      <c r="G113" s="12">
        <f>+D113-E113+F113</f>
        <v>0</v>
      </c>
    </row>
    <row r="114" spans="2:10" x14ac:dyDescent="0.35">
      <c r="B114" s="13">
        <v>5</v>
      </c>
      <c r="C114" s="13" t="s">
        <v>121</v>
      </c>
      <c r="D114" s="14">
        <f>+D115+D156+D162</f>
        <v>171399000</v>
      </c>
      <c r="E114" s="14">
        <f>+E115+E156+E162</f>
        <v>15896750</v>
      </c>
      <c r="F114" s="14">
        <f>+F115+F156+F162</f>
        <v>0</v>
      </c>
      <c r="G114" s="14">
        <f>+G115+G156+G162</f>
        <v>187295750</v>
      </c>
    </row>
    <row r="115" spans="2:10" x14ac:dyDescent="0.35">
      <c r="B115" s="13">
        <v>51</v>
      </c>
      <c r="C115" s="13" t="s">
        <v>122</v>
      </c>
      <c r="D115" s="14">
        <f>+D116+D121+D125+D129+D133+D137+D141+D145+D149+D150+D151+D152</f>
        <v>167249000</v>
      </c>
      <c r="E115" s="14">
        <f>+E116+E121+E125+E129+E133+E137+E141+E145+E149+E150+E151+E152</f>
        <v>6000000</v>
      </c>
      <c r="F115" s="14">
        <f>+F116+F121+F125+F129+F133+F137+F141+F145+F149+F150+F151+F152</f>
        <v>0</v>
      </c>
      <c r="G115" s="14">
        <f>+G116+G121+G125+G129+G133+G137+G141+G145+G149+G150+G151+G152</f>
        <v>173249000</v>
      </c>
    </row>
    <row r="116" spans="2:10" x14ac:dyDescent="0.35">
      <c r="B116" s="15">
        <v>5105</v>
      </c>
      <c r="C116" s="15" t="s">
        <v>123</v>
      </c>
      <c r="D116" s="16">
        <f>+D117+D118+D119+D120</f>
        <v>113180000</v>
      </c>
      <c r="E116" s="16">
        <f>+E117+E118+E119+E120</f>
        <v>0</v>
      </c>
      <c r="F116" s="16">
        <f>+F117+F118+F119+F120</f>
        <v>0</v>
      </c>
      <c r="G116" s="16">
        <f>+G117+G118+G119+G120</f>
        <v>113180000</v>
      </c>
    </row>
    <row r="117" spans="2:10" x14ac:dyDescent="0.35">
      <c r="B117" s="17" t="s">
        <v>124</v>
      </c>
      <c r="C117" s="10" t="s">
        <v>125</v>
      </c>
      <c r="D117" s="11">
        <v>78500000</v>
      </c>
      <c r="E117" s="11"/>
      <c r="F117" s="11"/>
      <c r="G117" s="12">
        <f t="shared" ref="G117:G124" si="2">+D117+E117-F117</f>
        <v>78500000</v>
      </c>
      <c r="J117" s="308"/>
    </row>
    <row r="118" spans="2:10" x14ac:dyDescent="0.35">
      <c r="B118" s="17" t="s">
        <v>124</v>
      </c>
      <c r="C118" s="10" t="s">
        <v>126</v>
      </c>
      <c r="D118" s="11">
        <v>15600000</v>
      </c>
      <c r="E118" s="11"/>
      <c r="F118" s="11"/>
      <c r="G118" s="12">
        <f t="shared" si="2"/>
        <v>15600000</v>
      </c>
    </row>
    <row r="119" spans="2:10" x14ac:dyDescent="0.35">
      <c r="B119" s="17" t="s">
        <v>124</v>
      </c>
      <c r="C119" s="10" t="s">
        <v>127</v>
      </c>
      <c r="D119" s="11">
        <v>12580000</v>
      </c>
      <c r="E119" s="11"/>
      <c r="F119" s="11"/>
      <c r="G119" s="12">
        <f t="shared" si="2"/>
        <v>12580000</v>
      </c>
    </row>
    <row r="120" spans="2:10" x14ac:dyDescent="0.35">
      <c r="B120" s="17" t="s">
        <v>124</v>
      </c>
      <c r="C120" s="10" t="s">
        <v>128</v>
      </c>
      <c r="D120" s="11">
        <v>6500000</v>
      </c>
      <c r="E120" s="11"/>
      <c r="F120" s="11"/>
      <c r="G120" s="12">
        <f t="shared" si="2"/>
        <v>6500000</v>
      </c>
    </row>
    <row r="121" spans="2:10" x14ac:dyDescent="0.35">
      <c r="B121" s="211">
        <v>5110</v>
      </c>
      <c r="C121" s="211" t="s">
        <v>129</v>
      </c>
      <c r="D121" s="212">
        <f>+D122+D123+D124</f>
        <v>9600000</v>
      </c>
      <c r="E121" s="212">
        <f>+E122+E123+E124</f>
        <v>0</v>
      </c>
      <c r="F121" s="212">
        <f>+F122+F123+F124</f>
        <v>0</v>
      </c>
      <c r="G121" s="212">
        <f>+G122+G123+G124</f>
        <v>9600000</v>
      </c>
    </row>
    <row r="122" spans="2:10" x14ac:dyDescent="0.35">
      <c r="B122" s="213" t="s">
        <v>130</v>
      </c>
      <c r="C122" s="214" t="s">
        <v>129</v>
      </c>
      <c r="D122" s="215">
        <v>7200000</v>
      </c>
      <c r="E122" s="215"/>
      <c r="F122" s="215"/>
      <c r="G122" s="216">
        <f t="shared" si="2"/>
        <v>7200000</v>
      </c>
    </row>
    <row r="123" spans="2:10" s="42" customFormat="1" x14ac:dyDescent="0.35">
      <c r="B123" s="217" t="s">
        <v>130</v>
      </c>
      <c r="C123" s="218" t="s">
        <v>131</v>
      </c>
      <c r="D123" s="219">
        <v>800000</v>
      </c>
      <c r="E123" s="219"/>
      <c r="F123" s="219"/>
      <c r="G123" s="220">
        <f t="shared" si="2"/>
        <v>800000</v>
      </c>
    </row>
    <row r="124" spans="2:10" s="24" customFormat="1" x14ac:dyDescent="0.35">
      <c r="B124" s="221" t="s">
        <v>130</v>
      </c>
      <c r="C124" s="222" t="s">
        <v>132</v>
      </c>
      <c r="D124" s="223">
        <v>1600000</v>
      </c>
      <c r="E124" s="223"/>
      <c r="F124" s="223"/>
      <c r="G124" s="224">
        <f t="shared" si="2"/>
        <v>1600000</v>
      </c>
    </row>
    <row r="125" spans="2:10" x14ac:dyDescent="0.35">
      <c r="B125" s="15">
        <v>5115</v>
      </c>
      <c r="C125" s="15" t="s">
        <v>133</v>
      </c>
      <c r="D125" s="16">
        <f>+D126+D127+D128</f>
        <v>2450000</v>
      </c>
      <c r="E125" s="16">
        <f>+E126+E127+E128</f>
        <v>0</v>
      </c>
      <c r="F125" s="16">
        <f>+F126+F127+F128</f>
        <v>0</v>
      </c>
      <c r="G125" s="16">
        <f>+G126+G127+G128</f>
        <v>2450000</v>
      </c>
    </row>
    <row r="126" spans="2:10" x14ac:dyDescent="0.35">
      <c r="B126" s="17" t="s">
        <v>134</v>
      </c>
      <c r="C126" s="10" t="s">
        <v>135</v>
      </c>
      <c r="D126" s="11">
        <v>2450000</v>
      </c>
      <c r="E126" s="11"/>
      <c r="F126" s="11"/>
      <c r="G126" s="12">
        <f t="shared" ref="G126:G151" si="3">+D126+E126-F126</f>
        <v>2450000</v>
      </c>
    </row>
    <row r="127" spans="2:10" s="42" customFormat="1" x14ac:dyDescent="0.35">
      <c r="B127" s="43" t="s">
        <v>134</v>
      </c>
      <c r="C127" s="44" t="s">
        <v>131</v>
      </c>
      <c r="D127" s="45">
        <v>0</v>
      </c>
      <c r="E127" s="45"/>
      <c r="F127" s="45"/>
      <c r="G127" s="46">
        <f t="shared" si="3"/>
        <v>0</v>
      </c>
    </row>
    <row r="128" spans="2:10" s="24" customFormat="1" x14ac:dyDescent="0.35">
      <c r="B128" s="20" t="s">
        <v>134</v>
      </c>
      <c r="C128" s="21" t="s">
        <v>132</v>
      </c>
      <c r="D128" s="22">
        <v>0</v>
      </c>
      <c r="E128" s="22"/>
      <c r="F128" s="22"/>
      <c r="G128" s="23">
        <f t="shared" si="3"/>
        <v>0</v>
      </c>
    </row>
    <row r="129" spans="2:7" x14ac:dyDescent="0.35">
      <c r="B129" s="225">
        <v>5120</v>
      </c>
      <c r="C129" s="211" t="s">
        <v>112</v>
      </c>
      <c r="D129" s="212">
        <f>SUM(D130:D132)</f>
        <v>8500000</v>
      </c>
      <c r="E129" s="212">
        <f>SUM(E130:E132)</f>
        <v>0</v>
      </c>
      <c r="F129" s="212">
        <f>SUM(F130:F132)</f>
        <v>0</v>
      </c>
      <c r="G129" s="212">
        <f>SUM(G130:G132)</f>
        <v>8500000</v>
      </c>
    </row>
    <row r="130" spans="2:7" x14ac:dyDescent="0.35">
      <c r="B130" s="213" t="s">
        <v>136</v>
      </c>
      <c r="C130" s="214" t="s">
        <v>137</v>
      </c>
      <c r="D130" s="215">
        <v>6450000</v>
      </c>
      <c r="E130" s="215"/>
      <c r="F130" s="215"/>
      <c r="G130" s="216">
        <f t="shared" si="3"/>
        <v>6450000</v>
      </c>
    </row>
    <row r="131" spans="2:7" s="42" customFormat="1" x14ac:dyDescent="0.35">
      <c r="B131" s="217" t="s">
        <v>136</v>
      </c>
      <c r="C131" s="218" t="s">
        <v>131</v>
      </c>
      <c r="D131" s="219">
        <v>0</v>
      </c>
      <c r="E131" s="219"/>
      <c r="F131" s="219"/>
      <c r="G131" s="220">
        <f t="shared" si="3"/>
        <v>0</v>
      </c>
    </row>
    <row r="132" spans="2:7" s="24" customFormat="1" x14ac:dyDescent="0.35">
      <c r="B132" s="221" t="s">
        <v>136</v>
      </c>
      <c r="C132" s="222" t="s">
        <v>132</v>
      </c>
      <c r="D132" s="223">
        <v>2050000</v>
      </c>
      <c r="E132" s="223"/>
      <c r="F132" s="223"/>
      <c r="G132" s="224">
        <f t="shared" si="3"/>
        <v>2050000</v>
      </c>
    </row>
    <row r="133" spans="2:7" x14ac:dyDescent="0.35">
      <c r="B133" s="28">
        <v>5130</v>
      </c>
      <c r="C133" s="31" t="s">
        <v>138</v>
      </c>
      <c r="D133" s="16">
        <f>SUM(D134:D136)</f>
        <v>1000000</v>
      </c>
      <c r="E133" s="16">
        <f>SUM(E134:E136)</f>
        <v>0</v>
      </c>
      <c r="F133" s="16">
        <f>SUM(F134:F136)</f>
        <v>0</v>
      </c>
      <c r="G133" s="16">
        <f>SUM(G134:G136)</f>
        <v>1000000</v>
      </c>
    </row>
    <row r="134" spans="2:7" x14ac:dyDescent="0.35">
      <c r="B134" s="17" t="s">
        <v>139</v>
      </c>
      <c r="C134" s="10" t="s">
        <v>138</v>
      </c>
      <c r="D134" s="11">
        <v>1000000</v>
      </c>
      <c r="E134" s="11"/>
      <c r="F134" s="11"/>
      <c r="G134" s="12">
        <f t="shared" si="3"/>
        <v>1000000</v>
      </c>
    </row>
    <row r="135" spans="2:7" s="42" customFormat="1" x14ac:dyDescent="0.35">
      <c r="B135" s="43" t="s">
        <v>139</v>
      </c>
      <c r="C135" s="44" t="s">
        <v>131</v>
      </c>
      <c r="D135" s="45"/>
      <c r="E135" s="45"/>
      <c r="F135" s="45"/>
      <c r="G135" s="46">
        <f t="shared" si="3"/>
        <v>0</v>
      </c>
    </row>
    <row r="136" spans="2:7" s="24" customFormat="1" x14ac:dyDescent="0.35">
      <c r="B136" s="20" t="s">
        <v>139</v>
      </c>
      <c r="C136" s="21" t="s">
        <v>132</v>
      </c>
      <c r="D136" s="22"/>
      <c r="E136" s="22"/>
      <c r="F136" s="22"/>
      <c r="G136" s="23">
        <f t="shared" si="3"/>
        <v>0</v>
      </c>
    </row>
    <row r="137" spans="2:7" x14ac:dyDescent="0.35">
      <c r="B137" s="28">
        <v>5135</v>
      </c>
      <c r="C137" s="31" t="s">
        <v>140</v>
      </c>
      <c r="D137" s="16">
        <f>SUM(D138:D140)</f>
        <v>18000000</v>
      </c>
      <c r="E137" s="16">
        <f>SUM(E138:E140)</f>
        <v>0</v>
      </c>
      <c r="F137" s="16">
        <f>SUM(F138:F140)</f>
        <v>0</v>
      </c>
      <c r="G137" s="16">
        <f>SUM(G138:G140)</f>
        <v>18000000</v>
      </c>
    </row>
    <row r="138" spans="2:7" x14ac:dyDescent="0.35">
      <c r="B138" s="17" t="s">
        <v>141</v>
      </c>
      <c r="C138" s="10" t="s">
        <v>140</v>
      </c>
      <c r="D138" s="11">
        <v>15500000</v>
      </c>
      <c r="E138" s="11"/>
      <c r="F138" s="11"/>
      <c r="G138" s="12">
        <f t="shared" si="3"/>
        <v>15500000</v>
      </c>
    </row>
    <row r="139" spans="2:7" s="42" customFormat="1" x14ac:dyDescent="0.35">
      <c r="B139" s="43" t="s">
        <v>141</v>
      </c>
      <c r="C139" s="44" t="s">
        <v>131</v>
      </c>
      <c r="D139" s="45">
        <v>1800000</v>
      </c>
      <c r="E139" s="45"/>
      <c r="F139" s="45"/>
      <c r="G139" s="46">
        <f t="shared" si="3"/>
        <v>1800000</v>
      </c>
    </row>
    <row r="140" spans="2:7" s="24" customFormat="1" x14ac:dyDescent="0.35">
      <c r="B140" s="20" t="s">
        <v>141</v>
      </c>
      <c r="C140" s="21" t="s">
        <v>132</v>
      </c>
      <c r="D140" s="22">
        <v>700000</v>
      </c>
      <c r="E140" s="22"/>
      <c r="F140" s="22"/>
      <c r="G140" s="23">
        <f t="shared" si="3"/>
        <v>700000</v>
      </c>
    </row>
    <row r="141" spans="2:7" x14ac:dyDescent="0.35">
      <c r="B141" s="28">
        <v>5145</v>
      </c>
      <c r="C141" s="31" t="s">
        <v>142</v>
      </c>
      <c r="D141" s="16">
        <f>SUM(D142:D144)</f>
        <v>4600000</v>
      </c>
      <c r="E141" s="16">
        <f>SUM(E142:E144)</f>
        <v>0</v>
      </c>
      <c r="F141" s="16">
        <f>SUM(F142:F144)</f>
        <v>0</v>
      </c>
      <c r="G141" s="16">
        <f>SUM(G142:G144)</f>
        <v>4600000</v>
      </c>
    </row>
    <row r="142" spans="2:7" x14ac:dyDescent="0.35">
      <c r="B142" s="17" t="s">
        <v>143</v>
      </c>
      <c r="C142" s="10" t="s">
        <v>142</v>
      </c>
      <c r="D142" s="11">
        <v>3220000</v>
      </c>
      <c r="E142" s="11"/>
      <c r="F142" s="11"/>
      <c r="G142" s="12">
        <f t="shared" si="3"/>
        <v>3220000</v>
      </c>
    </row>
    <row r="143" spans="2:7" s="42" customFormat="1" x14ac:dyDescent="0.35">
      <c r="B143" s="43" t="s">
        <v>143</v>
      </c>
      <c r="C143" s="44" t="s">
        <v>131</v>
      </c>
      <c r="D143" s="45">
        <v>0</v>
      </c>
      <c r="E143" s="45"/>
      <c r="F143" s="45"/>
      <c r="G143" s="46">
        <f t="shared" si="3"/>
        <v>0</v>
      </c>
    </row>
    <row r="144" spans="2:7" s="24" customFormat="1" x14ac:dyDescent="0.35">
      <c r="B144" s="20" t="s">
        <v>143</v>
      </c>
      <c r="C144" s="21" t="s">
        <v>132</v>
      </c>
      <c r="D144" s="22">
        <v>1380000</v>
      </c>
      <c r="E144" s="22"/>
      <c r="F144" s="22"/>
      <c r="G144" s="23">
        <f t="shared" si="3"/>
        <v>1380000</v>
      </c>
    </row>
    <row r="145" spans="2:7" x14ac:dyDescent="0.35">
      <c r="B145" s="28">
        <v>5155</v>
      </c>
      <c r="C145" s="31" t="s">
        <v>144</v>
      </c>
      <c r="D145" s="16">
        <v>0</v>
      </c>
      <c r="E145" s="16">
        <v>0</v>
      </c>
      <c r="F145" s="16">
        <v>0</v>
      </c>
      <c r="G145" s="16">
        <v>0</v>
      </c>
    </row>
    <row r="146" spans="2:7" x14ac:dyDescent="0.35">
      <c r="B146" s="17" t="s">
        <v>145</v>
      </c>
      <c r="C146" s="10" t="s">
        <v>144</v>
      </c>
      <c r="D146" s="11">
        <v>0</v>
      </c>
      <c r="E146" s="11"/>
      <c r="F146" s="11"/>
      <c r="G146" s="12">
        <f t="shared" si="3"/>
        <v>0</v>
      </c>
    </row>
    <row r="147" spans="2:7" s="42" customFormat="1" x14ac:dyDescent="0.35">
      <c r="B147" s="43" t="s">
        <v>145</v>
      </c>
      <c r="C147" s="44" t="s">
        <v>131</v>
      </c>
      <c r="D147" s="45">
        <v>0</v>
      </c>
      <c r="E147" s="45"/>
      <c r="F147" s="45"/>
      <c r="G147" s="46">
        <f t="shared" si="3"/>
        <v>0</v>
      </c>
    </row>
    <row r="148" spans="2:7" s="24" customFormat="1" x14ac:dyDescent="0.35">
      <c r="B148" s="20" t="s">
        <v>145</v>
      </c>
      <c r="C148" s="21" t="s">
        <v>132</v>
      </c>
      <c r="D148" s="22">
        <v>0</v>
      </c>
      <c r="E148" s="22"/>
      <c r="F148" s="22"/>
      <c r="G148" s="23">
        <f t="shared" si="3"/>
        <v>0</v>
      </c>
    </row>
    <row r="149" spans="2:7" x14ac:dyDescent="0.35">
      <c r="B149" s="28">
        <v>5160</v>
      </c>
      <c r="C149" s="31" t="s">
        <v>146</v>
      </c>
      <c r="D149" s="16">
        <v>0</v>
      </c>
      <c r="E149" s="16"/>
      <c r="F149" s="16"/>
      <c r="G149" s="41">
        <f t="shared" si="3"/>
        <v>0</v>
      </c>
    </row>
    <row r="150" spans="2:7" x14ac:dyDescent="0.35">
      <c r="B150" s="28">
        <v>5165</v>
      </c>
      <c r="C150" s="31" t="s">
        <v>147</v>
      </c>
      <c r="D150" s="16">
        <v>0</v>
      </c>
      <c r="E150" s="16"/>
      <c r="F150" s="16">
        <v>0</v>
      </c>
      <c r="G150" s="41">
        <f t="shared" si="3"/>
        <v>0</v>
      </c>
    </row>
    <row r="151" spans="2:7" x14ac:dyDescent="0.35">
      <c r="B151" s="120">
        <v>5170</v>
      </c>
      <c r="C151" s="121" t="s">
        <v>28</v>
      </c>
      <c r="D151" s="122">
        <v>0</v>
      </c>
      <c r="E151" s="122">
        <f>+F35</f>
        <v>6000000</v>
      </c>
      <c r="F151" s="122">
        <f>+E35</f>
        <v>0</v>
      </c>
      <c r="G151" s="123">
        <f t="shared" si="3"/>
        <v>6000000</v>
      </c>
    </row>
    <row r="152" spans="2:7" x14ac:dyDescent="0.35">
      <c r="B152" s="28">
        <v>5195</v>
      </c>
      <c r="C152" s="31" t="s">
        <v>148</v>
      </c>
      <c r="D152" s="16">
        <f>SUM(D153:D155)</f>
        <v>9919000</v>
      </c>
      <c r="E152" s="16">
        <f>SUM(E153:E155)</f>
        <v>0</v>
      </c>
      <c r="F152" s="16">
        <f>SUM(F153:F155)</f>
        <v>0</v>
      </c>
      <c r="G152" s="16">
        <f>SUM(G153:G155)</f>
        <v>9919000</v>
      </c>
    </row>
    <row r="153" spans="2:7" x14ac:dyDescent="0.35">
      <c r="B153" s="17" t="s">
        <v>149</v>
      </c>
      <c r="C153" s="10" t="s">
        <v>148</v>
      </c>
      <c r="D153" s="11">
        <v>7580000</v>
      </c>
      <c r="E153" s="11"/>
      <c r="F153" s="11"/>
      <c r="G153" s="12">
        <f>+D153+E153-F153</f>
        <v>7580000</v>
      </c>
    </row>
    <row r="154" spans="2:7" s="42" customFormat="1" x14ac:dyDescent="0.35">
      <c r="B154" s="43" t="s">
        <v>149</v>
      </c>
      <c r="C154" s="44" t="s">
        <v>131</v>
      </c>
      <c r="D154" s="45">
        <v>1859000</v>
      </c>
      <c r="E154" s="47"/>
      <c r="F154" s="47"/>
      <c r="G154" s="46">
        <f>+D154+E154-F154</f>
        <v>1859000</v>
      </c>
    </row>
    <row r="155" spans="2:7" s="24" customFormat="1" x14ac:dyDescent="0.35">
      <c r="B155" s="20" t="s">
        <v>149</v>
      </c>
      <c r="C155" s="21" t="s">
        <v>132</v>
      </c>
      <c r="D155" s="22">
        <v>480000</v>
      </c>
      <c r="E155" s="48"/>
      <c r="F155" s="48"/>
      <c r="G155" s="23">
        <f>+D155+E155-F155</f>
        <v>480000</v>
      </c>
    </row>
    <row r="156" spans="2:7" x14ac:dyDescent="0.35">
      <c r="B156" s="32">
        <v>53</v>
      </c>
      <c r="C156" s="33" t="s">
        <v>150</v>
      </c>
      <c r="D156" s="14">
        <f>SUM(D157:D161)</f>
        <v>4150000</v>
      </c>
      <c r="E156" s="14">
        <f>SUM(E157:E161)</f>
        <v>0</v>
      </c>
      <c r="F156" s="14">
        <f>SUM(F157:F161)</f>
        <v>0</v>
      </c>
      <c r="G156" s="14">
        <f>SUM(G157:G161)</f>
        <v>4150000</v>
      </c>
    </row>
    <row r="157" spans="2:7" x14ac:dyDescent="0.35">
      <c r="B157" s="49">
        <v>5305</v>
      </c>
      <c r="C157" s="50" t="s">
        <v>151</v>
      </c>
      <c r="D157" s="51">
        <v>2300000</v>
      </c>
      <c r="E157" s="52"/>
      <c r="F157" s="52"/>
      <c r="G157" s="53">
        <f t="shared" ref="G157:G169" si="4">+D157+E157-F157</f>
        <v>2300000</v>
      </c>
    </row>
    <row r="158" spans="2:7" x14ac:dyDescent="0.35">
      <c r="B158" s="27">
        <v>5310</v>
      </c>
      <c r="C158" s="34" t="s">
        <v>152</v>
      </c>
      <c r="D158" s="11">
        <v>1850000</v>
      </c>
      <c r="E158" s="54"/>
      <c r="F158" s="54"/>
      <c r="G158" s="12">
        <f t="shared" si="4"/>
        <v>1850000</v>
      </c>
    </row>
    <row r="159" spans="2:7" x14ac:dyDescent="0.35">
      <c r="B159" s="10">
        <v>5315</v>
      </c>
      <c r="C159" s="10" t="str">
        <f>VLOOKUP(B159,'[1]5.1 Taxonomía'!$A$2:$B$541,2,0)</f>
        <v>Gastos por valor razonable</v>
      </c>
      <c r="D159" s="11">
        <v>0</v>
      </c>
      <c r="E159" s="54"/>
      <c r="F159" s="54"/>
      <c r="G159" s="12">
        <f t="shared" si="4"/>
        <v>0</v>
      </c>
    </row>
    <row r="160" spans="2:7" ht="21" x14ac:dyDescent="0.35">
      <c r="B160" s="309">
        <v>5350</v>
      </c>
      <c r="C160" s="309" t="s">
        <v>153</v>
      </c>
      <c r="D160" s="310">
        <v>0</v>
      </c>
      <c r="E160" s="311"/>
      <c r="F160" s="311"/>
      <c r="G160" s="311">
        <f t="shared" si="4"/>
        <v>0</v>
      </c>
    </row>
    <row r="161" spans="2:7" x14ac:dyDescent="0.35">
      <c r="B161" s="27">
        <v>5390</v>
      </c>
      <c r="C161" s="34" t="s">
        <v>154</v>
      </c>
      <c r="D161" s="11">
        <v>0</v>
      </c>
      <c r="E161" s="54"/>
      <c r="F161" s="54"/>
      <c r="G161" s="12">
        <f t="shared" si="4"/>
        <v>0</v>
      </c>
    </row>
    <row r="162" spans="2:7" x14ac:dyDescent="0.35">
      <c r="B162" s="13">
        <v>54</v>
      </c>
      <c r="C162" s="13" t="s">
        <v>155</v>
      </c>
      <c r="D162" s="14">
        <f>+D163+D164</f>
        <v>0</v>
      </c>
      <c r="E162" s="14">
        <f>+E163+E164</f>
        <v>9896750</v>
      </c>
      <c r="F162" s="14">
        <f>+F163+F164</f>
        <v>0</v>
      </c>
      <c r="G162" s="14">
        <f>+G163+G164</f>
        <v>9896750</v>
      </c>
    </row>
    <row r="163" spans="2:7" x14ac:dyDescent="0.35">
      <c r="B163" s="10">
        <v>5405</v>
      </c>
      <c r="C163" s="10" t="s">
        <v>155</v>
      </c>
      <c r="D163" s="11">
        <v>0</v>
      </c>
      <c r="E163" s="54"/>
      <c r="F163" s="54"/>
      <c r="G163" s="12">
        <f t="shared" si="4"/>
        <v>0</v>
      </c>
    </row>
    <row r="164" spans="2:7" x14ac:dyDescent="0.35">
      <c r="B164" s="10">
        <v>5410</v>
      </c>
      <c r="C164" s="10" t="s">
        <v>72</v>
      </c>
      <c r="D164" s="11">
        <v>0</v>
      </c>
      <c r="E164" s="54">
        <f>+'DETERMINACION IMP DIF'!D59</f>
        <v>9896750</v>
      </c>
      <c r="F164" s="54"/>
      <c r="G164" s="12">
        <f t="shared" si="4"/>
        <v>9896750</v>
      </c>
    </row>
    <row r="165" spans="2:7" x14ac:dyDescent="0.35">
      <c r="B165" s="32">
        <v>61</v>
      </c>
      <c r="C165" s="33" t="s">
        <v>156</v>
      </c>
      <c r="D165" s="14">
        <f>SUM(D166:D168)-D169</f>
        <v>501001000</v>
      </c>
      <c r="E165" s="14">
        <f>SUM(E166:E169)</f>
        <v>11775000</v>
      </c>
      <c r="F165" s="14">
        <f>SUM(F166:F169)</f>
        <v>0</v>
      </c>
      <c r="G165" s="14">
        <f>SUM(G166:G169)</f>
        <v>512776000</v>
      </c>
    </row>
    <row r="166" spans="2:7" x14ac:dyDescent="0.35">
      <c r="B166" s="27">
        <v>613501</v>
      </c>
      <c r="C166" s="34" t="s">
        <v>111</v>
      </c>
      <c r="D166" s="11">
        <v>450500000</v>
      </c>
      <c r="E166" s="54"/>
      <c r="F166" s="54"/>
      <c r="G166" s="12">
        <f t="shared" si="4"/>
        <v>450500000</v>
      </c>
    </row>
    <row r="167" spans="2:7" s="42" customFormat="1" x14ac:dyDescent="0.35">
      <c r="B167" s="55" t="s">
        <v>157</v>
      </c>
      <c r="C167" s="44" t="s">
        <v>131</v>
      </c>
      <c r="D167" s="45">
        <v>14701000</v>
      </c>
      <c r="E167" s="56"/>
      <c r="F167" s="56"/>
      <c r="G167" s="46">
        <f t="shared" si="4"/>
        <v>14701000</v>
      </c>
    </row>
    <row r="168" spans="2:7" s="24" customFormat="1" x14ac:dyDescent="0.35">
      <c r="B168" s="57" t="s">
        <v>157</v>
      </c>
      <c r="C168" s="21" t="s">
        <v>132</v>
      </c>
      <c r="D168" s="22">
        <v>35800000</v>
      </c>
      <c r="E168" s="58"/>
      <c r="F168" s="58"/>
      <c r="G168" s="23">
        <f t="shared" si="4"/>
        <v>35800000</v>
      </c>
    </row>
    <row r="169" spans="2:7" x14ac:dyDescent="0.35">
      <c r="B169" s="27">
        <v>613599</v>
      </c>
      <c r="C169" s="34" t="s">
        <v>158</v>
      </c>
      <c r="D169" s="11">
        <v>0</v>
      </c>
      <c r="E169" s="54">
        <f>+F38</f>
        <v>11775000</v>
      </c>
      <c r="F169" s="54"/>
      <c r="G169" s="12">
        <f t="shared" si="4"/>
        <v>11775000</v>
      </c>
    </row>
  </sheetData>
  <mergeCells count="2">
    <mergeCell ref="C2:G2"/>
    <mergeCell ref="D4:G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M35"/>
  <sheetViews>
    <sheetView topLeftCell="A13" zoomScale="154" zoomScaleNormal="154" workbookViewId="0">
      <selection activeCell="J35" sqref="J35"/>
    </sheetView>
  </sheetViews>
  <sheetFormatPr baseColWidth="10" defaultRowHeight="15" x14ac:dyDescent="0.25"/>
  <cols>
    <col min="8" max="8" width="15.5703125" bestFit="1" customWidth="1"/>
    <col min="11" max="11" width="16.5703125" bestFit="1" customWidth="1"/>
    <col min="12" max="12" width="15.42578125" bestFit="1" customWidth="1"/>
  </cols>
  <sheetData>
    <row r="3" spans="4:13" x14ac:dyDescent="0.25">
      <c r="D3" t="s">
        <v>282</v>
      </c>
    </row>
    <row r="5" spans="4:13" x14ac:dyDescent="0.25">
      <c r="D5" t="s">
        <v>283</v>
      </c>
    </row>
    <row r="6" spans="4:13" x14ac:dyDescent="0.25">
      <c r="D6" t="s">
        <v>284</v>
      </c>
      <c r="F6" t="s">
        <v>285</v>
      </c>
    </row>
    <row r="7" spans="4:13" x14ac:dyDescent="0.25">
      <c r="D7" t="s">
        <v>286</v>
      </c>
      <c r="E7" t="s">
        <v>287</v>
      </c>
    </row>
    <row r="8" spans="4:13" x14ac:dyDescent="0.25">
      <c r="F8" t="s">
        <v>288</v>
      </c>
      <c r="I8" s="324" t="s">
        <v>292</v>
      </c>
      <c r="J8" s="325"/>
      <c r="K8" s="325"/>
      <c r="L8" s="325"/>
      <c r="M8" s="326"/>
    </row>
    <row r="9" spans="4:13" x14ac:dyDescent="0.25">
      <c r="F9" t="s">
        <v>289</v>
      </c>
      <c r="I9" s="327"/>
      <c r="J9" s="328"/>
      <c r="K9" s="328"/>
      <c r="L9" s="328"/>
      <c r="M9" s="329"/>
    </row>
    <row r="10" spans="4:13" x14ac:dyDescent="0.25">
      <c r="F10" t="s">
        <v>290</v>
      </c>
      <c r="I10" s="330"/>
      <c r="J10" s="331"/>
      <c r="K10" s="331"/>
      <c r="L10" s="331"/>
      <c r="M10" s="332"/>
    </row>
    <row r="11" spans="4:13" ht="15.75" x14ac:dyDescent="0.25">
      <c r="F11" s="314"/>
    </row>
    <row r="12" spans="4:13" x14ac:dyDescent="0.25">
      <c r="D12" t="s">
        <v>291</v>
      </c>
      <c r="F12" t="s">
        <v>293</v>
      </c>
      <c r="H12" t="s">
        <v>294</v>
      </c>
    </row>
    <row r="13" spans="4:13" x14ac:dyDescent="0.25">
      <c r="H13" s="333">
        <f>100*47000</f>
        <v>4700000</v>
      </c>
    </row>
    <row r="15" spans="4:13" x14ac:dyDescent="0.25">
      <c r="H15" t="s">
        <v>295</v>
      </c>
    </row>
    <row r="16" spans="4:13" x14ac:dyDescent="0.25">
      <c r="H16" s="333">
        <v>2000000</v>
      </c>
      <c r="I16" s="333"/>
      <c r="J16" s="333"/>
      <c r="K16" s="333">
        <v>3000000</v>
      </c>
      <c r="L16" s="333"/>
      <c r="M16" s="333"/>
    </row>
    <row r="19" spans="4:10" x14ac:dyDescent="0.25">
      <c r="D19" t="s">
        <v>296</v>
      </c>
    </row>
    <row r="20" spans="4:10" x14ac:dyDescent="0.25">
      <c r="D20" t="s">
        <v>297</v>
      </c>
      <c r="F20" s="334">
        <v>0.01</v>
      </c>
    </row>
    <row r="21" spans="4:10" ht="15.75" x14ac:dyDescent="0.25">
      <c r="D21" s="314" t="s">
        <v>298</v>
      </c>
      <c r="F21" t="s">
        <v>299</v>
      </c>
      <c r="J21" t="s">
        <v>300</v>
      </c>
    </row>
    <row r="22" spans="4:10" x14ac:dyDescent="0.25">
      <c r="F22" t="s">
        <v>301</v>
      </c>
    </row>
    <row r="23" spans="4:10" x14ac:dyDescent="0.25">
      <c r="D23" t="s">
        <v>302</v>
      </c>
    </row>
    <row r="24" spans="4:10" x14ac:dyDescent="0.25">
      <c r="H24" t="s">
        <v>303</v>
      </c>
    </row>
    <row r="25" spans="4:10" x14ac:dyDescent="0.25">
      <c r="H25" t="s">
        <v>304</v>
      </c>
    </row>
    <row r="26" spans="4:10" x14ac:dyDescent="0.25">
      <c r="H26" t="s">
        <v>305</v>
      </c>
    </row>
    <row r="27" spans="4:10" ht="15.75" x14ac:dyDescent="0.25">
      <c r="H27" s="314"/>
    </row>
    <row r="28" spans="4:10" x14ac:dyDescent="0.25">
      <c r="D28" t="s">
        <v>306</v>
      </c>
      <c r="E28" t="s">
        <v>307</v>
      </c>
      <c r="G28" t="s">
        <v>308</v>
      </c>
    </row>
    <row r="30" spans="4:10" x14ac:dyDescent="0.25">
      <c r="D30" t="s">
        <v>309</v>
      </c>
      <c r="H30" t="s">
        <v>312</v>
      </c>
    </row>
    <row r="31" spans="4:10" x14ac:dyDescent="0.25">
      <c r="G31" t="s">
        <v>310</v>
      </c>
      <c r="J31" t="s">
        <v>313</v>
      </c>
    </row>
    <row r="32" spans="4:10" x14ac:dyDescent="0.25">
      <c r="G32" t="s">
        <v>311</v>
      </c>
      <c r="J32" t="s">
        <v>314</v>
      </c>
    </row>
    <row r="33" spans="10:10" x14ac:dyDescent="0.25">
      <c r="J33" t="s">
        <v>315</v>
      </c>
    </row>
    <row r="34" spans="10:10" x14ac:dyDescent="0.25">
      <c r="J34" t="s">
        <v>316</v>
      </c>
    </row>
    <row r="35" spans="10:10" ht="15.75" x14ac:dyDescent="0.25">
      <c r="J35" s="314"/>
    </row>
  </sheetData>
  <mergeCells count="1">
    <mergeCell ref="I8:M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G191"/>
  <sheetViews>
    <sheetView topLeftCell="A37" zoomScale="118" zoomScaleNormal="118" workbookViewId="0">
      <selection activeCell="B54" sqref="B54:E54"/>
    </sheetView>
  </sheetViews>
  <sheetFormatPr baseColWidth="10" defaultRowHeight="15" x14ac:dyDescent="0.25"/>
  <cols>
    <col min="2" max="2" width="34.7109375" customWidth="1"/>
    <col min="3" max="3" width="66" customWidth="1"/>
    <col min="4" max="5" width="38.85546875" customWidth="1"/>
  </cols>
  <sheetData>
    <row r="3" spans="2:5" ht="26.25" x14ac:dyDescent="0.4">
      <c r="B3" s="59" t="s">
        <v>160</v>
      </c>
      <c r="C3" s="59" t="s">
        <v>161</v>
      </c>
      <c r="D3" s="61" t="s">
        <v>162</v>
      </c>
      <c r="E3" s="61" t="s">
        <v>163</v>
      </c>
    </row>
    <row r="4" spans="2:5" ht="26.25" x14ac:dyDescent="0.4">
      <c r="B4" s="59" t="s">
        <v>160</v>
      </c>
      <c r="C4" s="59" t="s">
        <v>164</v>
      </c>
      <c r="D4" s="62" t="s">
        <v>165</v>
      </c>
      <c r="E4" s="62" t="s">
        <v>166</v>
      </c>
    </row>
    <row r="5" spans="2:5" ht="26.25" x14ac:dyDescent="0.4">
      <c r="B5" s="60" t="s">
        <v>167</v>
      </c>
      <c r="C5" s="60" t="s">
        <v>161</v>
      </c>
      <c r="D5" s="62" t="s">
        <v>165</v>
      </c>
      <c r="E5" s="62" t="s">
        <v>166</v>
      </c>
    </row>
    <row r="6" spans="2:5" ht="26.25" x14ac:dyDescent="0.4">
      <c r="B6" s="60" t="s">
        <v>167</v>
      </c>
      <c r="C6" s="60" t="s">
        <v>164</v>
      </c>
      <c r="D6" s="61" t="s">
        <v>162</v>
      </c>
      <c r="E6" s="61" t="s">
        <v>163</v>
      </c>
    </row>
    <row r="12" spans="2:5" ht="23.25" x14ac:dyDescent="0.35">
      <c r="B12" s="13">
        <v>12</v>
      </c>
      <c r="C12" s="13" t="s">
        <v>12</v>
      </c>
      <c r="D12" s="14">
        <f>+D13+D20+D23</f>
        <v>74000000</v>
      </c>
    </row>
    <row r="13" spans="2:5" ht="46.5" x14ac:dyDescent="0.35">
      <c r="B13" s="158">
        <v>1205</v>
      </c>
      <c r="C13" s="159" t="s">
        <v>13</v>
      </c>
      <c r="D13" s="160">
        <f>+D14+D15</f>
        <v>53000000</v>
      </c>
    </row>
    <row r="14" spans="2:5" ht="23.25" x14ac:dyDescent="0.35">
      <c r="B14" s="65" t="s">
        <v>14</v>
      </c>
      <c r="C14" s="63" t="s">
        <v>15</v>
      </c>
      <c r="D14" s="64">
        <v>50000000</v>
      </c>
      <c r="E14" s="166" t="s">
        <v>169</v>
      </c>
    </row>
    <row r="15" spans="2:5" ht="23.25" x14ac:dyDescent="0.35">
      <c r="B15" s="65" t="s">
        <v>16</v>
      </c>
      <c r="C15" s="63" t="s">
        <v>17</v>
      </c>
      <c r="D15" s="64">
        <f>+D38</f>
        <v>3000000</v>
      </c>
    </row>
    <row r="16" spans="2:5" ht="23.25" x14ac:dyDescent="0.35">
      <c r="B16" s="15">
        <v>1210</v>
      </c>
      <c r="C16" s="15" t="s">
        <v>18</v>
      </c>
      <c r="D16" s="16">
        <f>+D17+D18+D19</f>
        <v>0</v>
      </c>
    </row>
    <row r="17" spans="2:5" ht="23.25" x14ac:dyDescent="0.35">
      <c r="B17" s="17" t="s">
        <v>19</v>
      </c>
      <c r="C17" s="10" t="s">
        <v>15</v>
      </c>
      <c r="D17" s="11">
        <v>0</v>
      </c>
    </row>
    <row r="18" spans="2:5" ht="23.25" x14ac:dyDescent="0.35">
      <c r="B18" s="17" t="s">
        <v>20</v>
      </c>
      <c r="C18" s="10" t="s">
        <v>17</v>
      </c>
      <c r="D18" s="11">
        <v>0</v>
      </c>
    </row>
    <row r="19" spans="2:5" ht="23.25" x14ac:dyDescent="0.35">
      <c r="B19" s="17" t="s">
        <v>20</v>
      </c>
      <c r="C19" s="10" t="s">
        <v>21</v>
      </c>
      <c r="D19" s="11">
        <v>0</v>
      </c>
    </row>
    <row r="20" spans="2:5" ht="23.25" x14ac:dyDescent="0.35">
      <c r="B20" s="158">
        <v>1250</v>
      </c>
      <c r="C20" s="158" t="s">
        <v>22</v>
      </c>
      <c r="D20" s="160">
        <f>+D21+D22</f>
        <v>21000000</v>
      </c>
    </row>
    <row r="21" spans="2:5" ht="23.25" x14ac:dyDescent="0.35">
      <c r="B21" s="17" t="s">
        <v>23</v>
      </c>
      <c r="C21" s="10" t="s">
        <v>15</v>
      </c>
      <c r="D21" s="11">
        <v>20000000</v>
      </c>
      <c r="E21" s="66" t="s">
        <v>169</v>
      </c>
    </row>
    <row r="22" spans="2:5" ht="23.25" x14ac:dyDescent="0.35">
      <c r="B22" s="17" t="s">
        <v>24</v>
      </c>
      <c r="C22" s="10" t="s">
        <v>25</v>
      </c>
      <c r="D22" s="11">
        <f>+D35</f>
        <v>1000000</v>
      </c>
    </row>
    <row r="23" spans="2:5" ht="23.25" x14ac:dyDescent="0.35">
      <c r="B23" s="19">
        <v>1299</v>
      </c>
      <c r="C23" s="15" t="s">
        <v>26</v>
      </c>
      <c r="D23" s="16">
        <f>+D24</f>
        <v>0</v>
      </c>
    </row>
    <row r="24" spans="2:5" ht="23.25" x14ac:dyDescent="0.35">
      <c r="B24" s="17" t="s">
        <v>27</v>
      </c>
      <c r="C24" s="10" t="s">
        <v>28</v>
      </c>
      <c r="D24" s="11"/>
    </row>
    <row r="27" spans="2:5" ht="21" x14ac:dyDescent="0.35">
      <c r="C27" s="67"/>
      <c r="D27" s="145"/>
    </row>
    <row r="28" spans="2:5" ht="23.25" x14ac:dyDescent="0.35">
      <c r="C28" s="67"/>
      <c r="D28" s="161">
        <v>1000</v>
      </c>
      <c r="E28" t="s">
        <v>168</v>
      </c>
    </row>
    <row r="29" spans="2:5" ht="23.25" x14ac:dyDescent="0.35">
      <c r="C29" s="67"/>
      <c r="D29" s="162">
        <f>+D14/D28</f>
        <v>50000</v>
      </c>
    </row>
    <row r="30" spans="2:5" ht="23.25" x14ac:dyDescent="0.35">
      <c r="C30" s="70">
        <v>45657</v>
      </c>
      <c r="D30" s="163">
        <v>53000</v>
      </c>
    </row>
    <row r="31" spans="2:5" ht="23.25" x14ac:dyDescent="0.35">
      <c r="C31" s="67"/>
      <c r="D31" s="165">
        <f>+D30*D28</f>
        <v>53000000</v>
      </c>
    </row>
    <row r="32" spans="2:5" ht="21" x14ac:dyDescent="0.35">
      <c r="C32" s="67"/>
      <c r="D32" s="67"/>
    </row>
    <row r="33" spans="2:7" ht="21" x14ac:dyDescent="0.35">
      <c r="C33" s="67"/>
      <c r="D33" s="67"/>
    </row>
    <row r="34" spans="2:7" ht="21" x14ac:dyDescent="0.35">
      <c r="C34" s="178" t="s">
        <v>281</v>
      </c>
      <c r="D34" s="178"/>
      <c r="E34" s="226">
        <v>1000000</v>
      </c>
    </row>
    <row r="35" spans="2:7" ht="21" x14ac:dyDescent="0.35">
      <c r="C35" s="125" t="str">
        <f>+C22</f>
        <v>Diferencia por medición al costo amortizado</v>
      </c>
      <c r="D35" s="154">
        <f>+E34</f>
        <v>1000000</v>
      </c>
      <c r="E35" s="125"/>
    </row>
    <row r="37" spans="2:7" ht="21" x14ac:dyDescent="0.35">
      <c r="C37" s="312" t="s">
        <v>173</v>
      </c>
      <c r="D37" s="312"/>
      <c r="E37" s="313">
        <f>+D31-D14</f>
        <v>3000000</v>
      </c>
      <c r="F37" s="67"/>
      <c r="G37" s="67"/>
    </row>
    <row r="38" spans="2:7" ht="21" x14ac:dyDescent="0.35">
      <c r="C38" s="125" t="str">
        <f>+C15</f>
        <v>Diferencia por mediciones al valor razonable</v>
      </c>
      <c r="D38" s="154">
        <f>+E37</f>
        <v>3000000</v>
      </c>
      <c r="E38" s="125"/>
      <c r="F38" s="67"/>
      <c r="G38" s="67"/>
    </row>
    <row r="39" spans="2:7" ht="21" x14ac:dyDescent="0.35">
      <c r="C39" s="67"/>
      <c r="D39" s="67"/>
      <c r="E39" s="67"/>
      <c r="F39" s="67"/>
      <c r="G39" s="67"/>
    </row>
    <row r="40" spans="2:7" ht="21" x14ac:dyDescent="0.35">
      <c r="C40" s="67"/>
      <c r="D40" s="67"/>
      <c r="E40" s="67"/>
      <c r="F40" s="67"/>
      <c r="G40" s="67"/>
    </row>
    <row r="41" spans="2:7" ht="21" x14ac:dyDescent="0.35">
      <c r="C41" s="67" t="s">
        <v>170</v>
      </c>
      <c r="D41" s="68">
        <f>+D12</f>
        <v>74000000</v>
      </c>
      <c r="E41" s="67"/>
      <c r="F41" s="67"/>
      <c r="G41" s="67"/>
    </row>
    <row r="42" spans="2:7" ht="21" x14ac:dyDescent="0.35">
      <c r="C42" s="73" t="s">
        <v>171</v>
      </c>
      <c r="D42" s="74">
        <f>+D12-D15</f>
        <v>71000000</v>
      </c>
      <c r="E42" s="67"/>
      <c r="F42" s="67"/>
      <c r="G42" s="67"/>
    </row>
    <row r="43" spans="2:7" ht="21" x14ac:dyDescent="0.35">
      <c r="C43" s="71" t="s">
        <v>172</v>
      </c>
      <c r="D43" s="72">
        <f>+D41-D42</f>
        <v>3000000</v>
      </c>
      <c r="E43" s="67"/>
      <c r="F43" s="67"/>
      <c r="G43" s="67"/>
    </row>
    <row r="44" spans="2:7" ht="21" x14ac:dyDescent="0.35">
      <c r="C44" s="67"/>
      <c r="D44" s="80">
        <f>+D43*E45</f>
        <v>450000</v>
      </c>
      <c r="E44" s="67" t="s">
        <v>246</v>
      </c>
      <c r="F44" s="67"/>
      <c r="G44" s="67"/>
    </row>
    <row r="45" spans="2:7" ht="21" x14ac:dyDescent="0.35">
      <c r="C45" s="67"/>
      <c r="D45" s="78">
        <v>0.35</v>
      </c>
      <c r="E45" s="78">
        <v>0.15</v>
      </c>
      <c r="F45" s="67"/>
      <c r="G45" s="67"/>
    </row>
    <row r="46" spans="2:7" ht="21" x14ac:dyDescent="0.35">
      <c r="C46" s="67"/>
      <c r="D46" s="67"/>
      <c r="E46" s="67"/>
      <c r="F46" s="67"/>
      <c r="G46" s="67"/>
    </row>
    <row r="47" spans="2:7" ht="26.25" x14ac:dyDescent="0.4">
      <c r="B47" s="75" t="s">
        <v>160</v>
      </c>
      <c r="C47" s="75" t="s">
        <v>161</v>
      </c>
      <c r="D47" s="167" t="s">
        <v>162</v>
      </c>
      <c r="E47" s="167" t="s">
        <v>163</v>
      </c>
      <c r="F47" s="67"/>
    </row>
    <row r="48" spans="2:7" ht="26.25" x14ac:dyDescent="0.4">
      <c r="B48" s="75" t="s">
        <v>160</v>
      </c>
      <c r="C48" s="75" t="s">
        <v>164</v>
      </c>
      <c r="D48" s="168" t="s">
        <v>165</v>
      </c>
      <c r="E48" s="168" t="s">
        <v>166</v>
      </c>
      <c r="F48" s="67"/>
    </row>
    <row r="49" spans="2:7" ht="26.25" x14ac:dyDescent="0.4">
      <c r="B49" s="62" t="s">
        <v>167</v>
      </c>
      <c r="C49" s="62" t="s">
        <v>161</v>
      </c>
      <c r="D49" s="62" t="s">
        <v>165</v>
      </c>
      <c r="E49" s="62" t="s">
        <v>166</v>
      </c>
      <c r="F49" s="67"/>
    </row>
    <row r="50" spans="2:7" ht="26.25" x14ac:dyDescent="0.4">
      <c r="B50" s="62" t="s">
        <v>167</v>
      </c>
      <c r="C50" s="62" t="s">
        <v>164</v>
      </c>
      <c r="D50" s="62" t="s">
        <v>162</v>
      </c>
      <c r="E50" s="62" t="s">
        <v>163</v>
      </c>
      <c r="F50" s="67"/>
    </row>
    <row r="51" spans="2:7" ht="21" x14ac:dyDescent="0.35">
      <c r="C51" s="67"/>
      <c r="D51" s="67"/>
      <c r="E51" s="67"/>
      <c r="F51" s="67"/>
      <c r="G51" s="67"/>
    </row>
    <row r="52" spans="2:7" ht="21" x14ac:dyDescent="0.35">
      <c r="C52" s="67"/>
      <c r="D52" s="67"/>
      <c r="E52" s="67"/>
      <c r="F52" s="67"/>
      <c r="G52" s="67"/>
    </row>
    <row r="53" spans="2:7" ht="21" x14ac:dyDescent="0.35">
      <c r="B53" s="113">
        <v>5410</v>
      </c>
      <c r="C53" s="76" t="s">
        <v>174</v>
      </c>
      <c r="D53" s="115">
        <f>+D44</f>
        <v>450000</v>
      </c>
      <c r="E53" s="76"/>
      <c r="F53" s="67"/>
      <c r="G53" s="67"/>
    </row>
    <row r="54" spans="2:7" ht="21" x14ac:dyDescent="0.35">
      <c r="B54" s="252">
        <v>27</v>
      </c>
      <c r="C54" s="253" t="s">
        <v>246</v>
      </c>
      <c r="D54" s="253"/>
      <c r="E54" s="254">
        <f>+D44</f>
        <v>450000</v>
      </c>
      <c r="F54" s="67"/>
      <c r="G54" s="67"/>
    </row>
    <row r="55" spans="2:7" ht="21" x14ac:dyDescent="0.35">
      <c r="C55" s="67"/>
      <c r="D55" s="67"/>
      <c r="E55" s="67"/>
      <c r="F55" s="67"/>
      <c r="G55" s="67"/>
    </row>
    <row r="56" spans="2:7" ht="21" x14ac:dyDescent="0.35">
      <c r="B56" s="82"/>
      <c r="C56" s="67"/>
      <c r="D56" s="67"/>
      <c r="E56" s="67"/>
      <c r="F56" s="67"/>
      <c r="G56" s="67"/>
    </row>
    <row r="57" spans="2:7" ht="21" x14ac:dyDescent="0.35">
      <c r="B57" s="82"/>
      <c r="C57" s="67"/>
      <c r="D57" s="67"/>
      <c r="E57" s="67"/>
      <c r="F57" s="67"/>
      <c r="G57" s="67"/>
    </row>
    <row r="58" spans="2:7" ht="21" x14ac:dyDescent="0.35">
      <c r="B58" s="82"/>
      <c r="C58" s="67"/>
      <c r="D58" s="67"/>
      <c r="E58" s="67"/>
      <c r="F58" s="67"/>
      <c r="G58" s="67"/>
    </row>
    <row r="59" spans="2:7" ht="21" x14ac:dyDescent="0.35">
      <c r="C59" s="67"/>
      <c r="D59" s="67"/>
      <c r="E59" s="67"/>
      <c r="F59" s="67"/>
      <c r="G59" s="67"/>
    </row>
    <row r="60" spans="2:7" ht="21" x14ac:dyDescent="0.35">
      <c r="C60" s="67"/>
      <c r="D60" s="67"/>
      <c r="E60" s="67"/>
      <c r="F60" s="67"/>
      <c r="G60" s="67"/>
    </row>
    <row r="61" spans="2:7" ht="21" x14ac:dyDescent="0.35">
      <c r="C61" s="67"/>
      <c r="D61" s="67"/>
      <c r="E61" s="67"/>
      <c r="F61" s="67"/>
      <c r="G61" s="67"/>
    </row>
    <row r="62" spans="2:7" ht="21" x14ac:dyDescent="0.35">
      <c r="C62" s="67"/>
      <c r="D62" s="67"/>
      <c r="E62" s="67"/>
      <c r="F62" s="67"/>
      <c r="G62" s="67"/>
    </row>
    <row r="63" spans="2:7" ht="21" x14ac:dyDescent="0.35">
      <c r="C63" s="67"/>
      <c r="D63" s="67"/>
      <c r="E63" s="67"/>
      <c r="F63" s="67"/>
      <c r="G63" s="67"/>
    </row>
    <row r="64" spans="2:7" ht="21" x14ac:dyDescent="0.35">
      <c r="C64" s="67"/>
      <c r="D64" s="67"/>
      <c r="E64" s="67"/>
      <c r="F64" s="67"/>
      <c r="G64" s="67"/>
    </row>
    <row r="65" spans="3:7" ht="21" x14ac:dyDescent="0.35">
      <c r="C65" s="67"/>
      <c r="D65" s="67"/>
      <c r="E65" s="67"/>
      <c r="F65" s="67"/>
      <c r="G65" s="67"/>
    </row>
    <row r="66" spans="3:7" ht="21" x14ac:dyDescent="0.35">
      <c r="C66" s="67"/>
      <c r="D66" s="67"/>
      <c r="E66" s="67"/>
      <c r="F66" s="67"/>
      <c r="G66" s="67"/>
    </row>
    <row r="67" spans="3:7" ht="21" x14ac:dyDescent="0.35">
      <c r="C67" s="67"/>
      <c r="D67" s="67"/>
      <c r="E67" s="67"/>
      <c r="F67" s="67"/>
      <c r="G67" s="67"/>
    </row>
    <row r="68" spans="3:7" ht="21" x14ac:dyDescent="0.35">
      <c r="C68" s="67"/>
      <c r="D68" s="67"/>
      <c r="E68" s="67"/>
      <c r="F68" s="67"/>
      <c r="G68" s="67"/>
    </row>
    <row r="69" spans="3:7" ht="21" x14ac:dyDescent="0.35">
      <c r="C69" s="67"/>
      <c r="D69" s="67"/>
      <c r="E69" s="67"/>
      <c r="F69" s="67"/>
      <c r="G69" s="67"/>
    </row>
    <row r="70" spans="3:7" ht="21" x14ac:dyDescent="0.35">
      <c r="C70" s="67"/>
      <c r="D70" s="67"/>
      <c r="E70" s="67"/>
      <c r="F70" s="67"/>
      <c r="G70" s="67"/>
    </row>
    <row r="71" spans="3:7" ht="21" x14ac:dyDescent="0.35">
      <c r="C71" s="67"/>
      <c r="D71" s="67"/>
      <c r="E71" s="67"/>
      <c r="F71" s="67"/>
      <c r="G71" s="67"/>
    </row>
    <row r="72" spans="3:7" ht="21" x14ac:dyDescent="0.35">
      <c r="C72" s="67"/>
      <c r="D72" s="67"/>
      <c r="E72" s="67"/>
      <c r="F72" s="67"/>
      <c r="G72" s="67"/>
    </row>
    <row r="73" spans="3:7" ht="21" x14ac:dyDescent="0.35">
      <c r="C73" s="67"/>
      <c r="D73" s="67"/>
      <c r="E73" s="67"/>
      <c r="F73" s="67"/>
      <c r="G73" s="67"/>
    </row>
    <row r="74" spans="3:7" ht="21" x14ac:dyDescent="0.35">
      <c r="C74" s="67"/>
      <c r="D74" s="67"/>
      <c r="E74" s="67"/>
      <c r="F74" s="67"/>
      <c r="G74" s="67"/>
    </row>
    <row r="75" spans="3:7" ht="21" x14ac:dyDescent="0.35">
      <c r="C75" s="67"/>
      <c r="D75" s="67"/>
      <c r="E75" s="67"/>
      <c r="F75" s="67"/>
      <c r="G75" s="67"/>
    </row>
    <row r="76" spans="3:7" ht="21" x14ac:dyDescent="0.35">
      <c r="C76" s="67"/>
      <c r="D76" s="67"/>
      <c r="E76" s="67"/>
      <c r="F76" s="67"/>
      <c r="G76" s="67"/>
    </row>
    <row r="77" spans="3:7" ht="21" x14ac:dyDescent="0.35">
      <c r="C77" s="67"/>
      <c r="D77" s="67"/>
      <c r="E77" s="67"/>
      <c r="F77" s="67"/>
      <c r="G77" s="67"/>
    </row>
    <row r="78" spans="3:7" ht="21" x14ac:dyDescent="0.35">
      <c r="C78" s="67"/>
      <c r="D78" s="67"/>
      <c r="E78" s="67"/>
      <c r="F78" s="67"/>
      <c r="G78" s="67"/>
    </row>
    <row r="79" spans="3:7" ht="21" x14ac:dyDescent="0.35">
      <c r="C79" s="67"/>
      <c r="D79" s="67"/>
      <c r="E79" s="67"/>
      <c r="F79" s="67"/>
      <c r="G79" s="67"/>
    </row>
    <row r="80" spans="3:7" ht="21" x14ac:dyDescent="0.35">
      <c r="C80" s="67"/>
      <c r="D80" s="67"/>
      <c r="E80" s="67"/>
      <c r="F80" s="67"/>
      <c r="G80" s="67"/>
    </row>
    <row r="81" spans="3:7" ht="21" x14ac:dyDescent="0.35">
      <c r="C81" s="67"/>
      <c r="D81" s="67"/>
      <c r="E81" s="67"/>
      <c r="F81" s="67"/>
      <c r="G81" s="67"/>
    </row>
    <row r="82" spans="3:7" ht="21" x14ac:dyDescent="0.35">
      <c r="C82" s="67"/>
      <c r="D82" s="67"/>
      <c r="E82" s="67"/>
      <c r="F82" s="67"/>
      <c r="G82" s="67"/>
    </row>
    <row r="83" spans="3:7" ht="21" x14ac:dyDescent="0.35">
      <c r="C83" s="67"/>
      <c r="D83" s="67"/>
      <c r="E83" s="67"/>
      <c r="F83" s="67"/>
      <c r="G83" s="67"/>
    </row>
    <row r="84" spans="3:7" ht="21" x14ac:dyDescent="0.35">
      <c r="C84" s="67"/>
      <c r="D84" s="67"/>
      <c r="E84" s="67"/>
      <c r="F84" s="67"/>
      <c r="G84" s="67"/>
    </row>
    <row r="85" spans="3:7" ht="21" x14ac:dyDescent="0.35">
      <c r="C85" s="67"/>
      <c r="D85" s="67"/>
      <c r="E85" s="67"/>
      <c r="F85" s="67"/>
      <c r="G85" s="67"/>
    </row>
    <row r="86" spans="3:7" ht="21" x14ac:dyDescent="0.35">
      <c r="C86" s="67"/>
      <c r="D86" s="67"/>
      <c r="E86" s="67"/>
      <c r="F86" s="67"/>
      <c r="G86" s="67"/>
    </row>
    <row r="87" spans="3:7" ht="21" x14ac:dyDescent="0.35">
      <c r="C87" s="67"/>
      <c r="D87" s="67"/>
      <c r="E87" s="67"/>
      <c r="F87" s="67"/>
      <c r="G87" s="67"/>
    </row>
    <row r="88" spans="3:7" ht="21" x14ac:dyDescent="0.35">
      <c r="C88" s="67"/>
      <c r="D88" s="67"/>
      <c r="E88" s="67"/>
      <c r="F88" s="67"/>
      <c r="G88" s="67"/>
    </row>
    <row r="89" spans="3:7" ht="21" x14ac:dyDescent="0.35">
      <c r="C89" s="67"/>
      <c r="D89" s="67"/>
      <c r="E89" s="67"/>
      <c r="F89" s="67"/>
      <c r="G89" s="67"/>
    </row>
    <row r="90" spans="3:7" ht="21" x14ac:dyDescent="0.35">
      <c r="C90" s="67"/>
      <c r="D90" s="67"/>
      <c r="E90" s="67"/>
      <c r="F90" s="67"/>
      <c r="G90" s="67"/>
    </row>
    <row r="91" spans="3:7" ht="21" x14ac:dyDescent="0.35">
      <c r="C91" s="67"/>
      <c r="D91" s="67"/>
      <c r="E91" s="67"/>
      <c r="F91" s="67"/>
      <c r="G91" s="67"/>
    </row>
    <row r="92" spans="3:7" ht="21" x14ac:dyDescent="0.35">
      <c r="C92" s="67"/>
      <c r="D92" s="67"/>
      <c r="E92" s="67"/>
      <c r="F92" s="67"/>
      <c r="G92" s="67"/>
    </row>
    <row r="93" spans="3:7" ht="21" x14ac:dyDescent="0.35">
      <c r="C93" s="67"/>
      <c r="D93" s="67"/>
      <c r="E93" s="67"/>
      <c r="F93" s="67"/>
      <c r="G93" s="67"/>
    </row>
    <row r="94" spans="3:7" ht="21" x14ac:dyDescent="0.35">
      <c r="C94" s="67"/>
      <c r="D94" s="67"/>
      <c r="E94" s="67"/>
      <c r="F94" s="67"/>
      <c r="G94" s="67"/>
    </row>
    <row r="95" spans="3:7" ht="21" x14ac:dyDescent="0.35">
      <c r="C95" s="67"/>
      <c r="D95" s="67"/>
      <c r="E95" s="67"/>
      <c r="F95" s="67"/>
      <c r="G95" s="67"/>
    </row>
    <row r="96" spans="3:7" ht="21" x14ac:dyDescent="0.35">
      <c r="C96" s="67"/>
      <c r="D96" s="67"/>
      <c r="E96" s="67"/>
      <c r="F96" s="67"/>
      <c r="G96" s="67"/>
    </row>
    <row r="97" spans="3:7" ht="21" x14ac:dyDescent="0.35">
      <c r="C97" s="67"/>
      <c r="D97" s="67"/>
      <c r="E97" s="67"/>
      <c r="F97" s="67"/>
      <c r="G97" s="67"/>
    </row>
    <row r="98" spans="3:7" ht="21" x14ac:dyDescent="0.35">
      <c r="C98" s="67"/>
      <c r="D98" s="67"/>
      <c r="E98" s="67"/>
      <c r="F98" s="67"/>
      <c r="G98" s="67"/>
    </row>
    <row r="99" spans="3:7" ht="21" x14ac:dyDescent="0.35">
      <c r="C99" s="67"/>
      <c r="D99" s="67"/>
      <c r="E99" s="67"/>
      <c r="F99" s="67"/>
      <c r="G99" s="67"/>
    </row>
    <row r="100" spans="3:7" ht="21" x14ac:dyDescent="0.35">
      <c r="C100" s="67"/>
      <c r="D100" s="67"/>
      <c r="E100" s="67"/>
      <c r="F100" s="67"/>
      <c r="G100" s="67"/>
    </row>
    <row r="101" spans="3:7" ht="21" x14ac:dyDescent="0.35">
      <c r="C101" s="67"/>
      <c r="D101" s="67"/>
      <c r="E101" s="67"/>
      <c r="F101" s="67"/>
      <c r="G101" s="67"/>
    </row>
    <row r="102" spans="3:7" ht="21" x14ac:dyDescent="0.35">
      <c r="C102" s="67"/>
      <c r="D102" s="67"/>
      <c r="E102" s="67"/>
      <c r="F102" s="67"/>
      <c r="G102" s="67"/>
    </row>
    <row r="103" spans="3:7" ht="21" x14ac:dyDescent="0.35">
      <c r="C103" s="67"/>
      <c r="D103" s="67"/>
      <c r="E103" s="67"/>
      <c r="F103" s="67"/>
      <c r="G103" s="67"/>
    </row>
    <row r="104" spans="3:7" ht="21" x14ac:dyDescent="0.35">
      <c r="C104" s="67"/>
      <c r="D104" s="67"/>
      <c r="E104" s="67"/>
      <c r="F104" s="67"/>
      <c r="G104" s="67"/>
    </row>
    <row r="105" spans="3:7" ht="21" x14ac:dyDescent="0.35">
      <c r="C105" s="67"/>
      <c r="D105" s="67"/>
      <c r="E105" s="67"/>
      <c r="F105" s="67"/>
      <c r="G105" s="67"/>
    </row>
    <row r="106" spans="3:7" ht="21" x14ac:dyDescent="0.35">
      <c r="C106" s="67"/>
      <c r="D106" s="67"/>
      <c r="E106" s="67"/>
      <c r="F106" s="67"/>
      <c r="G106" s="67"/>
    </row>
    <row r="107" spans="3:7" ht="21" x14ac:dyDescent="0.35">
      <c r="C107" s="67"/>
      <c r="D107" s="67"/>
      <c r="E107" s="67"/>
      <c r="F107" s="67"/>
      <c r="G107" s="67"/>
    </row>
    <row r="108" spans="3:7" ht="21" x14ac:dyDescent="0.35">
      <c r="C108" s="67"/>
      <c r="D108" s="67"/>
      <c r="E108" s="67"/>
      <c r="F108" s="67"/>
      <c r="G108" s="67"/>
    </row>
    <row r="109" spans="3:7" ht="21" x14ac:dyDescent="0.35">
      <c r="C109" s="67"/>
      <c r="D109" s="67"/>
      <c r="E109" s="67"/>
      <c r="F109" s="67"/>
      <c r="G109" s="67"/>
    </row>
    <row r="110" spans="3:7" ht="21" x14ac:dyDescent="0.35">
      <c r="C110" s="67"/>
      <c r="D110" s="67"/>
      <c r="E110" s="67"/>
      <c r="F110" s="67"/>
      <c r="G110" s="67"/>
    </row>
    <row r="111" spans="3:7" ht="21" x14ac:dyDescent="0.35">
      <c r="C111" s="67"/>
      <c r="D111" s="67"/>
      <c r="E111" s="67"/>
      <c r="F111" s="67"/>
      <c r="G111" s="67"/>
    </row>
    <row r="112" spans="3:7" ht="21" x14ac:dyDescent="0.35">
      <c r="C112" s="67"/>
      <c r="D112" s="67"/>
      <c r="E112" s="67"/>
      <c r="F112" s="67"/>
      <c r="G112" s="67"/>
    </row>
    <row r="113" spans="3:7" ht="21" x14ac:dyDescent="0.35">
      <c r="C113" s="67"/>
      <c r="D113" s="67"/>
      <c r="E113" s="67"/>
      <c r="F113" s="67"/>
      <c r="G113" s="67"/>
    </row>
    <row r="114" spans="3:7" ht="21" x14ac:dyDescent="0.35">
      <c r="C114" s="67"/>
      <c r="D114" s="67"/>
      <c r="E114" s="67"/>
      <c r="F114" s="67"/>
      <c r="G114" s="67"/>
    </row>
    <row r="115" spans="3:7" ht="21" x14ac:dyDescent="0.35">
      <c r="C115" s="67"/>
      <c r="D115" s="67"/>
      <c r="E115" s="67"/>
      <c r="F115" s="67"/>
      <c r="G115" s="67"/>
    </row>
    <row r="116" spans="3:7" ht="21" x14ac:dyDescent="0.35">
      <c r="C116" s="67"/>
      <c r="D116" s="67"/>
      <c r="E116" s="67"/>
      <c r="F116" s="67"/>
      <c r="G116" s="67"/>
    </row>
    <row r="117" spans="3:7" ht="21" x14ac:dyDescent="0.35">
      <c r="C117" s="67"/>
      <c r="D117" s="67"/>
      <c r="E117" s="67"/>
      <c r="F117" s="67"/>
      <c r="G117" s="67"/>
    </row>
    <row r="118" spans="3:7" ht="21" x14ac:dyDescent="0.35">
      <c r="C118" s="67"/>
      <c r="D118" s="67"/>
      <c r="E118" s="67"/>
      <c r="F118" s="67"/>
      <c r="G118" s="67"/>
    </row>
    <row r="119" spans="3:7" ht="21" x14ac:dyDescent="0.35">
      <c r="C119" s="67"/>
      <c r="D119" s="67"/>
      <c r="E119" s="67"/>
      <c r="F119" s="67"/>
      <c r="G119" s="67"/>
    </row>
    <row r="120" spans="3:7" ht="21" x14ac:dyDescent="0.35">
      <c r="C120" s="67"/>
      <c r="D120" s="67"/>
      <c r="E120" s="67"/>
      <c r="F120" s="67"/>
      <c r="G120" s="67"/>
    </row>
    <row r="121" spans="3:7" ht="21" x14ac:dyDescent="0.35">
      <c r="C121" s="67"/>
      <c r="D121" s="67"/>
      <c r="E121" s="67"/>
      <c r="F121" s="67"/>
      <c r="G121" s="67"/>
    </row>
    <row r="122" spans="3:7" ht="21" x14ac:dyDescent="0.35">
      <c r="C122" s="67"/>
      <c r="D122" s="67"/>
      <c r="E122" s="67"/>
      <c r="F122" s="67"/>
      <c r="G122" s="67"/>
    </row>
    <row r="123" spans="3:7" ht="21" x14ac:dyDescent="0.35">
      <c r="C123" s="67"/>
      <c r="D123" s="67"/>
      <c r="E123" s="67"/>
      <c r="F123" s="67"/>
      <c r="G123" s="67"/>
    </row>
    <row r="124" spans="3:7" ht="21" x14ac:dyDescent="0.35">
      <c r="C124" s="67"/>
      <c r="D124" s="67"/>
      <c r="E124" s="67"/>
      <c r="F124" s="67"/>
      <c r="G124" s="67"/>
    </row>
    <row r="125" spans="3:7" ht="21" x14ac:dyDescent="0.35">
      <c r="C125" s="67"/>
      <c r="D125" s="67"/>
      <c r="E125" s="67"/>
      <c r="F125" s="67"/>
      <c r="G125" s="67"/>
    </row>
    <row r="126" spans="3:7" ht="21" x14ac:dyDescent="0.35">
      <c r="C126" s="67"/>
      <c r="D126" s="67"/>
      <c r="E126" s="67"/>
      <c r="F126" s="67"/>
      <c r="G126" s="67"/>
    </row>
    <row r="127" spans="3:7" ht="21" x14ac:dyDescent="0.35">
      <c r="C127" s="67"/>
      <c r="D127" s="67"/>
      <c r="E127" s="67"/>
      <c r="F127" s="67"/>
      <c r="G127" s="67"/>
    </row>
    <row r="128" spans="3:7" ht="21" x14ac:dyDescent="0.35">
      <c r="C128" s="67"/>
      <c r="D128" s="67"/>
      <c r="E128" s="67"/>
      <c r="F128" s="67"/>
      <c r="G128" s="67"/>
    </row>
    <row r="129" spans="3:7" ht="21" x14ac:dyDescent="0.35">
      <c r="C129" s="67"/>
      <c r="D129" s="67"/>
      <c r="E129" s="67"/>
      <c r="F129" s="67"/>
      <c r="G129" s="67"/>
    </row>
    <row r="130" spans="3:7" ht="21" x14ac:dyDescent="0.35">
      <c r="C130" s="67"/>
      <c r="D130" s="67"/>
      <c r="E130" s="67"/>
      <c r="F130" s="67"/>
      <c r="G130" s="67"/>
    </row>
    <row r="131" spans="3:7" ht="21" x14ac:dyDescent="0.35">
      <c r="C131" s="67"/>
      <c r="D131" s="67"/>
      <c r="E131" s="67"/>
      <c r="F131" s="67"/>
      <c r="G131" s="67"/>
    </row>
    <row r="132" spans="3:7" ht="21" x14ac:dyDescent="0.35">
      <c r="C132" s="67"/>
      <c r="D132" s="67"/>
      <c r="E132" s="67"/>
      <c r="F132" s="67"/>
      <c r="G132" s="67"/>
    </row>
    <row r="133" spans="3:7" ht="21" x14ac:dyDescent="0.35">
      <c r="C133" s="67"/>
      <c r="D133" s="67"/>
      <c r="E133" s="67"/>
      <c r="F133" s="67"/>
      <c r="G133" s="67"/>
    </row>
    <row r="134" spans="3:7" ht="21" x14ac:dyDescent="0.35">
      <c r="C134" s="67"/>
      <c r="D134" s="67"/>
      <c r="E134" s="67"/>
      <c r="F134" s="67"/>
      <c r="G134" s="67"/>
    </row>
    <row r="135" spans="3:7" ht="21" x14ac:dyDescent="0.35">
      <c r="C135" s="67"/>
      <c r="D135" s="67"/>
      <c r="E135" s="67"/>
      <c r="F135" s="67"/>
      <c r="G135" s="67"/>
    </row>
    <row r="136" spans="3:7" ht="21" x14ac:dyDescent="0.35">
      <c r="C136" s="67"/>
      <c r="D136" s="67"/>
      <c r="E136" s="67"/>
      <c r="F136" s="67"/>
      <c r="G136" s="67"/>
    </row>
    <row r="137" spans="3:7" ht="21" x14ac:dyDescent="0.35">
      <c r="C137" s="67"/>
      <c r="D137" s="67"/>
      <c r="E137" s="67"/>
      <c r="F137" s="67"/>
      <c r="G137" s="67"/>
    </row>
    <row r="138" spans="3:7" ht="21" x14ac:dyDescent="0.35">
      <c r="C138" s="67"/>
      <c r="D138" s="67"/>
      <c r="E138" s="67"/>
      <c r="F138" s="67"/>
      <c r="G138" s="67"/>
    </row>
    <row r="139" spans="3:7" ht="21" x14ac:dyDescent="0.35">
      <c r="C139" s="67"/>
      <c r="D139" s="67"/>
      <c r="E139" s="67"/>
      <c r="F139" s="67"/>
      <c r="G139" s="67"/>
    </row>
    <row r="140" spans="3:7" ht="21" x14ac:dyDescent="0.35">
      <c r="C140" s="67"/>
      <c r="D140" s="67"/>
      <c r="E140" s="67"/>
      <c r="F140" s="67"/>
      <c r="G140" s="67"/>
    </row>
    <row r="141" spans="3:7" ht="21" x14ac:dyDescent="0.35">
      <c r="C141" s="67"/>
      <c r="D141" s="67"/>
      <c r="E141" s="67"/>
      <c r="F141" s="67"/>
      <c r="G141" s="67"/>
    </row>
    <row r="142" spans="3:7" ht="21" x14ac:dyDescent="0.35">
      <c r="C142" s="67"/>
      <c r="D142" s="67"/>
      <c r="E142" s="67"/>
      <c r="F142" s="67"/>
      <c r="G142" s="67"/>
    </row>
    <row r="143" spans="3:7" ht="21" x14ac:dyDescent="0.35">
      <c r="C143" s="67"/>
      <c r="D143" s="67"/>
      <c r="E143" s="67"/>
      <c r="F143" s="67"/>
      <c r="G143" s="67"/>
    </row>
    <row r="144" spans="3:7" ht="21" x14ac:dyDescent="0.35">
      <c r="C144" s="67"/>
      <c r="D144" s="67"/>
      <c r="E144" s="67"/>
      <c r="F144" s="67"/>
      <c r="G144" s="67"/>
    </row>
    <row r="145" spans="3:7" ht="21" x14ac:dyDescent="0.35">
      <c r="C145" s="67"/>
      <c r="D145" s="67"/>
      <c r="E145" s="67"/>
      <c r="F145" s="67"/>
      <c r="G145" s="67"/>
    </row>
    <row r="146" spans="3:7" ht="21" x14ac:dyDescent="0.35">
      <c r="C146" s="67"/>
      <c r="D146" s="67"/>
      <c r="E146" s="67"/>
      <c r="F146" s="67"/>
      <c r="G146" s="67"/>
    </row>
    <row r="147" spans="3:7" ht="21" x14ac:dyDescent="0.35">
      <c r="C147" s="67"/>
      <c r="D147" s="67"/>
      <c r="E147" s="67"/>
      <c r="F147" s="67"/>
      <c r="G147" s="67"/>
    </row>
    <row r="148" spans="3:7" ht="21" x14ac:dyDescent="0.35">
      <c r="C148" s="67"/>
      <c r="D148" s="67"/>
      <c r="E148" s="67"/>
      <c r="F148" s="67"/>
      <c r="G148" s="67"/>
    </row>
    <row r="149" spans="3:7" ht="21" x14ac:dyDescent="0.35">
      <c r="C149" s="67"/>
      <c r="D149" s="67"/>
      <c r="E149" s="67"/>
      <c r="F149" s="67"/>
      <c r="G149" s="67"/>
    </row>
    <row r="150" spans="3:7" ht="21" x14ac:dyDescent="0.35">
      <c r="C150" s="67"/>
      <c r="D150" s="67"/>
      <c r="E150" s="67"/>
      <c r="F150" s="67"/>
      <c r="G150" s="67"/>
    </row>
    <row r="151" spans="3:7" ht="21" x14ac:dyDescent="0.35">
      <c r="C151" s="67"/>
      <c r="D151" s="67"/>
      <c r="E151" s="67"/>
      <c r="F151" s="67"/>
      <c r="G151" s="67"/>
    </row>
    <row r="152" spans="3:7" ht="21" x14ac:dyDescent="0.35">
      <c r="C152" s="67"/>
      <c r="D152" s="67"/>
      <c r="E152" s="67"/>
      <c r="F152" s="67"/>
      <c r="G152" s="67"/>
    </row>
    <row r="153" spans="3:7" ht="21" x14ac:dyDescent="0.35">
      <c r="C153" s="67"/>
      <c r="D153" s="67"/>
      <c r="E153" s="67"/>
      <c r="F153" s="67"/>
      <c r="G153" s="67"/>
    </row>
    <row r="154" spans="3:7" ht="21" x14ac:dyDescent="0.35">
      <c r="C154" s="67"/>
      <c r="D154" s="67"/>
      <c r="E154" s="67"/>
      <c r="F154" s="67"/>
      <c r="G154" s="67"/>
    </row>
    <row r="155" spans="3:7" ht="21" x14ac:dyDescent="0.35">
      <c r="C155" s="67"/>
      <c r="D155" s="67"/>
      <c r="E155" s="67"/>
      <c r="F155" s="67"/>
      <c r="G155" s="67"/>
    </row>
    <row r="156" spans="3:7" ht="21" x14ac:dyDescent="0.35">
      <c r="C156" s="67"/>
      <c r="D156" s="67"/>
      <c r="E156" s="67"/>
      <c r="F156" s="67"/>
      <c r="G156" s="67"/>
    </row>
    <row r="157" spans="3:7" ht="21" x14ac:dyDescent="0.35">
      <c r="C157" s="67"/>
      <c r="D157" s="67"/>
      <c r="E157" s="67"/>
      <c r="F157" s="67"/>
      <c r="G157" s="67"/>
    </row>
    <row r="158" spans="3:7" ht="21" x14ac:dyDescent="0.35">
      <c r="C158" s="67"/>
      <c r="D158" s="67"/>
      <c r="E158" s="67"/>
      <c r="F158" s="67"/>
      <c r="G158" s="67"/>
    </row>
    <row r="159" spans="3:7" ht="21" x14ac:dyDescent="0.35">
      <c r="C159" s="67"/>
      <c r="D159" s="67"/>
      <c r="E159" s="67"/>
      <c r="F159" s="67"/>
      <c r="G159" s="67"/>
    </row>
    <row r="160" spans="3:7" ht="21" x14ac:dyDescent="0.35">
      <c r="C160" s="67"/>
      <c r="D160" s="67"/>
      <c r="E160" s="67"/>
      <c r="F160" s="67"/>
      <c r="G160" s="67"/>
    </row>
    <row r="161" spans="3:7" ht="21" x14ac:dyDescent="0.35">
      <c r="C161" s="67"/>
      <c r="D161" s="67"/>
      <c r="E161" s="67"/>
      <c r="F161" s="67"/>
      <c r="G161" s="67"/>
    </row>
    <row r="162" spans="3:7" ht="21" x14ac:dyDescent="0.35">
      <c r="C162" s="67"/>
      <c r="D162" s="67"/>
      <c r="E162" s="67"/>
      <c r="F162" s="67"/>
      <c r="G162" s="67"/>
    </row>
    <row r="163" spans="3:7" ht="21" x14ac:dyDescent="0.35">
      <c r="C163" s="67"/>
      <c r="D163" s="67"/>
      <c r="E163" s="67"/>
      <c r="F163" s="67"/>
      <c r="G163" s="67"/>
    </row>
    <row r="164" spans="3:7" ht="21" x14ac:dyDescent="0.35">
      <c r="C164" s="67"/>
      <c r="D164" s="67"/>
      <c r="E164" s="67"/>
      <c r="F164" s="67"/>
      <c r="G164" s="67"/>
    </row>
    <row r="165" spans="3:7" ht="21" x14ac:dyDescent="0.35">
      <c r="C165" s="67"/>
      <c r="D165" s="67"/>
      <c r="E165" s="67"/>
      <c r="F165" s="67"/>
      <c r="G165" s="67"/>
    </row>
    <row r="166" spans="3:7" ht="21" x14ac:dyDescent="0.35">
      <c r="C166" s="67"/>
      <c r="D166" s="67"/>
      <c r="E166" s="67"/>
      <c r="F166" s="67"/>
      <c r="G166" s="67"/>
    </row>
    <row r="167" spans="3:7" ht="21" x14ac:dyDescent="0.35">
      <c r="C167" s="67"/>
      <c r="D167" s="67"/>
      <c r="E167" s="67"/>
      <c r="F167" s="67"/>
      <c r="G167" s="67"/>
    </row>
    <row r="168" spans="3:7" ht="21" x14ac:dyDescent="0.35">
      <c r="C168" s="67"/>
      <c r="D168" s="67"/>
      <c r="E168" s="67"/>
      <c r="F168" s="67"/>
      <c r="G168" s="67"/>
    </row>
    <row r="169" spans="3:7" ht="21" x14ac:dyDescent="0.35">
      <c r="C169" s="67"/>
      <c r="D169" s="67"/>
      <c r="E169" s="67"/>
      <c r="F169" s="67"/>
      <c r="G169" s="67"/>
    </row>
    <row r="170" spans="3:7" ht="21" x14ac:dyDescent="0.35">
      <c r="C170" s="67"/>
      <c r="D170" s="67"/>
      <c r="E170" s="67"/>
      <c r="F170" s="67"/>
      <c r="G170" s="67"/>
    </row>
    <row r="171" spans="3:7" ht="21" x14ac:dyDescent="0.35">
      <c r="C171" s="67"/>
      <c r="D171" s="67"/>
      <c r="E171" s="67"/>
      <c r="F171" s="67"/>
      <c r="G171" s="67"/>
    </row>
    <row r="172" spans="3:7" ht="21" x14ac:dyDescent="0.35">
      <c r="C172" s="67"/>
      <c r="D172" s="67"/>
      <c r="E172" s="67"/>
      <c r="F172" s="67"/>
      <c r="G172" s="67"/>
    </row>
    <row r="173" spans="3:7" ht="21" x14ac:dyDescent="0.35">
      <c r="C173" s="67"/>
      <c r="D173" s="67"/>
      <c r="E173" s="67"/>
      <c r="F173" s="67"/>
      <c r="G173" s="67"/>
    </row>
    <row r="174" spans="3:7" ht="21" x14ac:dyDescent="0.35">
      <c r="C174" s="67"/>
      <c r="D174" s="67"/>
      <c r="E174" s="67"/>
      <c r="F174" s="67"/>
      <c r="G174" s="67"/>
    </row>
    <row r="175" spans="3:7" ht="21" x14ac:dyDescent="0.35">
      <c r="C175" s="67"/>
      <c r="D175" s="67"/>
      <c r="E175" s="67"/>
      <c r="F175" s="67"/>
      <c r="G175" s="67"/>
    </row>
    <row r="176" spans="3:7" ht="21" x14ac:dyDescent="0.35">
      <c r="C176" s="67"/>
      <c r="D176" s="67"/>
      <c r="E176" s="67"/>
      <c r="F176" s="67"/>
      <c r="G176" s="67"/>
    </row>
    <row r="177" spans="3:7" ht="21" x14ac:dyDescent="0.35">
      <c r="C177" s="67"/>
      <c r="D177" s="67"/>
      <c r="E177" s="67"/>
      <c r="F177" s="67"/>
      <c r="G177" s="67"/>
    </row>
    <row r="178" spans="3:7" ht="21" x14ac:dyDescent="0.35">
      <c r="C178" s="67"/>
      <c r="D178" s="67"/>
      <c r="E178" s="67"/>
      <c r="F178" s="67"/>
      <c r="G178" s="67"/>
    </row>
    <row r="179" spans="3:7" ht="21" x14ac:dyDescent="0.35">
      <c r="C179" s="67"/>
      <c r="D179" s="67"/>
      <c r="E179" s="67"/>
      <c r="F179" s="67"/>
      <c r="G179" s="67"/>
    </row>
    <row r="180" spans="3:7" ht="21" x14ac:dyDescent="0.35">
      <c r="C180" s="67"/>
      <c r="D180" s="67"/>
      <c r="E180" s="67"/>
      <c r="F180" s="67"/>
      <c r="G180" s="67"/>
    </row>
    <row r="181" spans="3:7" ht="21" x14ac:dyDescent="0.35">
      <c r="C181" s="67"/>
      <c r="D181" s="67"/>
      <c r="E181" s="67"/>
      <c r="F181" s="67"/>
      <c r="G181" s="67"/>
    </row>
    <row r="182" spans="3:7" ht="21" x14ac:dyDescent="0.35">
      <c r="C182" s="67"/>
      <c r="D182" s="67"/>
      <c r="E182" s="67"/>
      <c r="F182" s="67"/>
      <c r="G182" s="67"/>
    </row>
    <row r="183" spans="3:7" ht="21" x14ac:dyDescent="0.35">
      <c r="C183" s="67"/>
      <c r="D183" s="67"/>
      <c r="E183" s="67"/>
      <c r="F183" s="67"/>
      <c r="G183" s="67"/>
    </row>
    <row r="184" spans="3:7" ht="21" x14ac:dyDescent="0.35">
      <c r="C184" s="67"/>
      <c r="D184" s="67"/>
      <c r="E184" s="67"/>
      <c r="F184" s="67"/>
      <c r="G184" s="67"/>
    </row>
    <row r="185" spans="3:7" ht="21" x14ac:dyDescent="0.35">
      <c r="C185" s="67"/>
      <c r="D185" s="67"/>
      <c r="E185" s="67"/>
      <c r="F185" s="67"/>
      <c r="G185" s="67"/>
    </row>
    <row r="186" spans="3:7" ht="21" x14ac:dyDescent="0.35">
      <c r="C186" s="67"/>
      <c r="D186" s="67"/>
      <c r="E186" s="67"/>
      <c r="F186" s="67"/>
      <c r="G186" s="67"/>
    </row>
    <row r="187" spans="3:7" ht="21" x14ac:dyDescent="0.35">
      <c r="C187" s="67"/>
      <c r="D187" s="67"/>
      <c r="E187" s="67"/>
      <c r="F187" s="67"/>
      <c r="G187" s="67"/>
    </row>
    <row r="188" spans="3:7" ht="21" x14ac:dyDescent="0.35">
      <c r="C188" s="67"/>
      <c r="D188" s="67"/>
      <c r="E188" s="67"/>
      <c r="F188" s="67"/>
      <c r="G188" s="67"/>
    </row>
    <row r="189" spans="3:7" ht="21" x14ac:dyDescent="0.35">
      <c r="C189" s="67"/>
      <c r="D189" s="67"/>
      <c r="E189" s="67"/>
      <c r="F189" s="67"/>
      <c r="G189" s="67"/>
    </row>
    <row r="190" spans="3:7" ht="21" x14ac:dyDescent="0.35">
      <c r="C190" s="67"/>
      <c r="D190" s="67"/>
      <c r="E190" s="67"/>
      <c r="F190" s="67"/>
      <c r="G190" s="67"/>
    </row>
    <row r="191" spans="3:7" ht="21" x14ac:dyDescent="0.35">
      <c r="C191" s="67"/>
      <c r="D191" s="67"/>
      <c r="E191" s="67"/>
      <c r="F191" s="67"/>
      <c r="G191" s="6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J38"/>
  <sheetViews>
    <sheetView showGridLines="0" showRowColHeaders="0" topLeftCell="B22" zoomScale="124" zoomScaleNormal="124" workbookViewId="0">
      <selection activeCell="E38" sqref="E38"/>
    </sheetView>
  </sheetViews>
  <sheetFormatPr baseColWidth="10" defaultRowHeight="15" x14ac:dyDescent="0.25"/>
  <cols>
    <col min="3" max="3" width="33.140625" customWidth="1"/>
    <col min="4" max="4" width="51.42578125" customWidth="1"/>
    <col min="5" max="7" width="26" customWidth="1"/>
    <col min="8" max="8" width="29.28515625" customWidth="1"/>
    <col min="9" max="10" width="23.140625" customWidth="1"/>
  </cols>
  <sheetData>
    <row r="5" spans="2:8" ht="23.25" x14ac:dyDescent="0.35">
      <c r="B5" s="13">
        <v>13</v>
      </c>
      <c r="C5" s="13" t="s">
        <v>29</v>
      </c>
      <c r="D5" s="14">
        <f>+D6</f>
        <v>65000000</v>
      </c>
    </row>
    <row r="6" spans="2:8" ht="23.25" x14ac:dyDescent="0.35">
      <c r="B6" s="15">
        <v>1305</v>
      </c>
      <c r="C6" s="15" t="s">
        <v>30</v>
      </c>
      <c r="D6" s="16">
        <f>+D7</f>
        <v>65000000</v>
      </c>
    </row>
    <row r="7" spans="2:8" ht="23.25" x14ac:dyDescent="0.35">
      <c r="B7" s="17" t="s">
        <v>31</v>
      </c>
      <c r="C7" s="10" t="s">
        <v>32</v>
      </c>
      <c r="D7" s="11">
        <v>65000000</v>
      </c>
    </row>
    <row r="9" spans="2:8" ht="18.75" x14ac:dyDescent="0.25">
      <c r="D9" s="117">
        <v>0</v>
      </c>
      <c r="E9" s="117">
        <v>0.05</v>
      </c>
      <c r="F9" s="117">
        <v>0.1</v>
      </c>
      <c r="G9" s="117">
        <v>0.15</v>
      </c>
    </row>
    <row r="10" spans="2:8" ht="18.75" x14ac:dyDescent="0.25">
      <c r="D10" s="116" t="s">
        <v>214</v>
      </c>
      <c r="E10" s="116" t="s">
        <v>215</v>
      </c>
      <c r="F10" s="116" t="s">
        <v>216</v>
      </c>
      <c r="G10" s="116" t="s">
        <v>217</v>
      </c>
    </row>
    <row r="11" spans="2:8" s="67" customFormat="1" ht="21" x14ac:dyDescent="0.35">
      <c r="B11" s="108" t="s">
        <v>207</v>
      </c>
      <c r="C11" s="247">
        <v>15000000</v>
      </c>
      <c r="D11" s="114">
        <v>0</v>
      </c>
      <c r="E11" s="170">
        <v>9000000</v>
      </c>
      <c r="F11" s="170"/>
      <c r="G11" s="170">
        <v>6000000</v>
      </c>
    </row>
    <row r="12" spans="2:8" s="67" customFormat="1" ht="21" x14ac:dyDescent="0.35">
      <c r="B12" s="108" t="s">
        <v>208</v>
      </c>
      <c r="C12" s="169">
        <v>8000000</v>
      </c>
      <c r="D12" s="114">
        <f>+C12</f>
        <v>8000000</v>
      </c>
      <c r="E12" s="114"/>
      <c r="F12" s="114"/>
      <c r="G12" s="114"/>
    </row>
    <row r="13" spans="2:8" s="67" customFormat="1" ht="21" x14ac:dyDescent="0.35">
      <c r="B13" s="108" t="s">
        <v>209</v>
      </c>
      <c r="C13" s="169">
        <v>12000000</v>
      </c>
      <c r="D13" s="114">
        <v>10000000</v>
      </c>
      <c r="E13" s="114">
        <f>+C13-D13</f>
        <v>2000000</v>
      </c>
      <c r="F13" s="114"/>
      <c r="G13" s="114"/>
    </row>
    <row r="14" spans="2:8" s="67" customFormat="1" ht="21" x14ac:dyDescent="0.35">
      <c r="B14" s="108" t="s">
        <v>210</v>
      </c>
      <c r="C14" s="169">
        <v>17000000</v>
      </c>
      <c r="D14" s="114">
        <v>15000000</v>
      </c>
      <c r="E14" s="114"/>
      <c r="F14" s="114">
        <f>+C14-D14</f>
        <v>2000000</v>
      </c>
      <c r="G14" s="114"/>
    </row>
    <row r="15" spans="2:8" s="67" customFormat="1" ht="21" x14ac:dyDescent="0.35">
      <c r="B15" s="108" t="s">
        <v>211</v>
      </c>
      <c r="C15" s="169">
        <v>13000000</v>
      </c>
      <c r="D15" s="114">
        <f>+C15</f>
        <v>13000000</v>
      </c>
      <c r="E15" s="114"/>
      <c r="F15" s="114"/>
      <c r="G15" s="114"/>
    </row>
    <row r="16" spans="2:8" s="67" customFormat="1" ht="21" x14ac:dyDescent="0.35">
      <c r="C16" s="104">
        <f>SUM(C11:C15)</f>
        <v>65000000</v>
      </c>
      <c r="D16" s="106">
        <f>SUM(D11:D15)</f>
        <v>46000000</v>
      </c>
      <c r="E16" s="106">
        <f t="shared" ref="E16:G16" si="0">SUM(E11:E15)</f>
        <v>11000000</v>
      </c>
      <c r="F16" s="106">
        <f t="shared" si="0"/>
        <v>2000000</v>
      </c>
      <c r="G16" s="106">
        <f t="shared" si="0"/>
        <v>6000000</v>
      </c>
      <c r="H16" s="79"/>
    </row>
    <row r="17" spans="3:10" s="67" customFormat="1" ht="21" x14ac:dyDescent="0.35">
      <c r="D17" s="69"/>
      <c r="E17" s="69">
        <f>+E9*E16</f>
        <v>550000</v>
      </c>
      <c r="F17" s="69">
        <f t="shared" ref="F17:G17" si="1">+F9*F16</f>
        <v>200000</v>
      </c>
      <c r="G17" s="69">
        <f t="shared" si="1"/>
        <v>900000</v>
      </c>
      <c r="H17" s="107">
        <f>SUM(E17:G17)</f>
        <v>1650000</v>
      </c>
      <c r="I17" s="173"/>
    </row>
    <row r="18" spans="3:10" s="67" customFormat="1" ht="21" x14ac:dyDescent="0.35">
      <c r="H18" s="79">
        <f>+G16*0.33</f>
        <v>1980000</v>
      </c>
    </row>
    <row r="19" spans="3:10" s="67" customFormat="1" ht="21" x14ac:dyDescent="0.35"/>
    <row r="20" spans="3:10" s="67" customFormat="1" ht="21" x14ac:dyDescent="0.35">
      <c r="C20" s="118" t="s">
        <v>212</v>
      </c>
      <c r="D20" s="118"/>
      <c r="E20" s="118"/>
      <c r="F20" s="118"/>
    </row>
    <row r="21" spans="3:10" s="67" customFormat="1" ht="21" x14ac:dyDescent="0.35"/>
    <row r="22" spans="3:10" s="67" customFormat="1" ht="23.25" x14ac:dyDescent="0.35">
      <c r="C22" s="172">
        <f>+C11*0.4</f>
        <v>6000000</v>
      </c>
      <c r="D22" s="171" t="s">
        <v>213</v>
      </c>
    </row>
    <row r="23" spans="3:10" s="67" customFormat="1" ht="21" x14ac:dyDescent="0.35">
      <c r="C23" s="69"/>
      <c r="H23" s="77" t="s">
        <v>223</v>
      </c>
      <c r="I23" s="227">
        <f>+H18</f>
        <v>1980000</v>
      </c>
      <c r="J23" s="77"/>
    </row>
    <row r="24" spans="3:10" s="67" customFormat="1" ht="21" x14ac:dyDescent="0.35">
      <c r="D24" s="109" t="s">
        <v>219</v>
      </c>
      <c r="E24" s="109" t="s">
        <v>220</v>
      </c>
      <c r="H24" s="77" t="s">
        <v>224</v>
      </c>
      <c r="I24" s="77"/>
      <c r="J24" s="227">
        <f>+I23</f>
        <v>1980000</v>
      </c>
    </row>
    <row r="25" spans="3:10" s="67" customFormat="1" ht="21" x14ac:dyDescent="0.35">
      <c r="C25" s="67" t="str">
        <f>+C7</f>
        <v>Nacionales</v>
      </c>
      <c r="D25" s="69">
        <f>+D6</f>
        <v>65000000</v>
      </c>
      <c r="E25" s="69">
        <f>+D25</f>
        <v>65000000</v>
      </c>
    </row>
    <row r="26" spans="3:10" s="67" customFormat="1" ht="21" x14ac:dyDescent="0.35">
      <c r="C26" s="73" t="s">
        <v>218</v>
      </c>
      <c r="D26" s="79">
        <f>+I26</f>
        <v>6000000</v>
      </c>
      <c r="E26" s="79">
        <f>+I23</f>
        <v>1980000</v>
      </c>
      <c r="H26" s="228" t="s">
        <v>225</v>
      </c>
      <c r="I26" s="229">
        <f>+C11*0.4</f>
        <v>6000000</v>
      </c>
      <c r="J26" s="228"/>
    </row>
    <row r="27" spans="3:10" s="67" customFormat="1" ht="21" x14ac:dyDescent="0.35">
      <c r="D27" s="106">
        <f>+D25-D26</f>
        <v>59000000</v>
      </c>
      <c r="E27" s="106">
        <f>+E25-E26</f>
        <v>63020000</v>
      </c>
      <c r="F27" s="67" t="s">
        <v>205</v>
      </c>
      <c r="H27" s="228" t="s">
        <v>226</v>
      </c>
      <c r="I27" s="228"/>
      <c r="J27" s="229">
        <f>+I26</f>
        <v>6000000</v>
      </c>
    </row>
    <row r="28" spans="3:10" s="67" customFormat="1" ht="21" x14ac:dyDescent="0.35">
      <c r="E28" s="174">
        <f>+E27-D27</f>
        <v>4020000</v>
      </c>
      <c r="F28" s="67" t="s">
        <v>172</v>
      </c>
    </row>
    <row r="29" spans="3:10" s="67" customFormat="1" ht="21" x14ac:dyDescent="0.35">
      <c r="D29" s="78">
        <v>0.35</v>
      </c>
      <c r="E29" s="164">
        <f>+E28*D29</f>
        <v>1407000</v>
      </c>
      <c r="F29" s="67" t="s">
        <v>254</v>
      </c>
      <c r="I29" s="81"/>
    </row>
    <row r="30" spans="3:10" s="67" customFormat="1" ht="21" x14ac:dyDescent="0.35">
      <c r="E30" s="119"/>
    </row>
    <row r="31" spans="3:10" s="67" customFormat="1" ht="26.25" x14ac:dyDescent="0.4">
      <c r="C31" s="316" t="s">
        <v>160</v>
      </c>
      <c r="D31" s="316" t="s">
        <v>161</v>
      </c>
      <c r="E31" s="316" t="s">
        <v>162</v>
      </c>
      <c r="F31" s="316" t="s">
        <v>163</v>
      </c>
    </row>
    <row r="32" spans="3:10" s="67" customFormat="1" ht="26.25" x14ac:dyDescent="0.4">
      <c r="C32" s="110" t="s">
        <v>160</v>
      </c>
      <c r="D32" s="110" t="s">
        <v>164</v>
      </c>
      <c r="E32" s="111" t="s">
        <v>165</v>
      </c>
      <c r="F32" s="111" t="s">
        <v>166</v>
      </c>
    </row>
    <row r="33" spans="3:6" s="67" customFormat="1" ht="26.25" x14ac:dyDescent="0.4">
      <c r="C33" s="155" t="s">
        <v>167</v>
      </c>
      <c r="D33" s="155" t="s">
        <v>161</v>
      </c>
      <c r="E33" s="156" t="s">
        <v>165</v>
      </c>
      <c r="F33" s="156" t="s">
        <v>166</v>
      </c>
    </row>
    <row r="34" spans="3:6" s="67" customFormat="1" ht="26.25" x14ac:dyDescent="0.4">
      <c r="C34" s="155" t="s">
        <v>167</v>
      </c>
      <c r="D34" s="155" t="s">
        <v>164</v>
      </c>
      <c r="E34" s="157" t="s">
        <v>162</v>
      </c>
      <c r="F34" s="157" t="s">
        <v>163</v>
      </c>
    </row>
    <row r="35" spans="3:6" s="67" customFormat="1" ht="21" x14ac:dyDescent="0.35"/>
    <row r="36" spans="3:6" s="67" customFormat="1" ht="21" x14ac:dyDescent="0.35"/>
    <row r="37" spans="3:6" ht="21" x14ac:dyDescent="0.35">
      <c r="C37" s="113">
        <v>5410</v>
      </c>
      <c r="D37" s="76" t="s">
        <v>174</v>
      </c>
      <c r="E37" s="114"/>
      <c r="F37" s="114">
        <f>+E38</f>
        <v>1407000</v>
      </c>
    </row>
    <row r="38" spans="3:6" ht="21" x14ac:dyDescent="0.35">
      <c r="C38" s="252">
        <v>17</v>
      </c>
      <c r="D38" s="253" t="s">
        <v>245</v>
      </c>
      <c r="E38" s="255">
        <f>+E29</f>
        <v>1407000</v>
      </c>
      <c r="F38" s="25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34"/>
  <sheetViews>
    <sheetView showGridLines="0" topLeftCell="A19" workbookViewId="0">
      <selection activeCell="B34" sqref="B34:D34"/>
    </sheetView>
  </sheetViews>
  <sheetFormatPr baseColWidth="10" defaultRowHeight="15" x14ac:dyDescent="0.25"/>
  <cols>
    <col min="3" max="3" width="67" customWidth="1"/>
    <col min="4" max="4" width="51" customWidth="1"/>
    <col min="5" max="5" width="42.28515625" customWidth="1"/>
    <col min="7" max="7" width="21.85546875" bestFit="1" customWidth="1"/>
  </cols>
  <sheetData>
    <row r="2" spans="2:5" ht="23.25" x14ac:dyDescent="0.35">
      <c r="B2" s="13">
        <v>14</v>
      </c>
      <c r="C2" s="13" t="s">
        <v>47</v>
      </c>
      <c r="D2" s="14">
        <f>+D3+D4</f>
        <v>78500000</v>
      </c>
    </row>
    <row r="3" spans="2:5" ht="23.25" x14ac:dyDescent="0.35">
      <c r="B3" s="10">
        <v>1435</v>
      </c>
      <c r="C3" s="10" t="s">
        <v>48</v>
      </c>
      <c r="D3" s="11">
        <v>78500000</v>
      </c>
    </row>
    <row r="4" spans="2:5" ht="23.25" x14ac:dyDescent="0.35">
      <c r="B4" s="10">
        <v>1499</v>
      </c>
      <c r="C4" s="10" t="s">
        <v>49</v>
      </c>
      <c r="D4" s="11">
        <v>0</v>
      </c>
    </row>
    <row r="7" spans="2:5" s="67" customFormat="1" ht="21" x14ac:dyDescent="0.35">
      <c r="C7" s="67" t="s">
        <v>273</v>
      </c>
      <c r="D7" s="69">
        <f>+D3*15%</f>
        <v>11775000</v>
      </c>
    </row>
    <row r="8" spans="2:5" s="67" customFormat="1" ht="21" x14ac:dyDescent="0.35"/>
    <row r="9" spans="2:5" s="67" customFormat="1" ht="21" x14ac:dyDescent="0.35">
      <c r="C9" s="76" t="s">
        <v>225</v>
      </c>
      <c r="D9" s="115">
        <f>+D7</f>
        <v>11775000</v>
      </c>
      <c r="E9" s="76"/>
    </row>
    <row r="10" spans="2:5" s="67" customFormat="1" ht="21" x14ac:dyDescent="0.35">
      <c r="C10" s="76" t="s">
        <v>227</v>
      </c>
      <c r="D10" s="76"/>
      <c r="E10" s="115">
        <f>+D9</f>
        <v>11775000</v>
      </c>
    </row>
    <row r="11" spans="2:5" s="67" customFormat="1" ht="21" x14ac:dyDescent="0.35"/>
    <row r="12" spans="2:5" s="67" customFormat="1" ht="21" x14ac:dyDescent="0.35"/>
    <row r="13" spans="2:5" s="67" customFormat="1" ht="21" x14ac:dyDescent="0.35">
      <c r="C13" s="288" t="s">
        <v>228</v>
      </c>
      <c r="D13" s="289"/>
      <c r="E13" s="289"/>
    </row>
    <row r="14" spans="2:5" s="67" customFormat="1" ht="21" x14ac:dyDescent="0.35">
      <c r="C14" s="288"/>
      <c r="D14" s="289"/>
      <c r="E14" s="289"/>
    </row>
    <row r="15" spans="2:5" s="67" customFormat="1" ht="21" x14ac:dyDescent="0.35"/>
    <row r="16" spans="2:5" s="67" customFormat="1" ht="119.25" customHeight="1" x14ac:dyDescent="0.35">
      <c r="C16" s="290" t="s">
        <v>229</v>
      </c>
      <c r="D16" s="290"/>
      <c r="E16" s="290"/>
    </row>
    <row r="17" spans="3:7" s="67" customFormat="1" ht="21" x14ac:dyDescent="0.35"/>
    <row r="18" spans="3:7" s="67" customFormat="1" ht="239.25" customHeight="1" x14ac:dyDescent="0.35">
      <c r="C18" s="290" t="s">
        <v>230</v>
      </c>
      <c r="D18" s="290"/>
      <c r="E18" s="290"/>
    </row>
    <row r="19" spans="3:7" s="67" customFormat="1" ht="21" x14ac:dyDescent="0.35"/>
    <row r="20" spans="3:7" s="67" customFormat="1" ht="21" x14ac:dyDescent="0.35"/>
    <row r="21" spans="3:7" s="67" customFormat="1" ht="21" x14ac:dyDescent="0.35">
      <c r="D21" s="109" t="s">
        <v>231</v>
      </c>
      <c r="E21" s="109" t="s">
        <v>232</v>
      </c>
    </row>
    <row r="22" spans="3:7" s="67" customFormat="1" ht="23.25" x14ac:dyDescent="0.35">
      <c r="C22" s="10" t="s">
        <v>48</v>
      </c>
      <c r="D22" s="114">
        <f>+D2</f>
        <v>78500000</v>
      </c>
      <c r="E22" s="114">
        <f>+D22</f>
        <v>78500000</v>
      </c>
    </row>
    <row r="23" spans="3:7" s="67" customFormat="1" ht="23.25" x14ac:dyDescent="0.35">
      <c r="C23" s="10" t="s">
        <v>49</v>
      </c>
      <c r="D23" s="114">
        <f>+D9</f>
        <v>11775000</v>
      </c>
      <c r="E23" s="114">
        <v>0</v>
      </c>
    </row>
    <row r="24" spans="3:7" s="67" customFormat="1" ht="21" x14ac:dyDescent="0.35">
      <c r="D24" s="237">
        <f>+D22-D23</f>
        <v>66725000</v>
      </c>
      <c r="E24" s="237">
        <f>+E22-E23</f>
        <v>78500000</v>
      </c>
    </row>
    <row r="25" spans="3:7" s="67" customFormat="1" ht="21" x14ac:dyDescent="0.35">
      <c r="E25" s="105">
        <f>+E24-D24</f>
        <v>11775000</v>
      </c>
      <c r="F25" s="78">
        <v>0.35</v>
      </c>
      <c r="G25" s="164">
        <f>+E25*F25</f>
        <v>4121249.9999999995</v>
      </c>
    </row>
    <row r="26" spans="3:7" s="67" customFormat="1" ht="21" x14ac:dyDescent="0.35"/>
    <row r="27" spans="3:7" s="67" customFormat="1" ht="26.25" x14ac:dyDescent="0.4">
      <c r="C27" s="175" t="s">
        <v>160</v>
      </c>
      <c r="D27" s="175" t="s">
        <v>161</v>
      </c>
      <c r="E27" s="176" t="s">
        <v>162</v>
      </c>
      <c r="F27" s="176" t="s">
        <v>163</v>
      </c>
    </row>
    <row r="28" spans="3:7" s="67" customFormat="1" ht="26.25" x14ac:dyDescent="0.4">
      <c r="C28" s="110" t="s">
        <v>160</v>
      </c>
      <c r="D28" s="110" t="s">
        <v>164</v>
      </c>
      <c r="E28" s="111" t="s">
        <v>165</v>
      </c>
      <c r="F28" s="111" t="s">
        <v>166</v>
      </c>
    </row>
    <row r="29" spans="3:7" s="67" customFormat="1" ht="26.25" x14ac:dyDescent="0.4">
      <c r="C29" s="155" t="s">
        <v>167</v>
      </c>
      <c r="D29" s="155" t="s">
        <v>161</v>
      </c>
      <c r="E29" s="156" t="s">
        <v>165</v>
      </c>
      <c r="F29" s="156" t="s">
        <v>166</v>
      </c>
    </row>
    <row r="30" spans="3:7" s="67" customFormat="1" ht="26.25" x14ac:dyDescent="0.4">
      <c r="C30" s="155" t="s">
        <v>167</v>
      </c>
      <c r="D30" s="155" t="s">
        <v>164</v>
      </c>
      <c r="E30" s="157" t="s">
        <v>162</v>
      </c>
      <c r="F30" s="157" t="s">
        <v>163</v>
      </c>
    </row>
    <row r="31" spans="3:7" ht="21" x14ac:dyDescent="0.35">
      <c r="C31" s="67"/>
      <c r="D31" s="67"/>
      <c r="E31" s="67"/>
      <c r="F31" s="67"/>
    </row>
    <row r="32" spans="3:7" ht="21" x14ac:dyDescent="0.35">
      <c r="C32" s="67"/>
      <c r="D32" s="67"/>
      <c r="E32" s="67"/>
      <c r="F32" s="67"/>
    </row>
    <row r="33" spans="2:5" ht="21" x14ac:dyDescent="0.35">
      <c r="B33" s="113" t="s">
        <v>175</v>
      </c>
      <c r="C33" s="76" t="s">
        <v>174</v>
      </c>
      <c r="D33" s="114"/>
      <c r="E33" s="114">
        <f>+G25</f>
        <v>4121249.9999999995</v>
      </c>
    </row>
    <row r="34" spans="2:5" ht="21" x14ac:dyDescent="0.35">
      <c r="B34" s="252" t="s">
        <v>221</v>
      </c>
      <c r="C34" s="253" t="s">
        <v>222</v>
      </c>
      <c r="D34" s="255">
        <f>+G25</f>
        <v>4121249.9999999995</v>
      </c>
      <c r="E34" s="255"/>
    </row>
  </sheetData>
  <mergeCells count="3">
    <mergeCell ref="C13:E14"/>
    <mergeCell ref="C16:E16"/>
    <mergeCell ref="C18:E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7"/>
  <sheetViews>
    <sheetView showGridLines="0" topLeftCell="A30" workbookViewId="0">
      <selection activeCell="B65" sqref="B65:C65"/>
    </sheetView>
  </sheetViews>
  <sheetFormatPr baseColWidth="10" defaultRowHeight="21" x14ac:dyDescent="0.35"/>
  <cols>
    <col min="1" max="1" width="18.7109375" style="67" customWidth="1"/>
    <col min="2" max="2" width="59.140625" style="67" bestFit="1" customWidth="1"/>
    <col min="3" max="3" width="43.42578125" style="67" customWidth="1"/>
    <col min="4" max="4" width="33.7109375" style="67" customWidth="1"/>
    <col min="5" max="5" width="35.140625" style="67" customWidth="1"/>
    <col min="6" max="16384" width="11.42578125" style="67"/>
  </cols>
  <sheetData>
    <row r="3" spans="1:5" x14ac:dyDescent="0.35">
      <c r="A3" s="183">
        <v>1508</v>
      </c>
      <c r="B3" s="183" t="s">
        <v>51</v>
      </c>
      <c r="C3" s="184">
        <f>+C4+C5</f>
        <v>180000000</v>
      </c>
    </row>
    <row r="4" spans="1:5" x14ac:dyDescent="0.35">
      <c r="A4" s="177">
        <v>150805</v>
      </c>
      <c r="B4" s="178" t="s">
        <v>52</v>
      </c>
      <c r="C4" s="179">
        <v>100000000</v>
      </c>
      <c r="D4" s="69"/>
      <c r="E4" s="68"/>
    </row>
    <row r="5" spans="1:5" x14ac:dyDescent="0.35">
      <c r="A5" s="133">
        <v>150810</v>
      </c>
      <c r="B5" s="77" t="s">
        <v>53</v>
      </c>
      <c r="C5" s="134">
        <f>+C36</f>
        <v>80000000</v>
      </c>
      <c r="E5" s="69"/>
    </row>
    <row r="6" spans="1:5" x14ac:dyDescent="0.35">
      <c r="A6" s="185">
        <v>1516</v>
      </c>
      <c r="B6" s="186" t="s">
        <v>54</v>
      </c>
      <c r="C6" s="187">
        <f>+C7+C8</f>
        <v>450000000</v>
      </c>
    </row>
    <row r="7" spans="1:5" x14ac:dyDescent="0.35">
      <c r="A7" s="177">
        <v>151605</v>
      </c>
      <c r="B7" s="178" t="s">
        <v>55</v>
      </c>
      <c r="C7" s="179">
        <v>400000000</v>
      </c>
    </row>
    <row r="8" spans="1:5" x14ac:dyDescent="0.35">
      <c r="A8" s="133">
        <v>151610</v>
      </c>
      <c r="B8" s="77" t="s">
        <v>56</v>
      </c>
      <c r="C8" s="134">
        <f>+C37</f>
        <v>50000000</v>
      </c>
    </row>
    <row r="9" spans="1:5" x14ac:dyDescent="0.35">
      <c r="A9" s="127">
        <v>1520</v>
      </c>
      <c r="B9" s="130" t="s">
        <v>57</v>
      </c>
      <c r="C9" s="129">
        <f>+C10+C11</f>
        <v>119000000</v>
      </c>
    </row>
    <row r="10" spans="1:5" x14ac:dyDescent="0.35">
      <c r="A10" s="180">
        <v>152005</v>
      </c>
      <c r="B10" s="181" t="s">
        <v>58</v>
      </c>
      <c r="C10" s="182">
        <v>100000000</v>
      </c>
    </row>
    <row r="11" spans="1:5" x14ac:dyDescent="0.35">
      <c r="A11" s="124" t="s">
        <v>59</v>
      </c>
      <c r="B11" s="130" t="s">
        <v>60</v>
      </c>
      <c r="C11" s="129">
        <v>19000000</v>
      </c>
    </row>
    <row r="12" spans="1:5" x14ac:dyDescent="0.35">
      <c r="A12" s="128">
        <v>1540</v>
      </c>
      <c r="B12" s="128" t="s">
        <v>61</v>
      </c>
      <c r="C12" s="129">
        <f>+C13</f>
        <v>65000000</v>
      </c>
    </row>
    <row r="13" spans="1:5" x14ac:dyDescent="0.35">
      <c r="A13" s="128">
        <v>154005</v>
      </c>
      <c r="B13" s="128" t="s">
        <v>62</v>
      </c>
      <c r="C13" s="129">
        <v>65000000</v>
      </c>
    </row>
    <row r="14" spans="1:5" x14ac:dyDescent="0.35">
      <c r="A14" s="127">
        <v>1592</v>
      </c>
      <c r="B14" s="132" t="s">
        <v>63</v>
      </c>
      <c r="C14" s="129">
        <f>+C15+C16+C17</f>
        <v>0</v>
      </c>
      <c r="E14" s="306" t="s">
        <v>278</v>
      </c>
    </row>
    <row r="15" spans="1:5" x14ac:dyDescent="0.35">
      <c r="A15" s="124">
        <v>159216</v>
      </c>
      <c r="B15" s="131" t="s">
        <v>54</v>
      </c>
      <c r="C15" s="126">
        <v>0</v>
      </c>
      <c r="E15" s="306" t="s">
        <v>279</v>
      </c>
    </row>
    <row r="16" spans="1:5" x14ac:dyDescent="0.35">
      <c r="A16" s="124">
        <v>159220</v>
      </c>
      <c r="B16" s="131" t="s">
        <v>64</v>
      </c>
      <c r="C16" s="126">
        <v>0</v>
      </c>
    </row>
    <row r="17" spans="1:5" x14ac:dyDescent="0.35">
      <c r="A17" s="124">
        <v>159240</v>
      </c>
      <c r="B17" s="131" t="s">
        <v>65</v>
      </c>
      <c r="C17" s="126">
        <v>0</v>
      </c>
    </row>
    <row r="18" spans="1:5" x14ac:dyDescent="0.35">
      <c r="A18" s="127">
        <v>1599</v>
      </c>
      <c r="B18" s="132" t="s">
        <v>66</v>
      </c>
      <c r="C18" s="129">
        <f>+C19+C20+C21</f>
        <v>0</v>
      </c>
    </row>
    <row r="19" spans="1:5" x14ac:dyDescent="0.35">
      <c r="A19" s="124" t="s">
        <v>67</v>
      </c>
      <c r="B19" s="131" t="s">
        <v>54</v>
      </c>
      <c r="C19" s="126">
        <v>0</v>
      </c>
    </row>
    <row r="20" spans="1:5" x14ac:dyDescent="0.35">
      <c r="A20" s="124" t="s">
        <v>67</v>
      </c>
      <c r="B20" s="131" t="s">
        <v>64</v>
      </c>
      <c r="C20" s="126">
        <v>0</v>
      </c>
    </row>
    <row r="21" spans="1:5" x14ac:dyDescent="0.35">
      <c r="A21" s="124" t="s">
        <v>67</v>
      </c>
      <c r="B21" s="131" t="s">
        <v>65</v>
      </c>
      <c r="C21" s="126">
        <v>0</v>
      </c>
    </row>
    <row r="23" spans="1:5" x14ac:dyDescent="0.35">
      <c r="B23" s="67" t="s">
        <v>233</v>
      </c>
      <c r="C23" s="237">
        <v>180000000</v>
      </c>
      <c r="D23" s="68"/>
    </row>
    <row r="24" spans="1:5" x14ac:dyDescent="0.35">
      <c r="B24" s="67" t="s">
        <v>234</v>
      </c>
      <c r="C24" s="237">
        <v>450000000</v>
      </c>
      <c r="D24" s="68"/>
    </row>
    <row r="25" spans="1:5" x14ac:dyDescent="0.35">
      <c r="D25" s="109" t="s">
        <v>274</v>
      </c>
      <c r="E25" s="109" t="s">
        <v>275</v>
      </c>
    </row>
    <row r="26" spans="1:5" x14ac:dyDescent="0.35">
      <c r="B26" s="112" t="s">
        <v>235</v>
      </c>
      <c r="C26" s="262">
        <v>20</v>
      </c>
      <c r="D26" s="164">
        <f>+C10/C26</f>
        <v>5000000</v>
      </c>
      <c r="E26" s="164">
        <f>+C10/10</f>
        <v>10000000</v>
      </c>
    </row>
    <row r="27" spans="1:5" x14ac:dyDescent="0.35">
      <c r="B27" s="307" t="s">
        <v>236</v>
      </c>
      <c r="C27" s="263">
        <v>10</v>
      </c>
      <c r="D27" s="264">
        <f>+C12/C27</f>
        <v>6500000</v>
      </c>
      <c r="E27" s="264">
        <f>+C13/C27</f>
        <v>6500000</v>
      </c>
    </row>
    <row r="28" spans="1:5" x14ac:dyDescent="0.35">
      <c r="B28" s="135" t="s">
        <v>237</v>
      </c>
      <c r="C28" s="136">
        <v>52000000</v>
      </c>
    </row>
    <row r="29" spans="1:5" x14ac:dyDescent="0.35">
      <c r="B29" s="67" t="s">
        <v>170</v>
      </c>
      <c r="C29" s="81">
        <f>+C13-D27</f>
        <v>58500000</v>
      </c>
      <c r="E29" s="265"/>
    </row>
    <row r="30" spans="1:5" x14ac:dyDescent="0.35">
      <c r="B30" s="67" t="s">
        <v>213</v>
      </c>
      <c r="C30" s="81">
        <f>+C29-C28</f>
        <v>6500000</v>
      </c>
    </row>
    <row r="32" spans="1:5" x14ac:dyDescent="0.35">
      <c r="B32" s="188" t="s">
        <v>225</v>
      </c>
      <c r="C32" s="209">
        <f>+C30</f>
        <v>6500000</v>
      </c>
      <c r="D32" s="76"/>
    </row>
    <row r="33" spans="2:5" x14ac:dyDescent="0.35">
      <c r="B33" s="248" t="s">
        <v>280</v>
      </c>
      <c r="C33" s="248"/>
      <c r="D33" s="249">
        <f>+C31+C32</f>
        <v>6500000</v>
      </c>
    </row>
    <row r="35" spans="2:5" ht="27.75" customHeight="1" x14ac:dyDescent="0.35"/>
    <row r="36" spans="2:5" x14ac:dyDescent="0.35">
      <c r="B36" s="188" t="str">
        <f>+B5</f>
        <v>Valor revaluación del Terreno</v>
      </c>
      <c r="C36" s="209">
        <f>+C23-C4</f>
        <v>80000000</v>
      </c>
      <c r="D36" s="76"/>
    </row>
    <row r="37" spans="2:5" x14ac:dyDescent="0.35">
      <c r="B37" s="188" t="str">
        <f>+B8</f>
        <v>Valor revaluación de la edificaciones</v>
      </c>
      <c r="C37" s="209">
        <f>+C24-C7</f>
        <v>50000000</v>
      </c>
      <c r="D37" s="76"/>
    </row>
    <row r="38" spans="2:5" x14ac:dyDescent="0.35">
      <c r="B38" s="248" t="s">
        <v>255</v>
      </c>
      <c r="C38" s="248"/>
      <c r="D38" s="249">
        <f>+C36+C37</f>
        <v>130000000</v>
      </c>
    </row>
    <row r="40" spans="2:5" x14ac:dyDescent="0.35">
      <c r="C40" s="109" t="s">
        <v>238</v>
      </c>
      <c r="D40" s="109" t="s">
        <v>239</v>
      </c>
    </row>
    <row r="41" spans="2:5" x14ac:dyDescent="0.35">
      <c r="B41" s="67" t="s">
        <v>170</v>
      </c>
      <c r="C41" s="69">
        <f>+C3</f>
        <v>180000000</v>
      </c>
      <c r="D41" s="69">
        <f>+C6</f>
        <v>450000000</v>
      </c>
    </row>
    <row r="42" spans="2:5" x14ac:dyDescent="0.35">
      <c r="B42" s="67" t="s">
        <v>171</v>
      </c>
      <c r="C42" s="69">
        <f>+C4</f>
        <v>100000000</v>
      </c>
      <c r="D42" s="69">
        <f>+C7</f>
        <v>400000000</v>
      </c>
    </row>
    <row r="43" spans="2:5" x14ac:dyDescent="0.35">
      <c r="B43" s="73" t="s">
        <v>172</v>
      </c>
      <c r="C43" s="79">
        <f>+C41-C42</f>
        <v>80000000</v>
      </c>
      <c r="D43" s="79">
        <f>+D41-D42</f>
        <v>50000000</v>
      </c>
    </row>
    <row r="44" spans="2:5" x14ac:dyDescent="0.35">
      <c r="B44" s="78">
        <v>0.15</v>
      </c>
      <c r="C44" s="69">
        <f>+C43*B44</f>
        <v>12000000</v>
      </c>
      <c r="D44" s="69">
        <f>+D43*B44</f>
        <v>7500000</v>
      </c>
    </row>
    <row r="46" spans="2:5" ht="26.25" x14ac:dyDescent="0.4">
      <c r="B46" s="110" t="s">
        <v>160</v>
      </c>
      <c r="C46" s="110" t="s">
        <v>161</v>
      </c>
      <c r="D46" s="111" t="s">
        <v>162</v>
      </c>
      <c r="E46" s="111" t="s">
        <v>163</v>
      </c>
    </row>
    <row r="47" spans="2:5" ht="26.25" x14ac:dyDescent="0.4">
      <c r="B47" s="315" t="s">
        <v>160</v>
      </c>
      <c r="C47" s="315" t="s">
        <v>164</v>
      </c>
      <c r="D47" s="316" t="s">
        <v>165</v>
      </c>
      <c r="E47" s="316" t="s">
        <v>166</v>
      </c>
    </row>
    <row r="48" spans="2:5" ht="26.25" x14ac:dyDescent="0.4">
      <c r="B48" s="155" t="s">
        <v>167</v>
      </c>
      <c r="C48" s="155" t="s">
        <v>161</v>
      </c>
      <c r="D48" s="156" t="s">
        <v>165</v>
      </c>
      <c r="E48" s="156" t="s">
        <v>166</v>
      </c>
    </row>
    <row r="49" spans="1:5" ht="26.25" x14ac:dyDescent="0.4">
      <c r="B49" s="155" t="s">
        <v>167</v>
      </c>
      <c r="C49" s="155" t="s">
        <v>164</v>
      </c>
      <c r="D49" s="157" t="s">
        <v>162</v>
      </c>
      <c r="E49" s="157" t="s">
        <v>163</v>
      </c>
    </row>
    <row r="50" spans="1:5" x14ac:dyDescent="0.35">
      <c r="A50"/>
    </row>
    <row r="51" spans="1:5" x14ac:dyDescent="0.35">
      <c r="A51"/>
    </row>
    <row r="52" spans="1:5" x14ac:dyDescent="0.35">
      <c r="A52" s="113"/>
      <c r="B52" s="188" t="s">
        <v>256</v>
      </c>
      <c r="C52" s="169">
        <f>+C44+D44</f>
        <v>19500000</v>
      </c>
      <c r="D52" s="169"/>
      <c r="E52"/>
    </row>
    <row r="53" spans="1:5" x14ac:dyDescent="0.35">
      <c r="A53" s="252"/>
      <c r="B53" s="248" t="s">
        <v>257</v>
      </c>
      <c r="C53" s="170"/>
      <c r="D53" s="170">
        <f>+C52</f>
        <v>19500000</v>
      </c>
      <c r="E53"/>
    </row>
    <row r="56" spans="1:5" x14ac:dyDescent="0.35">
      <c r="C56" s="109" t="s">
        <v>235</v>
      </c>
      <c r="D56" s="109" t="s">
        <v>236</v>
      </c>
    </row>
    <row r="57" spans="1:5" x14ac:dyDescent="0.35">
      <c r="B57" s="67" t="s">
        <v>170</v>
      </c>
      <c r="C57" s="69">
        <f>+C10-D26</f>
        <v>95000000</v>
      </c>
      <c r="D57" s="69">
        <f>+C12-D27-C30</f>
        <v>52000000</v>
      </c>
    </row>
    <row r="58" spans="1:5" x14ac:dyDescent="0.35">
      <c r="B58" s="67" t="s">
        <v>171</v>
      </c>
      <c r="C58" s="69">
        <f>+C57</f>
        <v>95000000</v>
      </c>
      <c r="D58" s="69">
        <f>+C13-E27</f>
        <v>58500000</v>
      </c>
    </row>
    <row r="59" spans="1:5" x14ac:dyDescent="0.35">
      <c r="C59" s="69"/>
      <c r="D59" s="69"/>
    </row>
    <row r="60" spans="1:5" x14ac:dyDescent="0.35">
      <c r="B60" s="73" t="s">
        <v>172</v>
      </c>
      <c r="C60" s="79">
        <v>0</v>
      </c>
      <c r="D60" s="79">
        <f>+D58-D57</f>
        <v>6500000</v>
      </c>
      <c r="E60" s="67" t="s">
        <v>205</v>
      </c>
    </row>
    <row r="61" spans="1:5" x14ac:dyDescent="0.35">
      <c r="B61" s="78">
        <v>0.15</v>
      </c>
      <c r="C61" s="69">
        <f>+C60*B61</f>
        <v>0</v>
      </c>
      <c r="D61" s="69">
        <f>+D60*B61</f>
        <v>975000</v>
      </c>
    </row>
    <row r="62" spans="1:5" x14ac:dyDescent="0.35">
      <c r="C62" s="67" t="s">
        <v>206</v>
      </c>
      <c r="D62" s="67" t="s">
        <v>205</v>
      </c>
    </row>
    <row r="64" spans="1:5" x14ac:dyDescent="0.35">
      <c r="A64" s="113"/>
      <c r="B64" s="76" t="s">
        <v>258</v>
      </c>
      <c r="C64" s="114"/>
      <c r="D64" s="114">
        <f>+C65</f>
        <v>975000</v>
      </c>
    </row>
    <row r="65" spans="1:4" x14ac:dyDescent="0.35">
      <c r="A65" s="252"/>
      <c r="B65" s="253" t="s">
        <v>245</v>
      </c>
      <c r="C65" s="255">
        <f>+D61</f>
        <v>975000</v>
      </c>
      <c r="D65" s="255"/>
    </row>
    <row r="66" spans="1:4" x14ac:dyDescent="0.35">
      <c r="A66" s="113"/>
      <c r="B66" s="76"/>
      <c r="C66" s="114"/>
      <c r="D66" s="114"/>
    </row>
    <row r="67" spans="1:4" x14ac:dyDescent="0.35">
      <c r="A67" s="113"/>
      <c r="B67" s="76"/>
      <c r="C67" s="114"/>
      <c r="D67" s="11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34"/>
  <sheetViews>
    <sheetView showGridLines="0" topLeftCell="A13" workbookViewId="0">
      <selection activeCell="D33" sqref="D33"/>
    </sheetView>
  </sheetViews>
  <sheetFormatPr baseColWidth="10" defaultRowHeight="21" x14ac:dyDescent="0.35"/>
  <cols>
    <col min="1" max="1" width="11.42578125" style="67"/>
    <col min="2" max="2" width="19.5703125" style="67" bestFit="1" customWidth="1"/>
    <col min="3" max="3" width="43.7109375" style="67" customWidth="1"/>
    <col min="4" max="5" width="29.5703125" style="67" customWidth="1"/>
    <col min="6" max="16384" width="11.42578125" style="67"/>
  </cols>
  <sheetData>
    <row r="2" spans="1:4" x14ac:dyDescent="0.35">
      <c r="A2" s="137">
        <v>22</v>
      </c>
      <c r="B2" s="137" t="s">
        <v>77</v>
      </c>
      <c r="C2" s="138">
        <f>+C3</f>
        <v>120000000</v>
      </c>
    </row>
    <row r="3" spans="1:4" x14ac:dyDescent="0.35">
      <c r="A3" s="125">
        <v>2205</v>
      </c>
      <c r="B3" s="125" t="s">
        <v>77</v>
      </c>
      <c r="C3" s="126">
        <f>+C4+C5</f>
        <v>120000000</v>
      </c>
    </row>
    <row r="4" spans="1:4" x14ac:dyDescent="0.35">
      <c r="A4" s="139" t="s">
        <v>78</v>
      </c>
      <c r="B4" s="125" t="s">
        <v>32</v>
      </c>
      <c r="C4" s="126">
        <v>75000000</v>
      </c>
    </row>
    <row r="5" spans="1:4" x14ac:dyDescent="0.35">
      <c r="A5" s="250" t="s">
        <v>78</v>
      </c>
      <c r="B5" s="251" t="s">
        <v>79</v>
      </c>
      <c r="C5" s="238">
        <v>45000000</v>
      </c>
    </row>
    <row r="10" spans="1:4" x14ac:dyDescent="0.35">
      <c r="B10" s="125" t="s">
        <v>79</v>
      </c>
      <c r="C10" s="126">
        <v>45000000</v>
      </c>
    </row>
    <row r="12" spans="1:4" x14ac:dyDescent="0.35">
      <c r="C12" s="67">
        <f>+C10/4500</f>
        <v>10000</v>
      </c>
      <c r="D12" s="67" t="s">
        <v>240</v>
      </c>
    </row>
    <row r="13" spans="1:4" x14ac:dyDescent="0.35">
      <c r="C13" s="140">
        <v>4500</v>
      </c>
      <c r="D13" s="67" t="s">
        <v>241</v>
      </c>
    </row>
    <row r="15" spans="1:4" ht="23.25" x14ac:dyDescent="0.35">
      <c r="B15" s="271">
        <v>45291</v>
      </c>
      <c r="C15" s="272">
        <v>4800</v>
      </c>
      <c r="D15" s="273" t="s">
        <v>242</v>
      </c>
    </row>
    <row r="16" spans="1:4" x14ac:dyDescent="0.35">
      <c r="B16" s="67" t="s">
        <v>276</v>
      </c>
      <c r="C16" s="69">
        <f>+C12*C15</f>
        <v>48000000</v>
      </c>
    </row>
    <row r="19" spans="2:5" x14ac:dyDescent="0.35">
      <c r="C19" s="67" t="s">
        <v>243</v>
      </c>
      <c r="D19" s="68">
        <f>+C16-C10</f>
        <v>3000000</v>
      </c>
    </row>
    <row r="20" spans="2:5" x14ac:dyDescent="0.35">
      <c r="C20" s="67" t="s">
        <v>244</v>
      </c>
      <c r="E20" s="68">
        <f>+D19</f>
        <v>3000000</v>
      </c>
    </row>
    <row r="24" spans="2:5" x14ac:dyDescent="0.35">
      <c r="C24" s="67" t="s">
        <v>170</v>
      </c>
      <c r="D24" s="140">
        <f>+C5+E20</f>
        <v>48000000</v>
      </c>
    </row>
    <row r="25" spans="2:5" x14ac:dyDescent="0.35">
      <c r="C25" s="67" t="s">
        <v>171</v>
      </c>
      <c r="D25" s="140">
        <f>+C5</f>
        <v>45000000</v>
      </c>
      <c r="E25" s="78">
        <v>0.35</v>
      </c>
    </row>
    <row r="26" spans="2:5" x14ac:dyDescent="0.35">
      <c r="C26" s="67" t="s">
        <v>172</v>
      </c>
      <c r="D26" s="141">
        <f>+D24-D25</f>
        <v>3000000</v>
      </c>
      <c r="E26" s="69">
        <f>+D26*E25</f>
        <v>1050000</v>
      </c>
    </row>
    <row r="27" spans="2:5" x14ac:dyDescent="0.35">
      <c r="D27" s="78"/>
    </row>
    <row r="28" spans="2:5" ht="26.25" x14ac:dyDescent="0.4">
      <c r="B28" s="155" t="s">
        <v>167</v>
      </c>
      <c r="C28" s="155" t="s">
        <v>161</v>
      </c>
      <c r="D28" s="156" t="s">
        <v>165</v>
      </c>
      <c r="E28" s="156" t="s">
        <v>166</v>
      </c>
    </row>
    <row r="29" spans="2:5" ht="26.25" x14ac:dyDescent="0.4">
      <c r="B29" s="155" t="s">
        <v>167</v>
      </c>
      <c r="C29" s="155" t="s">
        <v>164</v>
      </c>
      <c r="D29" s="157" t="s">
        <v>162</v>
      </c>
      <c r="E29" s="157" t="s">
        <v>163</v>
      </c>
    </row>
    <row r="32" spans="2:5" x14ac:dyDescent="0.35">
      <c r="B32" s="113">
        <v>54</v>
      </c>
      <c r="C32" s="76" t="s">
        <v>248</v>
      </c>
      <c r="D32" s="114"/>
      <c r="E32" s="114">
        <f>+E26</f>
        <v>1050000</v>
      </c>
    </row>
    <row r="33" spans="2:5" x14ac:dyDescent="0.35">
      <c r="B33" s="252">
        <v>17</v>
      </c>
      <c r="C33" s="253" t="s">
        <v>245</v>
      </c>
      <c r="D33" s="255">
        <f>+E32</f>
        <v>1050000</v>
      </c>
      <c r="E33" s="255"/>
    </row>
    <row r="34" spans="2:5" x14ac:dyDescent="0.35">
      <c r="B34" s="256"/>
      <c r="C34" s="256"/>
      <c r="D34" s="256"/>
      <c r="E34" s="25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8"/>
  <sheetViews>
    <sheetView showGridLines="0" showRowColHeaders="0" topLeftCell="A37" zoomScaleNormal="100" workbookViewId="0">
      <selection activeCell="C57" sqref="C57:E59"/>
    </sheetView>
  </sheetViews>
  <sheetFormatPr baseColWidth="10" defaultRowHeight="15" x14ac:dyDescent="0.25"/>
  <cols>
    <col min="2" max="2" width="3.140625" customWidth="1"/>
    <col min="3" max="3" width="73.5703125" customWidth="1"/>
    <col min="4" max="4" width="28.140625" customWidth="1"/>
    <col min="5" max="5" width="29.85546875" customWidth="1"/>
    <col min="6" max="7" width="26.42578125" customWidth="1"/>
    <col min="8" max="8" width="25.5703125" customWidth="1"/>
    <col min="9" max="9" width="25.140625" customWidth="1"/>
    <col min="10" max="11" width="21.5703125" customWidth="1"/>
    <col min="258" max="258" width="3.140625" customWidth="1"/>
    <col min="259" max="259" width="73.5703125" customWidth="1"/>
    <col min="260" max="261" width="25.5703125" customWidth="1"/>
    <col min="262" max="262" width="21.5703125" customWidth="1"/>
    <col min="263" max="263" width="24" customWidth="1"/>
    <col min="264" max="264" width="25.5703125" customWidth="1"/>
    <col min="265" max="265" width="25.140625" customWidth="1"/>
    <col min="266" max="267" width="21.5703125" customWidth="1"/>
    <col min="514" max="514" width="3.140625" customWidth="1"/>
    <col min="515" max="515" width="73.5703125" customWidth="1"/>
    <col min="516" max="517" width="25.5703125" customWidth="1"/>
    <col min="518" max="518" width="21.5703125" customWidth="1"/>
    <col min="519" max="519" width="24" customWidth="1"/>
    <col min="520" max="520" width="25.5703125" customWidth="1"/>
    <col min="521" max="521" width="25.140625" customWidth="1"/>
    <col min="522" max="523" width="21.5703125" customWidth="1"/>
    <col min="770" max="770" width="3.140625" customWidth="1"/>
    <col min="771" max="771" width="73.5703125" customWidth="1"/>
    <col min="772" max="773" width="25.5703125" customWidth="1"/>
    <col min="774" max="774" width="21.5703125" customWidth="1"/>
    <col min="775" max="775" width="24" customWidth="1"/>
    <col min="776" max="776" width="25.5703125" customWidth="1"/>
    <col min="777" max="777" width="25.140625" customWidth="1"/>
    <col min="778" max="779" width="21.5703125" customWidth="1"/>
    <col min="1026" max="1026" width="3.140625" customWidth="1"/>
    <col min="1027" max="1027" width="73.5703125" customWidth="1"/>
    <col min="1028" max="1029" width="25.5703125" customWidth="1"/>
    <col min="1030" max="1030" width="21.5703125" customWidth="1"/>
    <col min="1031" max="1031" width="24" customWidth="1"/>
    <col min="1032" max="1032" width="25.5703125" customWidth="1"/>
    <col min="1033" max="1033" width="25.140625" customWidth="1"/>
    <col min="1034" max="1035" width="21.5703125" customWidth="1"/>
    <col min="1282" max="1282" width="3.140625" customWidth="1"/>
    <col min="1283" max="1283" width="73.5703125" customWidth="1"/>
    <col min="1284" max="1285" width="25.5703125" customWidth="1"/>
    <col min="1286" max="1286" width="21.5703125" customWidth="1"/>
    <col min="1287" max="1287" width="24" customWidth="1"/>
    <col min="1288" max="1288" width="25.5703125" customWidth="1"/>
    <col min="1289" max="1289" width="25.140625" customWidth="1"/>
    <col min="1290" max="1291" width="21.5703125" customWidth="1"/>
    <col min="1538" max="1538" width="3.140625" customWidth="1"/>
    <col min="1539" max="1539" width="73.5703125" customWidth="1"/>
    <col min="1540" max="1541" width="25.5703125" customWidth="1"/>
    <col min="1542" max="1542" width="21.5703125" customWidth="1"/>
    <col min="1543" max="1543" width="24" customWidth="1"/>
    <col min="1544" max="1544" width="25.5703125" customWidth="1"/>
    <col min="1545" max="1545" width="25.140625" customWidth="1"/>
    <col min="1546" max="1547" width="21.5703125" customWidth="1"/>
    <col min="1794" max="1794" width="3.140625" customWidth="1"/>
    <col min="1795" max="1795" width="73.5703125" customWidth="1"/>
    <col min="1796" max="1797" width="25.5703125" customWidth="1"/>
    <col min="1798" max="1798" width="21.5703125" customWidth="1"/>
    <col min="1799" max="1799" width="24" customWidth="1"/>
    <col min="1800" max="1800" width="25.5703125" customWidth="1"/>
    <col min="1801" max="1801" width="25.140625" customWidth="1"/>
    <col min="1802" max="1803" width="21.5703125" customWidth="1"/>
    <col min="2050" max="2050" width="3.140625" customWidth="1"/>
    <col min="2051" max="2051" width="73.5703125" customWidth="1"/>
    <col min="2052" max="2053" width="25.5703125" customWidth="1"/>
    <col min="2054" max="2054" width="21.5703125" customWidth="1"/>
    <col min="2055" max="2055" width="24" customWidth="1"/>
    <col min="2056" max="2056" width="25.5703125" customWidth="1"/>
    <col min="2057" max="2057" width="25.140625" customWidth="1"/>
    <col min="2058" max="2059" width="21.5703125" customWidth="1"/>
    <col min="2306" max="2306" width="3.140625" customWidth="1"/>
    <col min="2307" max="2307" width="73.5703125" customWidth="1"/>
    <col min="2308" max="2309" width="25.5703125" customWidth="1"/>
    <col min="2310" max="2310" width="21.5703125" customWidth="1"/>
    <col min="2311" max="2311" width="24" customWidth="1"/>
    <col min="2312" max="2312" width="25.5703125" customWidth="1"/>
    <col min="2313" max="2313" width="25.140625" customWidth="1"/>
    <col min="2314" max="2315" width="21.5703125" customWidth="1"/>
    <col min="2562" max="2562" width="3.140625" customWidth="1"/>
    <col min="2563" max="2563" width="73.5703125" customWidth="1"/>
    <col min="2564" max="2565" width="25.5703125" customWidth="1"/>
    <col min="2566" max="2566" width="21.5703125" customWidth="1"/>
    <col min="2567" max="2567" width="24" customWidth="1"/>
    <col min="2568" max="2568" width="25.5703125" customWidth="1"/>
    <col min="2569" max="2569" width="25.140625" customWidth="1"/>
    <col min="2570" max="2571" width="21.5703125" customWidth="1"/>
    <col min="2818" max="2818" width="3.140625" customWidth="1"/>
    <col min="2819" max="2819" width="73.5703125" customWidth="1"/>
    <col min="2820" max="2821" width="25.5703125" customWidth="1"/>
    <col min="2822" max="2822" width="21.5703125" customWidth="1"/>
    <col min="2823" max="2823" width="24" customWidth="1"/>
    <col min="2824" max="2824" width="25.5703125" customWidth="1"/>
    <col min="2825" max="2825" width="25.140625" customWidth="1"/>
    <col min="2826" max="2827" width="21.5703125" customWidth="1"/>
    <col min="3074" max="3074" width="3.140625" customWidth="1"/>
    <col min="3075" max="3075" width="73.5703125" customWidth="1"/>
    <col min="3076" max="3077" width="25.5703125" customWidth="1"/>
    <col min="3078" max="3078" width="21.5703125" customWidth="1"/>
    <col min="3079" max="3079" width="24" customWidth="1"/>
    <col min="3080" max="3080" width="25.5703125" customWidth="1"/>
    <col min="3081" max="3081" width="25.140625" customWidth="1"/>
    <col min="3082" max="3083" width="21.5703125" customWidth="1"/>
    <col min="3330" max="3330" width="3.140625" customWidth="1"/>
    <col min="3331" max="3331" width="73.5703125" customWidth="1"/>
    <col min="3332" max="3333" width="25.5703125" customWidth="1"/>
    <col min="3334" max="3334" width="21.5703125" customWidth="1"/>
    <col min="3335" max="3335" width="24" customWidth="1"/>
    <col min="3336" max="3336" width="25.5703125" customWidth="1"/>
    <col min="3337" max="3337" width="25.140625" customWidth="1"/>
    <col min="3338" max="3339" width="21.5703125" customWidth="1"/>
    <col min="3586" max="3586" width="3.140625" customWidth="1"/>
    <col min="3587" max="3587" width="73.5703125" customWidth="1"/>
    <col min="3588" max="3589" width="25.5703125" customWidth="1"/>
    <col min="3590" max="3590" width="21.5703125" customWidth="1"/>
    <col min="3591" max="3591" width="24" customWidth="1"/>
    <col min="3592" max="3592" width="25.5703125" customWidth="1"/>
    <col min="3593" max="3593" width="25.140625" customWidth="1"/>
    <col min="3594" max="3595" width="21.5703125" customWidth="1"/>
    <col min="3842" max="3842" width="3.140625" customWidth="1"/>
    <col min="3843" max="3843" width="73.5703125" customWidth="1"/>
    <col min="3844" max="3845" width="25.5703125" customWidth="1"/>
    <col min="3846" max="3846" width="21.5703125" customWidth="1"/>
    <col min="3847" max="3847" width="24" customWidth="1"/>
    <col min="3848" max="3848" width="25.5703125" customWidth="1"/>
    <col min="3849" max="3849" width="25.140625" customWidth="1"/>
    <col min="3850" max="3851" width="21.5703125" customWidth="1"/>
    <col min="4098" max="4098" width="3.140625" customWidth="1"/>
    <col min="4099" max="4099" width="73.5703125" customWidth="1"/>
    <col min="4100" max="4101" width="25.5703125" customWidth="1"/>
    <col min="4102" max="4102" width="21.5703125" customWidth="1"/>
    <col min="4103" max="4103" width="24" customWidth="1"/>
    <col min="4104" max="4104" width="25.5703125" customWidth="1"/>
    <col min="4105" max="4105" width="25.140625" customWidth="1"/>
    <col min="4106" max="4107" width="21.5703125" customWidth="1"/>
    <col min="4354" max="4354" width="3.140625" customWidth="1"/>
    <col min="4355" max="4355" width="73.5703125" customWidth="1"/>
    <col min="4356" max="4357" width="25.5703125" customWidth="1"/>
    <col min="4358" max="4358" width="21.5703125" customWidth="1"/>
    <col min="4359" max="4359" width="24" customWidth="1"/>
    <col min="4360" max="4360" width="25.5703125" customWidth="1"/>
    <col min="4361" max="4361" width="25.140625" customWidth="1"/>
    <col min="4362" max="4363" width="21.5703125" customWidth="1"/>
    <col min="4610" max="4610" width="3.140625" customWidth="1"/>
    <col min="4611" max="4611" width="73.5703125" customWidth="1"/>
    <col min="4612" max="4613" width="25.5703125" customWidth="1"/>
    <col min="4614" max="4614" width="21.5703125" customWidth="1"/>
    <col min="4615" max="4615" width="24" customWidth="1"/>
    <col min="4616" max="4616" width="25.5703125" customWidth="1"/>
    <col min="4617" max="4617" width="25.140625" customWidth="1"/>
    <col min="4618" max="4619" width="21.5703125" customWidth="1"/>
    <col min="4866" max="4866" width="3.140625" customWidth="1"/>
    <col min="4867" max="4867" width="73.5703125" customWidth="1"/>
    <col min="4868" max="4869" width="25.5703125" customWidth="1"/>
    <col min="4870" max="4870" width="21.5703125" customWidth="1"/>
    <col min="4871" max="4871" width="24" customWidth="1"/>
    <col min="4872" max="4872" width="25.5703125" customWidth="1"/>
    <col min="4873" max="4873" width="25.140625" customWidth="1"/>
    <col min="4874" max="4875" width="21.5703125" customWidth="1"/>
    <col min="5122" max="5122" width="3.140625" customWidth="1"/>
    <col min="5123" max="5123" width="73.5703125" customWidth="1"/>
    <col min="5124" max="5125" width="25.5703125" customWidth="1"/>
    <col min="5126" max="5126" width="21.5703125" customWidth="1"/>
    <col min="5127" max="5127" width="24" customWidth="1"/>
    <col min="5128" max="5128" width="25.5703125" customWidth="1"/>
    <col min="5129" max="5129" width="25.140625" customWidth="1"/>
    <col min="5130" max="5131" width="21.5703125" customWidth="1"/>
    <col min="5378" max="5378" width="3.140625" customWidth="1"/>
    <col min="5379" max="5379" width="73.5703125" customWidth="1"/>
    <col min="5380" max="5381" width="25.5703125" customWidth="1"/>
    <col min="5382" max="5382" width="21.5703125" customWidth="1"/>
    <col min="5383" max="5383" width="24" customWidth="1"/>
    <col min="5384" max="5384" width="25.5703125" customWidth="1"/>
    <col min="5385" max="5385" width="25.140625" customWidth="1"/>
    <col min="5386" max="5387" width="21.5703125" customWidth="1"/>
    <col min="5634" max="5634" width="3.140625" customWidth="1"/>
    <col min="5635" max="5635" width="73.5703125" customWidth="1"/>
    <col min="5636" max="5637" width="25.5703125" customWidth="1"/>
    <col min="5638" max="5638" width="21.5703125" customWidth="1"/>
    <col min="5639" max="5639" width="24" customWidth="1"/>
    <col min="5640" max="5640" width="25.5703125" customWidth="1"/>
    <col min="5641" max="5641" width="25.140625" customWidth="1"/>
    <col min="5642" max="5643" width="21.5703125" customWidth="1"/>
    <col min="5890" max="5890" width="3.140625" customWidth="1"/>
    <col min="5891" max="5891" width="73.5703125" customWidth="1"/>
    <col min="5892" max="5893" width="25.5703125" customWidth="1"/>
    <col min="5894" max="5894" width="21.5703125" customWidth="1"/>
    <col min="5895" max="5895" width="24" customWidth="1"/>
    <col min="5896" max="5896" width="25.5703125" customWidth="1"/>
    <col min="5897" max="5897" width="25.140625" customWidth="1"/>
    <col min="5898" max="5899" width="21.5703125" customWidth="1"/>
    <col min="6146" max="6146" width="3.140625" customWidth="1"/>
    <col min="6147" max="6147" width="73.5703125" customWidth="1"/>
    <col min="6148" max="6149" width="25.5703125" customWidth="1"/>
    <col min="6150" max="6150" width="21.5703125" customWidth="1"/>
    <col min="6151" max="6151" width="24" customWidth="1"/>
    <col min="6152" max="6152" width="25.5703125" customWidth="1"/>
    <col min="6153" max="6153" width="25.140625" customWidth="1"/>
    <col min="6154" max="6155" width="21.5703125" customWidth="1"/>
    <col min="6402" max="6402" width="3.140625" customWidth="1"/>
    <col min="6403" max="6403" width="73.5703125" customWidth="1"/>
    <col min="6404" max="6405" width="25.5703125" customWidth="1"/>
    <col min="6406" max="6406" width="21.5703125" customWidth="1"/>
    <col min="6407" max="6407" width="24" customWidth="1"/>
    <col min="6408" max="6408" width="25.5703125" customWidth="1"/>
    <col min="6409" max="6409" width="25.140625" customWidth="1"/>
    <col min="6410" max="6411" width="21.5703125" customWidth="1"/>
    <col min="6658" max="6658" width="3.140625" customWidth="1"/>
    <col min="6659" max="6659" width="73.5703125" customWidth="1"/>
    <col min="6660" max="6661" width="25.5703125" customWidth="1"/>
    <col min="6662" max="6662" width="21.5703125" customWidth="1"/>
    <col min="6663" max="6663" width="24" customWidth="1"/>
    <col min="6664" max="6664" width="25.5703125" customWidth="1"/>
    <col min="6665" max="6665" width="25.140625" customWidth="1"/>
    <col min="6666" max="6667" width="21.5703125" customWidth="1"/>
    <col min="6914" max="6914" width="3.140625" customWidth="1"/>
    <col min="6915" max="6915" width="73.5703125" customWidth="1"/>
    <col min="6916" max="6917" width="25.5703125" customWidth="1"/>
    <col min="6918" max="6918" width="21.5703125" customWidth="1"/>
    <col min="6919" max="6919" width="24" customWidth="1"/>
    <col min="6920" max="6920" width="25.5703125" customWidth="1"/>
    <col min="6921" max="6921" width="25.140625" customWidth="1"/>
    <col min="6922" max="6923" width="21.5703125" customWidth="1"/>
    <col min="7170" max="7170" width="3.140625" customWidth="1"/>
    <col min="7171" max="7171" width="73.5703125" customWidth="1"/>
    <col min="7172" max="7173" width="25.5703125" customWidth="1"/>
    <col min="7174" max="7174" width="21.5703125" customWidth="1"/>
    <col min="7175" max="7175" width="24" customWidth="1"/>
    <col min="7176" max="7176" width="25.5703125" customWidth="1"/>
    <col min="7177" max="7177" width="25.140625" customWidth="1"/>
    <col min="7178" max="7179" width="21.5703125" customWidth="1"/>
    <col min="7426" max="7426" width="3.140625" customWidth="1"/>
    <col min="7427" max="7427" width="73.5703125" customWidth="1"/>
    <col min="7428" max="7429" width="25.5703125" customWidth="1"/>
    <col min="7430" max="7430" width="21.5703125" customWidth="1"/>
    <col min="7431" max="7431" width="24" customWidth="1"/>
    <col min="7432" max="7432" width="25.5703125" customWidth="1"/>
    <col min="7433" max="7433" width="25.140625" customWidth="1"/>
    <col min="7434" max="7435" width="21.5703125" customWidth="1"/>
    <col min="7682" max="7682" width="3.140625" customWidth="1"/>
    <col min="7683" max="7683" width="73.5703125" customWidth="1"/>
    <col min="7684" max="7685" width="25.5703125" customWidth="1"/>
    <col min="7686" max="7686" width="21.5703125" customWidth="1"/>
    <col min="7687" max="7687" width="24" customWidth="1"/>
    <col min="7688" max="7688" width="25.5703125" customWidth="1"/>
    <col min="7689" max="7689" width="25.140625" customWidth="1"/>
    <col min="7690" max="7691" width="21.5703125" customWidth="1"/>
    <col min="7938" max="7938" width="3.140625" customWidth="1"/>
    <col min="7939" max="7939" width="73.5703125" customWidth="1"/>
    <col min="7940" max="7941" width="25.5703125" customWidth="1"/>
    <col min="7942" max="7942" width="21.5703125" customWidth="1"/>
    <col min="7943" max="7943" width="24" customWidth="1"/>
    <col min="7944" max="7944" width="25.5703125" customWidth="1"/>
    <col min="7945" max="7945" width="25.140625" customWidth="1"/>
    <col min="7946" max="7947" width="21.5703125" customWidth="1"/>
    <col min="8194" max="8194" width="3.140625" customWidth="1"/>
    <col min="8195" max="8195" width="73.5703125" customWidth="1"/>
    <col min="8196" max="8197" width="25.5703125" customWidth="1"/>
    <col min="8198" max="8198" width="21.5703125" customWidth="1"/>
    <col min="8199" max="8199" width="24" customWidth="1"/>
    <col min="8200" max="8200" width="25.5703125" customWidth="1"/>
    <col min="8201" max="8201" width="25.140625" customWidth="1"/>
    <col min="8202" max="8203" width="21.5703125" customWidth="1"/>
    <col min="8450" max="8450" width="3.140625" customWidth="1"/>
    <col min="8451" max="8451" width="73.5703125" customWidth="1"/>
    <col min="8452" max="8453" width="25.5703125" customWidth="1"/>
    <col min="8454" max="8454" width="21.5703125" customWidth="1"/>
    <col min="8455" max="8455" width="24" customWidth="1"/>
    <col min="8456" max="8456" width="25.5703125" customWidth="1"/>
    <col min="8457" max="8457" width="25.140625" customWidth="1"/>
    <col min="8458" max="8459" width="21.5703125" customWidth="1"/>
    <col min="8706" max="8706" width="3.140625" customWidth="1"/>
    <col min="8707" max="8707" width="73.5703125" customWidth="1"/>
    <col min="8708" max="8709" width="25.5703125" customWidth="1"/>
    <col min="8710" max="8710" width="21.5703125" customWidth="1"/>
    <col min="8711" max="8711" width="24" customWidth="1"/>
    <col min="8712" max="8712" width="25.5703125" customWidth="1"/>
    <col min="8713" max="8713" width="25.140625" customWidth="1"/>
    <col min="8714" max="8715" width="21.5703125" customWidth="1"/>
    <col min="8962" max="8962" width="3.140625" customWidth="1"/>
    <col min="8963" max="8963" width="73.5703125" customWidth="1"/>
    <col min="8964" max="8965" width="25.5703125" customWidth="1"/>
    <col min="8966" max="8966" width="21.5703125" customWidth="1"/>
    <col min="8967" max="8967" width="24" customWidth="1"/>
    <col min="8968" max="8968" width="25.5703125" customWidth="1"/>
    <col min="8969" max="8969" width="25.140625" customWidth="1"/>
    <col min="8970" max="8971" width="21.5703125" customWidth="1"/>
    <col min="9218" max="9218" width="3.140625" customWidth="1"/>
    <col min="9219" max="9219" width="73.5703125" customWidth="1"/>
    <col min="9220" max="9221" width="25.5703125" customWidth="1"/>
    <col min="9222" max="9222" width="21.5703125" customWidth="1"/>
    <col min="9223" max="9223" width="24" customWidth="1"/>
    <col min="9224" max="9224" width="25.5703125" customWidth="1"/>
    <col min="9225" max="9225" width="25.140625" customWidth="1"/>
    <col min="9226" max="9227" width="21.5703125" customWidth="1"/>
    <col min="9474" max="9474" width="3.140625" customWidth="1"/>
    <col min="9475" max="9475" width="73.5703125" customWidth="1"/>
    <col min="9476" max="9477" width="25.5703125" customWidth="1"/>
    <col min="9478" max="9478" width="21.5703125" customWidth="1"/>
    <col min="9479" max="9479" width="24" customWidth="1"/>
    <col min="9480" max="9480" width="25.5703125" customWidth="1"/>
    <col min="9481" max="9481" width="25.140625" customWidth="1"/>
    <col min="9482" max="9483" width="21.5703125" customWidth="1"/>
    <col min="9730" max="9730" width="3.140625" customWidth="1"/>
    <col min="9731" max="9731" width="73.5703125" customWidth="1"/>
    <col min="9732" max="9733" width="25.5703125" customWidth="1"/>
    <col min="9734" max="9734" width="21.5703125" customWidth="1"/>
    <col min="9735" max="9735" width="24" customWidth="1"/>
    <col min="9736" max="9736" width="25.5703125" customWidth="1"/>
    <col min="9737" max="9737" width="25.140625" customWidth="1"/>
    <col min="9738" max="9739" width="21.5703125" customWidth="1"/>
    <col min="9986" max="9986" width="3.140625" customWidth="1"/>
    <col min="9987" max="9987" width="73.5703125" customWidth="1"/>
    <col min="9988" max="9989" width="25.5703125" customWidth="1"/>
    <col min="9990" max="9990" width="21.5703125" customWidth="1"/>
    <col min="9991" max="9991" width="24" customWidth="1"/>
    <col min="9992" max="9992" width="25.5703125" customWidth="1"/>
    <col min="9993" max="9993" width="25.140625" customWidth="1"/>
    <col min="9994" max="9995" width="21.5703125" customWidth="1"/>
    <col min="10242" max="10242" width="3.140625" customWidth="1"/>
    <col min="10243" max="10243" width="73.5703125" customWidth="1"/>
    <col min="10244" max="10245" width="25.5703125" customWidth="1"/>
    <col min="10246" max="10246" width="21.5703125" customWidth="1"/>
    <col min="10247" max="10247" width="24" customWidth="1"/>
    <col min="10248" max="10248" width="25.5703125" customWidth="1"/>
    <col min="10249" max="10249" width="25.140625" customWidth="1"/>
    <col min="10250" max="10251" width="21.5703125" customWidth="1"/>
    <col min="10498" max="10498" width="3.140625" customWidth="1"/>
    <col min="10499" max="10499" width="73.5703125" customWidth="1"/>
    <col min="10500" max="10501" width="25.5703125" customWidth="1"/>
    <col min="10502" max="10502" width="21.5703125" customWidth="1"/>
    <col min="10503" max="10503" width="24" customWidth="1"/>
    <col min="10504" max="10504" width="25.5703125" customWidth="1"/>
    <col min="10505" max="10505" width="25.140625" customWidth="1"/>
    <col min="10506" max="10507" width="21.5703125" customWidth="1"/>
    <col min="10754" max="10754" width="3.140625" customWidth="1"/>
    <col min="10755" max="10755" width="73.5703125" customWidth="1"/>
    <col min="10756" max="10757" width="25.5703125" customWidth="1"/>
    <col min="10758" max="10758" width="21.5703125" customWidth="1"/>
    <col min="10759" max="10759" width="24" customWidth="1"/>
    <col min="10760" max="10760" width="25.5703125" customWidth="1"/>
    <col min="10761" max="10761" width="25.140625" customWidth="1"/>
    <col min="10762" max="10763" width="21.5703125" customWidth="1"/>
    <col min="11010" max="11010" width="3.140625" customWidth="1"/>
    <col min="11011" max="11011" width="73.5703125" customWidth="1"/>
    <col min="11012" max="11013" width="25.5703125" customWidth="1"/>
    <col min="11014" max="11014" width="21.5703125" customWidth="1"/>
    <col min="11015" max="11015" width="24" customWidth="1"/>
    <col min="11016" max="11016" width="25.5703125" customWidth="1"/>
    <col min="11017" max="11017" width="25.140625" customWidth="1"/>
    <col min="11018" max="11019" width="21.5703125" customWidth="1"/>
    <col min="11266" max="11266" width="3.140625" customWidth="1"/>
    <col min="11267" max="11267" width="73.5703125" customWidth="1"/>
    <col min="11268" max="11269" width="25.5703125" customWidth="1"/>
    <col min="11270" max="11270" width="21.5703125" customWidth="1"/>
    <col min="11271" max="11271" width="24" customWidth="1"/>
    <col min="11272" max="11272" width="25.5703125" customWidth="1"/>
    <col min="11273" max="11273" width="25.140625" customWidth="1"/>
    <col min="11274" max="11275" width="21.5703125" customWidth="1"/>
    <col min="11522" max="11522" width="3.140625" customWidth="1"/>
    <col min="11523" max="11523" width="73.5703125" customWidth="1"/>
    <col min="11524" max="11525" width="25.5703125" customWidth="1"/>
    <col min="11526" max="11526" width="21.5703125" customWidth="1"/>
    <col min="11527" max="11527" width="24" customWidth="1"/>
    <col min="11528" max="11528" width="25.5703125" customWidth="1"/>
    <col min="11529" max="11529" width="25.140625" customWidth="1"/>
    <col min="11530" max="11531" width="21.5703125" customWidth="1"/>
    <col min="11778" max="11778" width="3.140625" customWidth="1"/>
    <col min="11779" max="11779" width="73.5703125" customWidth="1"/>
    <col min="11780" max="11781" width="25.5703125" customWidth="1"/>
    <col min="11782" max="11782" width="21.5703125" customWidth="1"/>
    <col min="11783" max="11783" width="24" customWidth="1"/>
    <col min="11784" max="11784" width="25.5703125" customWidth="1"/>
    <col min="11785" max="11785" width="25.140625" customWidth="1"/>
    <col min="11786" max="11787" width="21.5703125" customWidth="1"/>
    <col min="12034" max="12034" width="3.140625" customWidth="1"/>
    <col min="12035" max="12035" width="73.5703125" customWidth="1"/>
    <col min="12036" max="12037" width="25.5703125" customWidth="1"/>
    <col min="12038" max="12038" width="21.5703125" customWidth="1"/>
    <col min="12039" max="12039" width="24" customWidth="1"/>
    <col min="12040" max="12040" width="25.5703125" customWidth="1"/>
    <col min="12041" max="12041" width="25.140625" customWidth="1"/>
    <col min="12042" max="12043" width="21.5703125" customWidth="1"/>
    <col min="12290" max="12290" width="3.140625" customWidth="1"/>
    <col min="12291" max="12291" width="73.5703125" customWidth="1"/>
    <col min="12292" max="12293" width="25.5703125" customWidth="1"/>
    <col min="12294" max="12294" width="21.5703125" customWidth="1"/>
    <col min="12295" max="12295" width="24" customWidth="1"/>
    <col min="12296" max="12296" width="25.5703125" customWidth="1"/>
    <col min="12297" max="12297" width="25.140625" customWidth="1"/>
    <col min="12298" max="12299" width="21.5703125" customWidth="1"/>
    <col min="12546" max="12546" width="3.140625" customWidth="1"/>
    <col min="12547" max="12547" width="73.5703125" customWidth="1"/>
    <col min="12548" max="12549" width="25.5703125" customWidth="1"/>
    <col min="12550" max="12550" width="21.5703125" customWidth="1"/>
    <col min="12551" max="12551" width="24" customWidth="1"/>
    <col min="12552" max="12552" width="25.5703125" customWidth="1"/>
    <col min="12553" max="12553" width="25.140625" customWidth="1"/>
    <col min="12554" max="12555" width="21.5703125" customWidth="1"/>
    <col min="12802" max="12802" width="3.140625" customWidth="1"/>
    <col min="12803" max="12803" width="73.5703125" customWidth="1"/>
    <col min="12804" max="12805" width="25.5703125" customWidth="1"/>
    <col min="12806" max="12806" width="21.5703125" customWidth="1"/>
    <col min="12807" max="12807" width="24" customWidth="1"/>
    <col min="12808" max="12808" width="25.5703125" customWidth="1"/>
    <col min="12809" max="12809" width="25.140625" customWidth="1"/>
    <col min="12810" max="12811" width="21.5703125" customWidth="1"/>
    <col min="13058" max="13058" width="3.140625" customWidth="1"/>
    <col min="13059" max="13059" width="73.5703125" customWidth="1"/>
    <col min="13060" max="13061" width="25.5703125" customWidth="1"/>
    <col min="13062" max="13062" width="21.5703125" customWidth="1"/>
    <col min="13063" max="13063" width="24" customWidth="1"/>
    <col min="13064" max="13064" width="25.5703125" customWidth="1"/>
    <col min="13065" max="13065" width="25.140625" customWidth="1"/>
    <col min="13066" max="13067" width="21.5703125" customWidth="1"/>
    <col min="13314" max="13314" width="3.140625" customWidth="1"/>
    <col min="13315" max="13315" width="73.5703125" customWidth="1"/>
    <col min="13316" max="13317" width="25.5703125" customWidth="1"/>
    <col min="13318" max="13318" width="21.5703125" customWidth="1"/>
    <col min="13319" max="13319" width="24" customWidth="1"/>
    <col min="13320" max="13320" width="25.5703125" customWidth="1"/>
    <col min="13321" max="13321" width="25.140625" customWidth="1"/>
    <col min="13322" max="13323" width="21.5703125" customWidth="1"/>
    <col min="13570" max="13570" width="3.140625" customWidth="1"/>
    <col min="13571" max="13571" width="73.5703125" customWidth="1"/>
    <col min="13572" max="13573" width="25.5703125" customWidth="1"/>
    <col min="13574" max="13574" width="21.5703125" customWidth="1"/>
    <col min="13575" max="13575" width="24" customWidth="1"/>
    <col min="13576" max="13576" width="25.5703125" customWidth="1"/>
    <col min="13577" max="13577" width="25.140625" customWidth="1"/>
    <col min="13578" max="13579" width="21.5703125" customWidth="1"/>
    <col min="13826" max="13826" width="3.140625" customWidth="1"/>
    <col min="13827" max="13827" width="73.5703125" customWidth="1"/>
    <col min="13828" max="13829" width="25.5703125" customWidth="1"/>
    <col min="13830" max="13830" width="21.5703125" customWidth="1"/>
    <col min="13831" max="13831" width="24" customWidth="1"/>
    <col min="13832" max="13832" width="25.5703125" customWidth="1"/>
    <col min="13833" max="13833" width="25.140625" customWidth="1"/>
    <col min="13834" max="13835" width="21.5703125" customWidth="1"/>
    <col min="14082" max="14082" width="3.140625" customWidth="1"/>
    <col min="14083" max="14083" width="73.5703125" customWidth="1"/>
    <col min="14084" max="14085" width="25.5703125" customWidth="1"/>
    <col min="14086" max="14086" width="21.5703125" customWidth="1"/>
    <col min="14087" max="14087" width="24" customWidth="1"/>
    <col min="14088" max="14088" width="25.5703125" customWidth="1"/>
    <col min="14089" max="14089" width="25.140625" customWidth="1"/>
    <col min="14090" max="14091" width="21.5703125" customWidth="1"/>
    <col min="14338" max="14338" width="3.140625" customWidth="1"/>
    <col min="14339" max="14339" width="73.5703125" customWidth="1"/>
    <col min="14340" max="14341" width="25.5703125" customWidth="1"/>
    <col min="14342" max="14342" width="21.5703125" customWidth="1"/>
    <col min="14343" max="14343" width="24" customWidth="1"/>
    <col min="14344" max="14344" width="25.5703125" customWidth="1"/>
    <col min="14345" max="14345" width="25.140625" customWidth="1"/>
    <col min="14346" max="14347" width="21.5703125" customWidth="1"/>
    <col min="14594" max="14594" width="3.140625" customWidth="1"/>
    <col min="14595" max="14595" width="73.5703125" customWidth="1"/>
    <col min="14596" max="14597" width="25.5703125" customWidth="1"/>
    <col min="14598" max="14598" width="21.5703125" customWidth="1"/>
    <col min="14599" max="14599" width="24" customWidth="1"/>
    <col min="14600" max="14600" width="25.5703125" customWidth="1"/>
    <col min="14601" max="14601" width="25.140625" customWidth="1"/>
    <col min="14602" max="14603" width="21.5703125" customWidth="1"/>
    <col min="14850" max="14850" width="3.140625" customWidth="1"/>
    <col min="14851" max="14851" width="73.5703125" customWidth="1"/>
    <col min="14852" max="14853" width="25.5703125" customWidth="1"/>
    <col min="14854" max="14854" width="21.5703125" customWidth="1"/>
    <col min="14855" max="14855" width="24" customWidth="1"/>
    <col min="14856" max="14856" width="25.5703125" customWidth="1"/>
    <col min="14857" max="14857" width="25.140625" customWidth="1"/>
    <col min="14858" max="14859" width="21.5703125" customWidth="1"/>
    <col min="15106" max="15106" width="3.140625" customWidth="1"/>
    <col min="15107" max="15107" width="73.5703125" customWidth="1"/>
    <col min="15108" max="15109" width="25.5703125" customWidth="1"/>
    <col min="15110" max="15110" width="21.5703125" customWidth="1"/>
    <col min="15111" max="15111" width="24" customWidth="1"/>
    <col min="15112" max="15112" width="25.5703125" customWidth="1"/>
    <col min="15113" max="15113" width="25.140625" customWidth="1"/>
    <col min="15114" max="15115" width="21.5703125" customWidth="1"/>
    <col min="15362" max="15362" width="3.140625" customWidth="1"/>
    <col min="15363" max="15363" width="73.5703125" customWidth="1"/>
    <col min="15364" max="15365" width="25.5703125" customWidth="1"/>
    <col min="15366" max="15366" width="21.5703125" customWidth="1"/>
    <col min="15367" max="15367" width="24" customWidth="1"/>
    <col min="15368" max="15368" width="25.5703125" customWidth="1"/>
    <col min="15369" max="15369" width="25.140625" customWidth="1"/>
    <col min="15370" max="15371" width="21.5703125" customWidth="1"/>
    <col min="15618" max="15618" width="3.140625" customWidth="1"/>
    <col min="15619" max="15619" width="73.5703125" customWidth="1"/>
    <col min="15620" max="15621" width="25.5703125" customWidth="1"/>
    <col min="15622" max="15622" width="21.5703125" customWidth="1"/>
    <col min="15623" max="15623" width="24" customWidth="1"/>
    <col min="15624" max="15624" width="25.5703125" customWidth="1"/>
    <col min="15625" max="15625" width="25.140625" customWidth="1"/>
    <col min="15626" max="15627" width="21.5703125" customWidth="1"/>
    <col min="15874" max="15874" width="3.140625" customWidth="1"/>
    <col min="15875" max="15875" width="73.5703125" customWidth="1"/>
    <col min="15876" max="15877" width="25.5703125" customWidth="1"/>
    <col min="15878" max="15878" width="21.5703125" customWidth="1"/>
    <col min="15879" max="15879" width="24" customWidth="1"/>
    <col min="15880" max="15880" width="25.5703125" customWidth="1"/>
    <col min="15881" max="15881" width="25.140625" customWidth="1"/>
    <col min="15882" max="15883" width="21.5703125" customWidth="1"/>
    <col min="16130" max="16130" width="3.140625" customWidth="1"/>
    <col min="16131" max="16131" width="73.5703125" customWidth="1"/>
    <col min="16132" max="16133" width="25.5703125" customWidth="1"/>
    <col min="16134" max="16134" width="21.5703125" customWidth="1"/>
    <col min="16135" max="16135" width="24" customWidth="1"/>
    <col min="16136" max="16136" width="25.5703125" customWidth="1"/>
    <col min="16137" max="16137" width="25.140625" customWidth="1"/>
    <col min="16138" max="16139" width="21.5703125" customWidth="1"/>
  </cols>
  <sheetData>
    <row r="1" spans="1:11" ht="21" x14ac:dyDescent="0.35">
      <c r="A1" s="83"/>
      <c r="B1" s="83"/>
      <c r="C1" s="83"/>
      <c r="D1" s="83"/>
      <c r="E1" s="18"/>
      <c r="F1" s="18"/>
      <c r="G1" s="18"/>
      <c r="H1" s="18"/>
      <c r="I1" s="18"/>
      <c r="J1" s="18"/>
      <c r="K1" s="18"/>
    </row>
    <row r="2" spans="1:11" ht="28.5" x14ac:dyDescent="0.45">
      <c r="A2" s="84" t="s">
        <v>176</v>
      </c>
      <c r="B2" s="84"/>
      <c r="C2" s="85"/>
      <c r="D2" s="85"/>
      <c r="E2" s="86"/>
      <c r="F2" s="86"/>
      <c r="G2" s="86"/>
      <c r="H2" s="86"/>
      <c r="I2" s="87"/>
      <c r="J2" s="87"/>
      <c r="K2" s="88"/>
    </row>
    <row r="3" spans="1:11" ht="15.75" x14ac:dyDescent="0.25">
      <c r="A3" s="87"/>
      <c r="B3" s="87"/>
      <c r="C3" s="88"/>
      <c r="D3" s="86"/>
      <c r="E3" s="86"/>
      <c r="F3" s="86"/>
      <c r="G3" s="86"/>
      <c r="H3" s="86"/>
      <c r="I3" s="86"/>
      <c r="J3" s="87"/>
      <c r="K3" s="87"/>
    </row>
    <row r="4" spans="1:11" ht="39.75" customHeight="1" x14ac:dyDescent="0.25">
      <c r="A4" s="303" t="s">
        <v>177</v>
      </c>
      <c r="B4" s="297" t="s">
        <v>2</v>
      </c>
      <c r="C4" s="297"/>
      <c r="D4" s="305" t="s">
        <v>178</v>
      </c>
      <c r="E4" s="305" t="s">
        <v>179</v>
      </c>
      <c r="F4" s="297" t="s">
        <v>180</v>
      </c>
      <c r="G4" s="303" t="s">
        <v>181</v>
      </c>
      <c r="H4" s="297" t="s">
        <v>182</v>
      </c>
      <c r="I4" s="297" t="s">
        <v>183</v>
      </c>
      <c r="J4" s="297" t="s">
        <v>184</v>
      </c>
      <c r="K4" s="297" t="s">
        <v>185</v>
      </c>
    </row>
    <row r="5" spans="1:11" ht="39.75" customHeight="1" x14ac:dyDescent="0.25">
      <c r="A5" s="304"/>
      <c r="B5" s="297"/>
      <c r="C5" s="297"/>
      <c r="D5" s="305"/>
      <c r="E5" s="305"/>
      <c r="F5" s="297"/>
      <c r="G5" s="304"/>
      <c r="H5" s="297"/>
      <c r="I5" s="297"/>
      <c r="J5" s="297"/>
      <c r="K5" s="297"/>
    </row>
    <row r="6" spans="1:11" ht="21" customHeight="1" x14ac:dyDescent="0.25">
      <c r="A6" s="89">
        <v>12</v>
      </c>
      <c r="B6" s="298" t="s">
        <v>186</v>
      </c>
      <c r="C6" s="299"/>
      <c r="D6" s="299"/>
      <c r="E6" s="299"/>
      <c r="F6" s="299"/>
      <c r="G6" s="299"/>
      <c r="H6" s="299"/>
      <c r="I6" s="299"/>
      <c r="J6" s="299"/>
      <c r="K6" s="299"/>
    </row>
    <row r="7" spans="1:11" ht="21" x14ac:dyDescent="0.35">
      <c r="A7" s="89">
        <f>A6+1</f>
        <v>13</v>
      </c>
      <c r="B7" s="300"/>
      <c r="C7" s="90" t="s">
        <v>187</v>
      </c>
      <c r="D7" s="91"/>
      <c r="E7" s="91"/>
      <c r="F7" s="92">
        <f>+D7-E7</f>
        <v>0</v>
      </c>
      <c r="G7" s="92"/>
      <c r="H7" s="92">
        <f t="shared" ref="H7:H24" si="0">+F7</f>
        <v>0</v>
      </c>
      <c r="I7" s="91">
        <v>0</v>
      </c>
      <c r="J7" s="92">
        <f t="shared" ref="J7:J24" si="1">I7-H7</f>
        <v>0</v>
      </c>
      <c r="K7" s="93">
        <f>IF(F7=" ",0,IF(F7=0,0,H7/F7))</f>
        <v>0</v>
      </c>
    </row>
    <row r="8" spans="1:11" ht="21" x14ac:dyDescent="0.35">
      <c r="A8" s="89">
        <f t="shared" ref="A8:A45" si="2">A7+1</f>
        <v>14</v>
      </c>
      <c r="B8" s="301"/>
      <c r="C8" s="90" t="s">
        <v>188</v>
      </c>
      <c r="D8" s="91"/>
      <c r="E8" s="91"/>
      <c r="F8" s="92">
        <f>+D8-E8</f>
        <v>0</v>
      </c>
      <c r="G8" s="92"/>
      <c r="H8" s="92">
        <v>0</v>
      </c>
      <c r="I8" s="91">
        <v>0</v>
      </c>
      <c r="J8" s="92">
        <f t="shared" si="1"/>
        <v>0</v>
      </c>
      <c r="K8" s="93">
        <f t="shared" ref="K8:K24" si="3">IF(F8=" ",0,IF(F8=0,0,H8/F8))</f>
        <v>0</v>
      </c>
    </row>
    <row r="9" spans="1:11" ht="21" x14ac:dyDescent="0.35">
      <c r="A9" s="89">
        <f t="shared" si="2"/>
        <v>15</v>
      </c>
      <c r="B9" s="301"/>
      <c r="C9" s="142" t="s">
        <v>189</v>
      </c>
      <c r="D9" s="91">
        <f>+CXC!D27</f>
        <v>59000000</v>
      </c>
      <c r="E9" s="91">
        <f>+CXC!E27</f>
        <v>63020000</v>
      </c>
      <c r="F9" s="92">
        <f>+D9-E9</f>
        <v>-4020000</v>
      </c>
      <c r="G9" s="92"/>
      <c r="H9" s="92">
        <f>+CXC!E29</f>
        <v>1407000</v>
      </c>
      <c r="I9" s="91">
        <v>0</v>
      </c>
      <c r="J9" s="92">
        <f>+H9-I9</f>
        <v>1407000</v>
      </c>
      <c r="K9" s="93">
        <f t="shared" si="3"/>
        <v>-0.35</v>
      </c>
    </row>
    <row r="10" spans="1:11" ht="21" x14ac:dyDescent="0.35">
      <c r="A10" s="89">
        <f t="shared" si="2"/>
        <v>16</v>
      </c>
      <c r="B10" s="301"/>
      <c r="C10" s="142" t="s">
        <v>47</v>
      </c>
      <c r="D10" s="91">
        <f>+INVENTARIOS!D24</f>
        <v>66725000</v>
      </c>
      <c r="E10" s="91">
        <f>+INVENTARIOS!E24</f>
        <v>78500000</v>
      </c>
      <c r="F10" s="92">
        <f>+D10-E10</f>
        <v>-11775000</v>
      </c>
      <c r="G10" s="92"/>
      <c r="H10" s="92">
        <f>+INVENTARIOS!G25</f>
        <v>4121249.9999999995</v>
      </c>
      <c r="I10" s="91">
        <v>0</v>
      </c>
      <c r="J10" s="92">
        <f t="shared" ref="J10:J23" si="4">+H10-I10</f>
        <v>4121249.9999999995</v>
      </c>
      <c r="K10" s="93">
        <f t="shared" si="3"/>
        <v>-0.35</v>
      </c>
    </row>
    <row r="11" spans="1:11" ht="21" x14ac:dyDescent="0.35">
      <c r="A11" s="89">
        <f t="shared" si="2"/>
        <v>17</v>
      </c>
      <c r="B11" s="301"/>
      <c r="C11" s="142" t="s">
        <v>190</v>
      </c>
      <c r="D11" s="91">
        <f>+PPYE!C57+PPYE!D57</f>
        <v>147000000</v>
      </c>
      <c r="E11" s="91">
        <f>+PPYE!C58+PPYE!D58</f>
        <v>153500000</v>
      </c>
      <c r="F11" s="92">
        <f>+D11-E11</f>
        <v>-6500000</v>
      </c>
      <c r="G11" s="92"/>
      <c r="H11" s="92">
        <f>+PPYE!D61</f>
        <v>975000</v>
      </c>
      <c r="I11" s="91">
        <v>0</v>
      </c>
      <c r="J11" s="92">
        <f t="shared" si="4"/>
        <v>975000</v>
      </c>
      <c r="K11" s="93">
        <f t="shared" si="3"/>
        <v>-0.15</v>
      </c>
    </row>
    <row r="12" spans="1:11" ht="21" x14ac:dyDescent="0.35">
      <c r="A12" s="89">
        <f t="shared" si="2"/>
        <v>18</v>
      </c>
      <c r="B12" s="301"/>
      <c r="C12" s="90" t="s">
        <v>191</v>
      </c>
      <c r="D12" s="91"/>
      <c r="E12" s="91"/>
      <c r="F12" s="92">
        <f t="shared" ref="F12:F24" si="5">+D12-E12</f>
        <v>0</v>
      </c>
      <c r="G12" s="92"/>
      <c r="H12" s="92"/>
      <c r="I12" s="91">
        <v>0</v>
      </c>
      <c r="J12" s="92">
        <f t="shared" si="4"/>
        <v>0</v>
      </c>
      <c r="K12" s="93">
        <f t="shared" si="3"/>
        <v>0</v>
      </c>
    </row>
    <row r="13" spans="1:11" ht="21" x14ac:dyDescent="0.35">
      <c r="A13" s="89">
        <f t="shared" si="2"/>
        <v>19</v>
      </c>
      <c r="B13" s="301"/>
      <c r="C13" s="90" t="s">
        <v>192</v>
      </c>
      <c r="D13" s="91"/>
      <c r="E13" s="91"/>
      <c r="F13" s="92">
        <f t="shared" si="5"/>
        <v>0</v>
      </c>
      <c r="G13" s="92"/>
      <c r="H13" s="92"/>
      <c r="I13" s="91">
        <v>0</v>
      </c>
      <c r="J13" s="92">
        <f t="shared" si="4"/>
        <v>0</v>
      </c>
      <c r="K13" s="93">
        <f t="shared" si="3"/>
        <v>0</v>
      </c>
    </row>
    <row r="14" spans="1:11" ht="21" x14ac:dyDescent="0.35">
      <c r="A14" s="89">
        <f t="shared" si="2"/>
        <v>20</v>
      </c>
      <c r="B14" s="301"/>
      <c r="C14" s="90" t="s">
        <v>193</v>
      </c>
      <c r="D14" s="91"/>
      <c r="E14" s="91"/>
      <c r="F14" s="92">
        <f t="shared" si="5"/>
        <v>0</v>
      </c>
      <c r="G14" s="92"/>
      <c r="H14" s="92"/>
      <c r="I14" s="91">
        <v>0</v>
      </c>
      <c r="J14" s="92">
        <f t="shared" si="4"/>
        <v>0</v>
      </c>
      <c r="K14" s="93">
        <f t="shared" si="3"/>
        <v>0</v>
      </c>
    </row>
    <row r="15" spans="1:11" ht="42" x14ac:dyDescent="0.35">
      <c r="A15" s="89">
        <f t="shared" si="2"/>
        <v>21</v>
      </c>
      <c r="B15" s="301"/>
      <c r="C15" s="90" t="s">
        <v>194</v>
      </c>
      <c r="D15" s="91"/>
      <c r="E15" s="91"/>
      <c r="F15" s="92">
        <f t="shared" si="5"/>
        <v>0</v>
      </c>
      <c r="G15" s="92"/>
      <c r="H15" s="92"/>
      <c r="I15" s="91">
        <v>0</v>
      </c>
      <c r="J15" s="92">
        <f t="shared" si="4"/>
        <v>0</v>
      </c>
      <c r="K15" s="93">
        <f t="shared" si="3"/>
        <v>0</v>
      </c>
    </row>
    <row r="16" spans="1:11" ht="21" x14ac:dyDescent="0.35">
      <c r="A16" s="89">
        <f t="shared" si="2"/>
        <v>22</v>
      </c>
      <c r="B16" s="301"/>
      <c r="C16" s="142" t="s">
        <v>195</v>
      </c>
      <c r="D16" s="91">
        <f>+PASIVO!D24</f>
        <v>48000000</v>
      </c>
      <c r="E16" s="91">
        <f>+PASIVO!D25</f>
        <v>45000000</v>
      </c>
      <c r="F16" s="92">
        <f t="shared" si="5"/>
        <v>3000000</v>
      </c>
      <c r="G16" s="92"/>
      <c r="H16" s="92">
        <f>+PASIVO!E26</f>
        <v>1050000</v>
      </c>
      <c r="I16" s="91">
        <v>0</v>
      </c>
      <c r="J16" s="92">
        <f t="shared" si="4"/>
        <v>1050000</v>
      </c>
      <c r="K16" s="93">
        <f t="shared" si="3"/>
        <v>0.35</v>
      </c>
    </row>
    <row r="17" spans="1:11" ht="21" x14ac:dyDescent="0.35">
      <c r="A17" s="89">
        <f t="shared" si="2"/>
        <v>23</v>
      </c>
      <c r="B17" s="301"/>
      <c r="C17" s="90" t="s">
        <v>196</v>
      </c>
      <c r="D17" s="91">
        <v>0</v>
      </c>
      <c r="E17" s="91">
        <v>0</v>
      </c>
      <c r="F17" s="92">
        <f t="shared" si="5"/>
        <v>0</v>
      </c>
      <c r="G17" s="92"/>
      <c r="H17" s="92">
        <f t="shared" si="0"/>
        <v>0</v>
      </c>
      <c r="I17" s="91">
        <v>0</v>
      </c>
      <c r="J17" s="92">
        <f t="shared" si="4"/>
        <v>0</v>
      </c>
      <c r="K17" s="93">
        <f t="shared" si="3"/>
        <v>0</v>
      </c>
    </row>
    <row r="18" spans="1:11" ht="21" x14ac:dyDescent="0.35">
      <c r="A18" s="89">
        <f t="shared" si="2"/>
        <v>24</v>
      </c>
      <c r="B18" s="301"/>
      <c r="C18" s="90" t="s">
        <v>197</v>
      </c>
      <c r="D18" s="91">
        <v>0</v>
      </c>
      <c r="E18" s="91">
        <v>0</v>
      </c>
      <c r="F18" s="92">
        <f t="shared" si="5"/>
        <v>0</v>
      </c>
      <c r="G18" s="92"/>
      <c r="H18" s="92">
        <f t="shared" si="0"/>
        <v>0</v>
      </c>
      <c r="I18" s="91">
        <v>0</v>
      </c>
      <c r="J18" s="92">
        <f t="shared" si="4"/>
        <v>0</v>
      </c>
      <c r="K18" s="93">
        <f t="shared" si="3"/>
        <v>0</v>
      </c>
    </row>
    <row r="19" spans="1:11" ht="21" x14ac:dyDescent="0.35">
      <c r="A19" s="89">
        <f t="shared" si="2"/>
        <v>25</v>
      </c>
      <c r="B19" s="301"/>
      <c r="C19" s="90" t="s">
        <v>99</v>
      </c>
      <c r="D19" s="91">
        <v>0</v>
      </c>
      <c r="E19" s="91">
        <v>0</v>
      </c>
      <c r="F19" s="92">
        <f t="shared" si="5"/>
        <v>0</v>
      </c>
      <c r="G19" s="92"/>
      <c r="H19" s="92">
        <f t="shared" si="0"/>
        <v>0</v>
      </c>
      <c r="I19" s="91">
        <v>0</v>
      </c>
      <c r="J19" s="92">
        <f t="shared" si="4"/>
        <v>0</v>
      </c>
      <c r="K19" s="93">
        <f t="shared" si="3"/>
        <v>0</v>
      </c>
    </row>
    <row r="20" spans="1:11" ht="21" x14ac:dyDescent="0.35">
      <c r="A20" s="89">
        <f t="shared" si="2"/>
        <v>26</v>
      </c>
      <c r="B20" s="301"/>
      <c r="C20" s="90" t="s">
        <v>198</v>
      </c>
      <c r="D20" s="91">
        <v>0</v>
      </c>
      <c r="E20" s="91">
        <v>0</v>
      </c>
      <c r="F20" s="92">
        <f t="shared" si="5"/>
        <v>0</v>
      </c>
      <c r="G20" s="92"/>
      <c r="H20" s="92">
        <f t="shared" si="0"/>
        <v>0</v>
      </c>
      <c r="I20" s="91">
        <v>0</v>
      </c>
      <c r="J20" s="92">
        <f t="shared" si="4"/>
        <v>0</v>
      </c>
      <c r="K20" s="93">
        <f t="shared" si="3"/>
        <v>0</v>
      </c>
    </row>
    <row r="21" spans="1:11" ht="21" x14ac:dyDescent="0.35">
      <c r="A21" s="89">
        <f t="shared" si="2"/>
        <v>27</v>
      </c>
      <c r="B21" s="301"/>
      <c r="C21" s="90" t="s">
        <v>199</v>
      </c>
      <c r="D21" s="91">
        <v>0</v>
      </c>
      <c r="E21" s="91">
        <v>0</v>
      </c>
      <c r="F21" s="92">
        <f t="shared" si="5"/>
        <v>0</v>
      </c>
      <c r="G21" s="92"/>
      <c r="H21" s="92">
        <f t="shared" si="0"/>
        <v>0</v>
      </c>
      <c r="I21" s="91">
        <v>0</v>
      </c>
      <c r="J21" s="92">
        <f t="shared" si="4"/>
        <v>0</v>
      </c>
      <c r="K21" s="93">
        <f t="shared" si="3"/>
        <v>0</v>
      </c>
    </row>
    <row r="22" spans="1:11" ht="21" x14ac:dyDescent="0.35">
      <c r="A22" s="89">
        <f t="shared" si="2"/>
        <v>28</v>
      </c>
      <c r="B22" s="301"/>
      <c r="C22" s="90" t="s">
        <v>200</v>
      </c>
      <c r="D22" s="91">
        <v>0</v>
      </c>
      <c r="E22" s="91">
        <v>0</v>
      </c>
      <c r="F22" s="92">
        <f t="shared" si="5"/>
        <v>0</v>
      </c>
      <c r="G22" s="94"/>
      <c r="H22" s="92">
        <f t="shared" si="0"/>
        <v>0</v>
      </c>
      <c r="I22" s="91">
        <v>0</v>
      </c>
      <c r="J22" s="92">
        <f t="shared" si="4"/>
        <v>0</v>
      </c>
      <c r="K22" s="93">
        <f t="shared" si="3"/>
        <v>0</v>
      </c>
    </row>
    <row r="23" spans="1:11" ht="21" x14ac:dyDescent="0.35">
      <c r="A23" s="89">
        <f t="shared" si="2"/>
        <v>29</v>
      </c>
      <c r="B23" s="301"/>
      <c r="C23" s="90" t="s">
        <v>201</v>
      </c>
      <c r="D23" s="91">
        <v>0</v>
      </c>
      <c r="E23" s="91">
        <v>0</v>
      </c>
      <c r="F23" s="92">
        <f t="shared" si="5"/>
        <v>0</v>
      </c>
      <c r="G23" s="94"/>
      <c r="H23" s="92">
        <f t="shared" si="0"/>
        <v>0</v>
      </c>
      <c r="I23" s="91">
        <v>0</v>
      </c>
      <c r="J23" s="92">
        <f t="shared" si="4"/>
        <v>0</v>
      </c>
      <c r="K23" s="93">
        <f t="shared" si="3"/>
        <v>0</v>
      </c>
    </row>
    <row r="24" spans="1:11" ht="20.25" x14ac:dyDescent="0.3">
      <c r="A24" s="89">
        <f t="shared" si="2"/>
        <v>30</v>
      </c>
      <c r="B24" s="301"/>
      <c r="C24" s="95" t="s">
        <v>202</v>
      </c>
      <c r="D24" s="91">
        <v>0</v>
      </c>
      <c r="E24" s="91">
        <v>0</v>
      </c>
      <c r="F24" s="92">
        <f t="shared" si="5"/>
        <v>0</v>
      </c>
      <c r="G24" s="94"/>
      <c r="H24" s="92">
        <f t="shared" si="0"/>
        <v>0</v>
      </c>
      <c r="I24" s="91">
        <v>0</v>
      </c>
      <c r="J24" s="92">
        <f t="shared" si="1"/>
        <v>0</v>
      </c>
      <c r="K24" s="93">
        <f t="shared" si="3"/>
        <v>0</v>
      </c>
    </row>
    <row r="25" spans="1:11" ht="20.25" x14ac:dyDescent="0.3">
      <c r="A25" s="89">
        <f t="shared" si="2"/>
        <v>31</v>
      </c>
      <c r="B25" s="302"/>
      <c r="C25" s="189" t="s">
        <v>203</v>
      </c>
      <c r="D25" s="190">
        <f>SUM(D7:D24)</f>
        <v>320725000</v>
      </c>
      <c r="E25" s="190">
        <f>SUM(E7:E24)</f>
        <v>340020000</v>
      </c>
      <c r="F25" s="191"/>
      <c r="G25" s="191"/>
      <c r="H25" s="317">
        <f>SUM(H7:H24)</f>
        <v>7553250</v>
      </c>
      <c r="I25" s="192">
        <f>SUM(I7:I24)</f>
        <v>0</v>
      </c>
      <c r="J25" s="192">
        <f>SUM(J7:J24)</f>
        <v>7553250</v>
      </c>
      <c r="K25" s="96"/>
    </row>
    <row r="26" spans="1:11" ht="21" customHeight="1" x14ac:dyDescent="0.25">
      <c r="A26" s="89">
        <f t="shared" si="2"/>
        <v>32</v>
      </c>
      <c r="B26" s="291" t="s">
        <v>204</v>
      </c>
      <c r="C26" s="292"/>
      <c r="D26" s="292"/>
      <c r="E26" s="292"/>
      <c r="F26" s="292"/>
      <c r="G26" s="292"/>
      <c r="H26" s="292"/>
      <c r="I26" s="292"/>
      <c r="J26" s="292"/>
      <c r="K26" s="293"/>
    </row>
    <row r="27" spans="1:11" ht="21" x14ac:dyDescent="0.35">
      <c r="A27" s="89">
        <f t="shared" si="2"/>
        <v>33</v>
      </c>
      <c r="B27" s="294"/>
      <c r="C27" s="90" t="s">
        <v>187</v>
      </c>
      <c r="D27" s="94"/>
      <c r="E27" s="94"/>
      <c r="F27" s="94"/>
      <c r="G27" s="94"/>
      <c r="H27" s="94"/>
      <c r="I27" s="94"/>
      <c r="J27" s="92">
        <f t="shared" ref="J27:J44" si="6">I27-H27</f>
        <v>0</v>
      </c>
      <c r="K27" s="93">
        <f>IF(F27=" ",0,IF(F27=0,0,H27/F27))</f>
        <v>0</v>
      </c>
    </row>
    <row r="28" spans="1:11" ht="21" x14ac:dyDescent="0.35">
      <c r="A28" s="89">
        <f t="shared" si="2"/>
        <v>34</v>
      </c>
      <c r="B28" s="294"/>
      <c r="C28" s="142" t="s">
        <v>188</v>
      </c>
      <c r="D28" s="97">
        <f>+INVERSIONES!D41</f>
        <v>74000000</v>
      </c>
      <c r="E28" s="97">
        <f>+INVERSIONES!D42</f>
        <v>71000000</v>
      </c>
      <c r="F28" s="92">
        <f>+D28-E28</f>
        <v>3000000</v>
      </c>
      <c r="G28" s="94"/>
      <c r="H28" s="92">
        <f>+INVERSIONES!D44</f>
        <v>450000</v>
      </c>
      <c r="I28" s="91">
        <v>0</v>
      </c>
      <c r="J28" s="92">
        <f>+H28-I28</f>
        <v>450000</v>
      </c>
      <c r="K28" s="93">
        <f t="shared" ref="K28:K44" si="7">IF(F28=" ",0,IF(F28=0,0,H28/F28))</f>
        <v>0.15</v>
      </c>
    </row>
    <row r="29" spans="1:11" ht="21" x14ac:dyDescent="0.35">
      <c r="A29" s="89">
        <f t="shared" si="2"/>
        <v>35</v>
      </c>
      <c r="B29" s="294"/>
      <c r="C29" s="90" t="s">
        <v>189</v>
      </c>
      <c r="D29" s="94"/>
      <c r="E29" s="94"/>
      <c r="F29" s="92">
        <f t="shared" ref="F29:F31" si="8">+D29-E29</f>
        <v>0</v>
      </c>
      <c r="G29" s="94"/>
      <c r="H29" s="94"/>
      <c r="I29" s="94"/>
      <c r="J29" s="92">
        <f t="shared" ref="J29:J34" si="9">+H29-I29</f>
        <v>0</v>
      </c>
      <c r="K29" s="93">
        <f t="shared" si="7"/>
        <v>0</v>
      </c>
    </row>
    <row r="30" spans="1:11" ht="21" x14ac:dyDescent="0.35">
      <c r="A30" s="89">
        <f t="shared" si="2"/>
        <v>36</v>
      </c>
      <c r="B30" s="294"/>
      <c r="C30" s="90" t="s">
        <v>47</v>
      </c>
      <c r="D30" s="94"/>
      <c r="E30" s="94"/>
      <c r="F30" s="92">
        <f t="shared" si="8"/>
        <v>0</v>
      </c>
      <c r="G30" s="94"/>
      <c r="H30" s="94"/>
      <c r="I30" s="94"/>
      <c r="J30" s="92">
        <f t="shared" si="9"/>
        <v>0</v>
      </c>
      <c r="K30" s="93">
        <f t="shared" si="7"/>
        <v>0</v>
      </c>
    </row>
    <row r="31" spans="1:11" ht="21" x14ac:dyDescent="0.35">
      <c r="A31" s="89">
        <f t="shared" si="2"/>
        <v>37</v>
      </c>
      <c r="B31" s="294"/>
      <c r="C31" s="142" t="s">
        <v>190</v>
      </c>
      <c r="D31" s="143">
        <f>+PPYE!C41+PPYE!D41</f>
        <v>630000000</v>
      </c>
      <c r="E31" s="143">
        <f>+PPYE!C42+PPYE!D42</f>
        <v>500000000</v>
      </c>
      <c r="F31" s="92">
        <f t="shared" si="8"/>
        <v>130000000</v>
      </c>
      <c r="G31" s="94"/>
      <c r="H31" s="143">
        <f>+PPYE!C44+PPYE!D44</f>
        <v>19500000</v>
      </c>
      <c r="I31" s="94"/>
      <c r="J31" s="92">
        <f t="shared" si="9"/>
        <v>19500000</v>
      </c>
      <c r="K31" s="93">
        <f t="shared" si="7"/>
        <v>0.15</v>
      </c>
    </row>
    <row r="32" spans="1:11" ht="21" x14ac:dyDescent="0.35">
      <c r="A32" s="89">
        <f t="shared" si="2"/>
        <v>38</v>
      </c>
      <c r="B32" s="294"/>
      <c r="C32" s="90" t="s">
        <v>191</v>
      </c>
      <c r="D32" s="94"/>
      <c r="E32" s="94"/>
      <c r="F32" s="94"/>
      <c r="G32" s="94"/>
      <c r="H32" s="94"/>
      <c r="I32" s="94"/>
      <c r="J32" s="92">
        <f t="shared" si="9"/>
        <v>0</v>
      </c>
      <c r="K32" s="93">
        <f t="shared" si="7"/>
        <v>0</v>
      </c>
    </row>
    <row r="33" spans="1:11" ht="21" x14ac:dyDescent="0.35">
      <c r="A33" s="89">
        <f t="shared" si="2"/>
        <v>39</v>
      </c>
      <c r="B33" s="294"/>
      <c r="C33" s="90" t="s">
        <v>192</v>
      </c>
      <c r="D33" s="94"/>
      <c r="E33" s="94"/>
      <c r="F33" s="94"/>
      <c r="G33" s="94"/>
      <c r="H33" s="94"/>
      <c r="I33" s="94"/>
      <c r="J33" s="92">
        <f t="shared" si="9"/>
        <v>0</v>
      </c>
      <c r="K33" s="93">
        <f t="shared" si="7"/>
        <v>0</v>
      </c>
    </row>
    <row r="34" spans="1:11" ht="21" x14ac:dyDescent="0.35">
      <c r="A34" s="89">
        <f t="shared" si="2"/>
        <v>40</v>
      </c>
      <c r="B34" s="294"/>
      <c r="C34" s="90" t="s">
        <v>193</v>
      </c>
      <c r="D34" s="94"/>
      <c r="E34" s="94"/>
      <c r="F34" s="94"/>
      <c r="G34" s="94"/>
      <c r="H34" s="94"/>
      <c r="I34" s="94"/>
      <c r="J34" s="92">
        <f t="shared" si="9"/>
        <v>0</v>
      </c>
      <c r="K34" s="93">
        <f t="shared" si="7"/>
        <v>0</v>
      </c>
    </row>
    <row r="35" spans="1:11" ht="42" x14ac:dyDescent="0.35">
      <c r="A35" s="89">
        <f t="shared" si="2"/>
        <v>41</v>
      </c>
      <c r="B35" s="294"/>
      <c r="C35" s="90" t="s">
        <v>194</v>
      </c>
      <c r="D35" s="94"/>
      <c r="E35" s="94"/>
      <c r="F35" s="94"/>
      <c r="G35" s="94"/>
      <c r="H35" s="94"/>
      <c r="I35" s="94"/>
      <c r="J35" s="92">
        <f t="shared" si="6"/>
        <v>0</v>
      </c>
      <c r="K35" s="93">
        <f t="shared" si="7"/>
        <v>0</v>
      </c>
    </row>
    <row r="36" spans="1:11" ht="21" x14ac:dyDescent="0.35">
      <c r="A36" s="89">
        <f t="shared" si="2"/>
        <v>42</v>
      </c>
      <c r="B36" s="294"/>
      <c r="C36" s="90" t="s">
        <v>195</v>
      </c>
      <c r="D36" s="91"/>
      <c r="E36" s="91"/>
      <c r="F36" s="92">
        <f>+D36-E36</f>
        <v>0</v>
      </c>
      <c r="G36" s="91"/>
      <c r="H36" s="92">
        <f>+F36</f>
        <v>0</v>
      </c>
      <c r="I36" s="91"/>
      <c r="J36" s="92">
        <f t="shared" si="6"/>
        <v>0</v>
      </c>
      <c r="K36" s="93">
        <f t="shared" si="7"/>
        <v>0</v>
      </c>
    </row>
    <row r="37" spans="1:11" ht="21" x14ac:dyDescent="0.35">
      <c r="A37" s="89">
        <f t="shared" si="2"/>
        <v>43</v>
      </c>
      <c r="B37" s="294"/>
      <c r="C37" s="90" t="s">
        <v>196</v>
      </c>
      <c r="D37" s="91"/>
      <c r="E37" s="91"/>
      <c r="F37" s="92">
        <f t="shared" ref="F37:F43" si="10">+D37-E37</f>
        <v>0</v>
      </c>
      <c r="G37" s="91"/>
      <c r="H37" s="92">
        <f t="shared" ref="H37:H43" si="11">+F37</f>
        <v>0</v>
      </c>
      <c r="I37" s="91"/>
      <c r="J37" s="92">
        <f t="shared" si="6"/>
        <v>0</v>
      </c>
      <c r="K37" s="93">
        <f t="shared" si="7"/>
        <v>0</v>
      </c>
    </row>
    <row r="38" spans="1:11" ht="21" x14ac:dyDescent="0.35">
      <c r="A38" s="89">
        <f t="shared" si="2"/>
        <v>44</v>
      </c>
      <c r="B38" s="294"/>
      <c r="C38" s="90" t="s">
        <v>197</v>
      </c>
      <c r="D38" s="91">
        <v>0</v>
      </c>
      <c r="E38" s="91">
        <v>0</v>
      </c>
      <c r="F38" s="92">
        <f t="shared" si="10"/>
        <v>0</v>
      </c>
      <c r="G38" s="91"/>
      <c r="H38" s="92">
        <f t="shared" si="11"/>
        <v>0</v>
      </c>
      <c r="I38" s="91"/>
      <c r="J38" s="92">
        <f t="shared" si="6"/>
        <v>0</v>
      </c>
      <c r="K38" s="93">
        <f t="shared" si="7"/>
        <v>0</v>
      </c>
    </row>
    <row r="39" spans="1:11" ht="21" x14ac:dyDescent="0.35">
      <c r="A39" s="89">
        <f t="shared" si="2"/>
        <v>45</v>
      </c>
      <c r="B39" s="294"/>
      <c r="C39" s="90" t="s">
        <v>99</v>
      </c>
      <c r="D39" s="91"/>
      <c r="E39" s="91"/>
      <c r="F39" s="92">
        <f t="shared" si="10"/>
        <v>0</v>
      </c>
      <c r="G39" s="91"/>
      <c r="H39" s="92">
        <f t="shared" si="11"/>
        <v>0</v>
      </c>
      <c r="I39" s="91"/>
      <c r="J39" s="92">
        <f t="shared" si="6"/>
        <v>0</v>
      </c>
      <c r="K39" s="93">
        <f t="shared" si="7"/>
        <v>0</v>
      </c>
    </row>
    <row r="40" spans="1:11" ht="21" x14ac:dyDescent="0.35">
      <c r="A40" s="89">
        <f t="shared" si="2"/>
        <v>46</v>
      </c>
      <c r="B40" s="294"/>
      <c r="C40" s="90" t="s">
        <v>198</v>
      </c>
      <c r="D40" s="91"/>
      <c r="E40" s="91"/>
      <c r="F40" s="92">
        <f t="shared" si="10"/>
        <v>0</v>
      </c>
      <c r="G40" s="91"/>
      <c r="H40" s="92">
        <f t="shared" si="11"/>
        <v>0</v>
      </c>
      <c r="I40" s="91"/>
      <c r="J40" s="92">
        <f t="shared" si="6"/>
        <v>0</v>
      </c>
      <c r="K40" s="93">
        <f t="shared" si="7"/>
        <v>0</v>
      </c>
    </row>
    <row r="41" spans="1:11" ht="21" x14ac:dyDescent="0.35">
      <c r="A41" s="89">
        <f t="shared" si="2"/>
        <v>47</v>
      </c>
      <c r="B41" s="294"/>
      <c r="C41" s="90" t="s">
        <v>199</v>
      </c>
      <c r="D41" s="91"/>
      <c r="E41" s="91"/>
      <c r="F41" s="92">
        <f t="shared" si="10"/>
        <v>0</v>
      </c>
      <c r="G41" s="91"/>
      <c r="H41" s="92">
        <f t="shared" si="11"/>
        <v>0</v>
      </c>
      <c r="I41" s="91"/>
      <c r="J41" s="92">
        <f t="shared" si="6"/>
        <v>0</v>
      </c>
      <c r="K41" s="93">
        <f t="shared" si="7"/>
        <v>0</v>
      </c>
    </row>
    <row r="42" spans="1:11" ht="21" x14ac:dyDescent="0.3">
      <c r="A42" s="89">
        <f t="shared" si="2"/>
        <v>48</v>
      </c>
      <c r="B42" s="294"/>
      <c r="C42" s="98" t="s">
        <v>200</v>
      </c>
      <c r="D42" s="91"/>
      <c r="E42" s="91"/>
      <c r="F42" s="92">
        <f t="shared" si="10"/>
        <v>0</v>
      </c>
      <c r="G42" s="91"/>
      <c r="H42" s="92">
        <f t="shared" si="11"/>
        <v>0</v>
      </c>
      <c r="I42" s="91"/>
      <c r="J42" s="92">
        <f t="shared" si="6"/>
        <v>0</v>
      </c>
      <c r="K42" s="93">
        <f t="shared" si="7"/>
        <v>0</v>
      </c>
    </row>
    <row r="43" spans="1:11" ht="21" x14ac:dyDescent="0.3">
      <c r="A43" s="89">
        <f t="shared" si="2"/>
        <v>49</v>
      </c>
      <c r="B43" s="294"/>
      <c r="C43" s="99" t="s">
        <v>201</v>
      </c>
      <c r="D43" s="91"/>
      <c r="E43" s="91"/>
      <c r="F43" s="92">
        <f t="shared" si="10"/>
        <v>0</v>
      </c>
      <c r="G43" s="91"/>
      <c r="H43" s="92">
        <f t="shared" si="11"/>
        <v>0</v>
      </c>
      <c r="I43" s="91"/>
      <c r="J43" s="92">
        <f t="shared" si="6"/>
        <v>0</v>
      </c>
      <c r="K43" s="93">
        <f t="shared" si="7"/>
        <v>0</v>
      </c>
    </row>
    <row r="44" spans="1:11" ht="20.25" x14ac:dyDescent="0.3">
      <c r="A44" s="89">
        <f t="shared" si="2"/>
        <v>50</v>
      </c>
      <c r="B44" s="294"/>
      <c r="C44" s="95" t="s">
        <v>202</v>
      </c>
      <c r="D44" s="94"/>
      <c r="E44" s="94"/>
      <c r="F44" s="94"/>
      <c r="G44" s="94"/>
      <c r="H44" s="94"/>
      <c r="I44" s="94"/>
      <c r="J44" s="92">
        <f t="shared" si="6"/>
        <v>0</v>
      </c>
      <c r="K44" s="93">
        <f t="shared" si="7"/>
        <v>0</v>
      </c>
    </row>
    <row r="45" spans="1:11" ht="20.25" x14ac:dyDescent="0.3">
      <c r="A45" s="89">
        <f t="shared" si="2"/>
        <v>51</v>
      </c>
      <c r="B45" s="295"/>
      <c r="C45" s="193" t="s">
        <v>203</v>
      </c>
      <c r="D45" s="194">
        <f>SUM(D36:D41)</f>
        <v>0</v>
      </c>
      <c r="E45" s="194">
        <f>SUM(E36:E41)</f>
        <v>0</v>
      </c>
      <c r="F45" s="195"/>
      <c r="G45" s="195"/>
      <c r="H45" s="318">
        <f>SUM(H27:H44)</f>
        <v>19950000</v>
      </c>
      <c r="I45" s="196">
        <f>SUM(I27:I44)</f>
        <v>0</v>
      </c>
      <c r="J45" s="196">
        <f>SUM(J27:J44)</f>
        <v>19950000</v>
      </c>
      <c r="K45" s="100"/>
    </row>
    <row r="46" spans="1:11" ht="15.75" x14ac:dyDescent="0.25">
      <c r="A46" s="101"/>
      <c r="B46" s="87"/>
      <c r="C46" s="87"/>
      <c r="D46" s="86"/>
      <c r="E46" s="86"/>
      <c r="F46" s="86"/>
      <c r="G46" s="86"/>
      <c r="H46" s="86"/>
      <c r="I46" s="86"/>
      <c r="J46" s="87"/>
      <c r="K46" s="87"/>
    </row>
    <row r="48" spans="1:11" s="67" customFormat="1" ht="21" x14ac:dyDescent="0.35"/>
    <row r="49" spans="3:9" s="67" customFormat="1" ht="21" x14ac:dyDescent="0.35">
      <c r="C49" s="204" t="s">
        <v>245</v>
      </c>
      <c r="D49" s="205">
        <f>+H25</f>
        <v>7553250</v>
      </c>
      <c r="H49" s="296" t="str">
        <f>+C49</f>
        <v>IMPUESTO DIFERIDO ACTIVO</v>
      </c>
      <c r="I49" s="296"/>
    </row>
    <row r="50" spans="3:9" s="67" customFormat="1" ht="21" x14ac:dyDescent="0.35">
      <c r="C50" s="118" t="s">
        <v>246</v>
      </c>
      <c r="D50" s="206">
        <f>+H45</f>
        <v>19950000</v>
      </c>
      <c r="H50" s="210">
        <f>+D54</f>
        <v>3500000</v>
      </c>
      <c r="I50" s="146"/>
    </row>
    <row r="51" spans="3:9" s="67" customFormat="1" ht="21" x14ac:dyDescent="0.35">
      <c r="H51" s="148">
        <f>+D57</f>
        <v>4053250</v>
      </c>
    </row>
    <row r="52" spans="3:9" s="67" customFormat="1" ht="21" x14ac:dyDescent="0.35">
      <c r="H52" s="207">
        <f>SUM(H50:H51)</f>
        <v>7553250</v>
      </c>
    </row>
    <row r="53" spans="3:9" s="67" customFormat="1" ht="21" x14ac:dyDescent="0.35">
      <c r="C53" s="144" t="s">
        <v>247</v>
      </c>
      <c r="H53" s="102"/>
    </row>
    <row r="54" spans="3:9" s="67" customFormat="1" ht="21" x14ac:dyDescent="0.35">
      <c r="C54" s="112" t="s">
        <v>245</v>
      </c>
      <c r="D54" s="145">
        <f>+BP!D63</f>
        <v>3500000</v>
      </c>
      <c r="H54" s="147"/>
      <c r="I54" s="147"/>
    </row>
    <row r="55" spans="3:9" s="67" customFormat="1" ht="21" x14ac:dyDescent="0.35">
      <c r="C55" s="112" t="s">
        <v>246</v>
      </c>
      <c r="D55" s="145">
        <f>+BP!D92</f>
        <v>6000000</v>
      </c>
      <c r="H55" s="147"/>
      <c r="I55" s="147"/>
    </row>
    <row r="56" spans="3:9" s="67" customFormat="1" ht="21" x14ac:dyDescent="0.35">
      <c r="H56" s="296" t="str">
        <f>+C50</f>
        <v>IMPUESTO DIFERIDO PASIVO</v>
      </c>
      <c r="I56" s="296"/>
    </row>
    <row r="57" spans="3:9" s="66" customFormat="1" ht="21" x14ac:dyDescent="0.35">
      <c r="C57" s="188" t="str">
        <f>+C49</f>
        <v>IMPUESTO DIFERIDO ACTIVO</v>
      </c>
      <c r="D57" s="209">
        <f>+D49-H50</f>
        <v>4053250</v>
      </c>
      <c r="E57" s="188"/>
      <c r="H57" s="103"/>
      <c r="I57" s="260">
        <f>+D55</f>
        <v>6000000</v>
      </c>
    </row>
    <row r="58" spans="3:9" s="66" customFormat="1" ht="21" x14ac:dyDescent="0.35">
      <c r="C58" s="188" t="str">
        <f>+C50</f>
        <v>IMPUESTO DIFERIDO PASIVO</v>
      </c>
      <c r="D58" s="188"/>
      <c r="E58" s="209">
        <f>+D50-I57</f>
        <v>13950000</v>
      </c>
      <c r="H58" s="102"/>
      <c r="I58" s="68">
        <f>+E58</f>
        <v>13950000</v>
      </c>
    </row>
    <row r="59" spans="3:9" s="66" customFormat="1" ht="21" x14ac:dyDescent="0.35">
      <c r="C59" s="188" t="s">
        <v>248</v>
      </c>
      <c r="D59" s="209">
        <f>+E58-D57</f>
        <v>9896750</v>
      </c>
      <c r="E59" s="188"/>
      <c r="H59" s="102"/>
      <c r="I59" s="208">
        <f>SUM(I57:I58)</f>
        <v>19950000</v>
      </c>
    </row>
    <row r="60" spans="3:9" ht="21" x14ac:dyDescent="0.35">
      <c r="H60" s="102"/>
      <c r="I60" s="67"/>
    </row>
    <row r="67" spans="3:5" ht="21" x14ac:dyDescent="0.35">
      <c r="C67" s="66"/>
      <c r="D67" s="149" t="s">
        <v>249</v>
      </c>
      <c r="E67" s="149" t="s">
        <v>232</v>
      </c>
    </row>
    <row r="68" spans="3:5" ht="23.25" x14ac:dyDescent="0.35">
      <c r="C68" s="1" t="s">
        <v>250</v>
      </c>
      <c r="D68" s="150">
        <v>50000000</v>
      </c>
      <c r="E68" s="150">
        <v>70000000</v>
      </c>
    </row>
    <row r="69" spans="3:5" ht="18.75" x14ac:dyDescent="0.3">
      <c r="C69" s="66" t="s">
        <v>251</v>
      </c>
      <c r="D69" s="150">
        <f>+E69</f>
        <v>24500000</v>
      </c>
      <c r="E69" s="150">
        <f>+E68*35%</f>
        <v>24500000</v>
      </c>
    </row>
    <row r="70" spans="3:5" ht="18.75" x14ac:dyDescent="0.3">
      <c r="C70" s="66" t="s">
        <v>252</v>
      </c>
      <c r="D70" s="152">
        <f>+D59</f>
        <v>9896750</v>
      </c>
      <c r="E70" s="152">
        <v>0</v>
      </c>
    </row>
    <row r="71" spans="3:5" ht="18.75" x14ac:dyDescent="0.3">
      <c r="C71" s="66" t="s">
        <v>253</v>
      </c>
      <c r="D71" s="151">
        <f>+D68-D69-D70</f>
        <v>15603250</v>
      </c>
      <c r="E71" s="151">
        <f>+E68-E69-E70</f>
        <v>45500000</v>
      </c>
    </row>
    <row r="72" spans="3:5" ht="18.75" x14ac:dyDescent="0.3">
      <c r="C72" s="66"/>
      <c r="D72" s="66"/>
      <c r="E72" s="66"/>
    </row>
    <row r="73" spans="3:5" ht="18.75" x14ac:dyDescent="0.3">
      <c r="C73" s="66"/>
      <c r="D73" s="66"/>
      <c r="E73" s="66"/>
    </row>
    <row r="74" spans="3:5" ht="18.75" x14ac:dyDescent="0.3">
      <c r="C74" s="66"/>
      <c r="D74" s="66"/>
      <c r="E74" s="66"/>
    </row>
    <row r="75" spans="3:5" ht="18.75" x14ac:dyDescent="0.3">
      <c r="C75" s="66"/>
      <c r="D75" s="66"/>
      <c r="E75" s="66"/>
    </row>
    <row r="76" spans="3:5" ht="18.75" x14ac:dyDescent="0.3">
      <c r="C76" s="66"/>
      <c r="D76" s="66"/>
      <c r="E76" s="66"/>
    </row>
    <row r="77" spans="3:5" ht="18.75" x14ac:dyDescent="0.3">
      <c r="C77" s="66"/>
      <c r="D77" s="66"/>
      <c r="E77" s="66"/>
    </row>
    <row r="78" spans="3:5" ht="18.75" x14ac:dyDescent="0.3">
      <c r="C78" s="66"/>
      <c r="D78" s="66"/>
      <c r="E78" s="66"/>
    </row>
  </sheetData>
  <mergeCells count="16">
    <mergeCell ref="A4:A5"/>
    <mergeCell ref="B4:C5"/>
    <mergeCell ref="D4:D5"/>
    <mergeCell ref="E4:E5"/>
    <mergeCell ref="F4:F5"/>
    <mergeCell ref="B26:K26"/>
    <mergeCell ref="B27:B45"/>
    <mergeCell ref="H49:I49"/>
    <mergeCell ref="H56:I56"/>
    <mergeCell ref="H4:H5"/>
    <mergeCell ref="I4:I5"/>
    <mergeCell ref="J4:J5"/>
    <mergeCell ref="K4:K5"/>
    <mergeCell ref="B6:K6"/>
    <mergeCell ref="B7:B25"/>
    <mergeCell ref="G4:G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69"/>
  <sheetViews>
    <sheetView showGridLines="0" topLeftCell="A34" workbookViewId="0">
      <selection activeCell="C169" sqref="C169"/>
    </sheetView>
  </sheetViews>
  <sheetFormatPr baseColWidth="10" defaultRowHeight="23.25" x14ac:dyDescent="0.35"/>
  <cols>
    <col min="2" max="2" width="15" style="1" bestFit="1" customWidth="1"/>
    <col min="3" max="3" width="86.28515625" style="1" bestFit="1" customWidth="1"/>
    <col min="4" max="4" width="28.85546875" style="2" customWidth="1"/>
    <col min="5" max="7" width="28.85546875" style="3" customWidth="1"/>
    <col min="250" max="250" width="15" bestFit="1" customWidth="1"/>
    <col min="251" max="251" width="86.28515625" bestFit="1" customWidth="1"/>
    <col min="252" max="255" width="28.85546875" customWidth="1"/>
    <col min="256" max="256" width="12.5703125" customWidth="1"/>
    <col min="257" max="260" width="28.85546875" customWidth="1"/>
    <col min="262" max="263" width="20.28515625" customWidth="1"/>
    <col min="506" max="506" width="15" bestFit="1" customWidth="1"/>
    <col min="507" max="507" width="86.28515625" bestFit="1" customWidth="1"/>
    <col min="508" max="511" width="28.85546875" customWidth="1"/>
    <col min="512" max="512" width="12.5703125" customWidth="1"/>
    <col min="513" max="516" width="28.85546875" customWidth="1"/>
    <col min="518" max="519" width="20.28515625" customWidth="1"/>
    <col min="762" max="762" width="15" bestFit="1" customWidth="1"/>
    <col min="763" max="763" width="86.28515625" bestFit="1" customWidth="1"/>
    <col min="764" max="767" width="28.85546875" customWidth="1"/>
    <col min="768" max="768" width="12.5703125" customWidth="1"/>
    <col min="769" max="772" width="28.85546875" customWidth="1"/>
    <col min="774" max="775" width="20.28515625" customWidth="1"/>
    <col min="1018" max="1018" width="15" bestFit="1" customWidth="1"/>
    <col min="1019" max="1019" width="86.28515625" bestFit="1" customWidth="1"/>
    <col min="1020" max="1023" width="28.85546875" customWidth="1"/>
    <col min="1024" max="1024" width="12.5703125" customWidth="1"/>
    <col min="1025" max="1028" width="28.85546875" customWidth="1"/>
    <col min="1030" max="1031" width="20.28515625" customWidth="1"/>
    <col min="1274" max="1274" width="15" bestFit="1" customWidth="1"/>
    <col min="1275" max="1275" width="86.28515625" bestFit="1" customWidth="1"/>
    <col min="1276" max="1279" width="28.85546875" customWidth="1"/>
    <col min="1280" max="1280" width="12.5703125" customWidth="1"/>
    <col min="1281" max="1284" width="28.85546875" customWidth="1"/>
    <col min="1286" max="1287" width="20.28515625" customWidth="1"/>
    <col min="1530" max="1530" width="15" bestFit="1" customWidth="1"/>
    <col min="1531" max="1531" width="86.28515625" bestFit="1" customWidth="1"/>
    <col min="1532" max="1535" width="28.85546875" customWidth="1"/>
    <col min="1536" max="1536" width="12.5703125" customWidth="1"/>
    <col min="1537" max="1540" width="28.85546875" customWidth="1"/>
    <col min="1542" max="1543" width="20.28515625" customWidth="1"/>
    <col min="1786" max="1786" width="15" bestFit="1" customWidth="1"/>
    <col min="1787" max="1787" width="86.28515625" bestFit="1" customWidth="1"/>
    <col min="1788" max="1791" width="28.85546875" customWidth="1"/>
    <col min="1792" max="1792" width="12.5703125" customWidth="1"/>
    <col min="1793" max="1796" width="28.85546875" customWidth="1"/>
    <col min="1798" max="1799" width="20.28515625" customWidth="1"/>
    <col min="2042" max="2042" width="15" bestFit="1" customWidth="1"/>
    <col min="2043" max="2043" width="86.28515625" bestFit="1" customWidth="1"/>
    <col min="2044" max="2047" width="28.85546875" customWidth="1"/>
    <col min="2048" max="2048" width="12.5703125" customWidth="1"/>
    <col min="2049" max="2052" width="28.85546875" customWidth="1"/>
    <col min="2054" max="2055" width="20.28515625" customWidth="1"/>
    <col min="2298" max="2298" width="15" bestFit="1" customWidth="1"/>
    <col min="2299" max="2299" width="86.28515625" bestFit="1" customWidth="1"/>
    <col min="2300" max="2303" width="28.85546875" customWidth="1"/>
    <col min="2304" max="2304" width="12.5703125" customWidth="1"/>
    <col min="2305" max="2308" width="28.85546875" customWidth="1"/>
    <col min="2310" max="2311" width="20.28515625" customWidth="1"/>
    <col min="2554" max="2554" width="15" bestFit="1" customWidth="1"/>
    <col min="2555" max="2555" width="86.28515625" bestFit="1" customWidth="1"/>
    <col min="2556" max="2559" width="28.85546875" customWidth="1"/>
    <col min="2560" max="2560" width="12.5703125" customWidth="1"/>
    <col min="2561" max="2564" width="28.85546875" customWidth="1"/>
    <col min="2566" max="2567" width="20.28515625" customWidth="1"/>
    <col min="2810" max="2810" width="15" bestFit="1" customWidth="1"/>
    <col min="2811" max="2811" width="86.28515625" bestFit="1" customWidth="1"/>
    <col min="2812" max="2815" width="28.85546875" customWidth="1"/>
    <col min="2816" max="2816" width="12.5703125" customWidth="1"/>
    <col min="2817" max="2820" width="28.85546875" customWidth="1"/>
    <col min="2822" max="2823" width="20.28515625" customWidth="1"/>
    <col min="3066" max="3066" width="15" bestFit="1" customWidth="1"/>
    <col min="3067" max="3067" width="86.28515625" bestFit="1" customWidth="1"/>
    <col min="3068" max="3071" width="28.85546875" customWidth="1"/>
    <col min="3072" max="3072" width="12.5703125" customWidth="1"/>
    <col min="3073" max="3076" width="28.85546875" customWidth="1"/>
    <col min="3078" max="3079" width="20.28515625" customWidth="1"/>
    <col min="3322" max="3322" width="15" bestFit="1" customWidth="1"/>
    <col min="3323" max="3323" width="86.28515625" bestFit="1" customWidth="1"/>
    <col min="3324" max="3327" width="28.85546875" customWidth="1"/>
    <col min="3328" max="3328" width="12.5703125" customWidth="1"/>
    <col min="3329" max="3332" width="28.85546875" customWidth="1"/>
    <col min="3334" max="3335" width="20.28515625" customWidth="1"/>
    <col min="3578" max="3578" width="15" bestFit="1" customWidth="1"/>
    <col min="3579" max="3579" width="86.28515625" bestFit="1" customWidth="1"/>
    <col min="3580" max="3583" width="28.85546875" customWidth="1"/>
    <col min="3584" max="3584" width="12.5703125" customWidth="1"/>
    <col min="3585" max="3588" width="28.85546875" customWidth="1"/>
    <col min="3590" max="3591" width="20.28515625" customWidth="1"/>
    <col min="3834" max="3834" width="15" bestFit="1" customWidth="1"/>
    <col min="3835" max="3835" width="86.28515625" bestFit="1" customWidth="1"/>
    <col min="3836" max="3839" width="28.85546875" customWidth="1"/>
    <col min="3840" max="3840" width="12.5703125" customWidth="1"/>
    <col min="3841" max="3844" width="28.85546875" customWidth="1"/>
    <col min="3846" max="3847" width="20.28515625" customWidth="1"/>
    <col min="4090" max="4090" width="15" bestFit="1" customWidth="1"/>
    <col min="4091" max="4091" width="86.28515625" bestFit="1" customWidth="1"/>
    <col min="4092" max="4095" width="28.85546875" customWidth="1"/>
    <col min="4096" max="4096" width="12.5703125" customWidth="1"/>
    <col min="4097" max="4100" width="28.85546875" customWidth="1"/>
    <col min="4102" max="4103" width="20.28515625" customWidth="1"/>
    <col min="4346" max="4346" width="15" bestFit="1" customWidth="1"/>
    <col min="4347" max="4347" width="86.28515625" bestFit="1" customWidth="1"/>
    <col min="4348" max="4351" width="28.85546875" customWidth="1"/>
    <col min="4352" max="4352" width="12.5703125" customWidth="1"/>
    <col min="4353" max="4356" width="28.85546875" customWidth="1"/>
    <col min="4358" max="4359" width="20.28515625" customWidth="1"/>
    <col min="4602" max="4602" width="15" bestFit="1" customWidth="1"/>
    <col min="4603" max="4603" width="86.28515625" bestFit="1" customWidth="1"/>
    <col min="4604" max="4607" width="28.85546875" customWidth="1"/>
    <col min="4608" max="4608" width="12.5703125" customWidth="1"/>
    <col min="4609" max="4612" width="28.85546875" customWidth="1"/>
    <col min="4614" max="4615" width="20.28515625" customWidth="1"/>
    <col min="4858" max="4858" width="15" bestFit="1" customWidth="1"/>
    <col min="4859" max="4859" width="86.28515625" bestFit="1" customWidth="1"/>
    <col min="4860" max="4863" width="28.85546875" customWidth="1"/>
    <col min="4864" max="4864" width="12.5703125" customWidth="1"/>
    <col min="4865" max="4868" width="28.85546875" customWidth="1"/>
    <col min="4870" max="4871" width="20.28515625" customWidth="1"/>
    <col min="5114" max="5114" width="15" bestFit="1" customWidth="1"/>
    <col min="5115" max="5115" width="86.28515625" bestFit="1" customWidth="1"/>
    <col min="5116" max="5119" width="28.85546875" customWidth="1"/>
    <col min="5120" max="5120" width="12.5703125" customWidth="1"/>
    <col min="5121" max="5124" width="28.85546875" customWidth="1"/>
    <col min="5126" max="5127" width="20.28515625" customWidth="1"/>
    <col min="5370" max="5370" width="15" bestFit="1" customWidth="1"/>
    <col min="5371" max="5371" width="86.28515625" bestFit="1" customWidth="1"/>
    <col min="5372" max="5375" width="28.85546875" customWidth="1"/>
    <col min="5376" max="5376" width="12.5703125" customWidth="1"/>
    <col min="5377" max="5380" width="28.85546875" customWidth="1"/>
    <col min="5382" max="5383" width="20.28515625" customWidth="1"/>
    <col min="5626" max="5626" width="15" bestFit="1" customWidth="1"/>
    <col min="5627" max="5627" width="86.28515625" bestFit="1" customWidth="1"/>
    <col min="5628" max="5631" width="28.85546875" customWidth="1"/>
    <col min="5632" max="5632" width="12.5703125" customWidth="1"/>
    <col min="5633" max="5636" width="28.85546875" customWidth="1"/>
    <col min="5638" max="5639" width="20.28515625" customWidth="1"/>
    <col min="5882" max="5882" width="15" bestFit="1" customWidth="1"/>
    <col min="5883" max="5883" width="86.28515625" bestFit="1" customWidth="1"/>
    <col min="5884" max="5887" width="28.85546875" customWidth="1"/>
    <col min="5888" max="5888" width="12.5703125" customWidth="1"/>
    <col min="5889" max="5892" width="28.85546875" customWidth="1"/>
    <col min="5894" max="5895" width="20.28515625" customWidth="1"/>
    <col min="6138" max="6138" width="15" bestFit="1" customWidth="1"/>
    <col min="6139" max="6139" width="86.28515625" bestFit="1" customWidth="1"/>
    <col min="6140" max="6143" width="28.85546875" customWidth="1"/>
    <col min="6144" max="6144" width="12.5703125" customWidth="1"/>
    <col min="6145" max="6148" width="28.85546875" customWidth="1"/>
    <col min="6150" max="6151" width="20.28515625" customWidth="1"/>
    <col min="6394" max="6394" width="15" bestFit="1" customWidth="1"/>
    <col min="6395" max="6395" width="86.28515625" bestFit="1" customWidth="1"/>
    <col min="6396" max="6399" width="28.85546875" customWidth="1"/>
    <col min="6400" max="6400" width="12.5703125" customWidth="1"/>
    <col min="6401" max="6404" width="28.85546875" customWidth="1"/>
    <col min="6406" max="6407" width="20.28515625" customWidth="1"/>
    <col min="6650" max="6650" width="15" bestFit="1" customWidth="1"/>
    <col min="6651" max="6651" width="86.28515625" bestFit="1" customWidth="1"/>
    <col min="6652" max="6655" width="28.85546875" customWidth="1"/>
    <col min="6656" max="6656" width="12.5703125" customWidth="1"/>
    <col min="6657" max="6660" width="28.85546875" customWidth="1"/>
    <col min="6662" max="6663" width="20.28515625" customWidth="1"/>
    <col min="6906" max="6906" width="15" bestFit="1" customWidth="1"/>
    <col min="6907" max="6907" width="86.28515625" bestFit="1" customWidth="1"/>
    <col min="6908" max="6911" width="28.85546875" customWidth="1"/>
    <col min="6912" max="6912" width="12.5703125" customWidth="1"/>
    <col min="6913" max="6916" width="28.85546875" customWidth="1"/>
    <col min="6918" max="6919" width="20.28515625" customWidth="1"/>
    <col min="7162" max="7162" width="15" bestFit="1" customWidth="1"/>
    <col min="7163" max="7163" width="86.28515625" bestFit="1" customWidth="1"/>
    <col min="7164" max="7167" width="28.85546875" customWidth="1"/>
    <col min="7168" max="7168" width="12.5703125" customWidth="1"/>
    <col min="7169" max="7172" width="28.85546875" customWidth="1"/>
    <col min="7174" max="7175" width="20.28515625" customWidth="1"/>
    <col min="7418" max="7418" width="15" bestFit="1" customWidth="1"/>
    <col min="7419" max="7419" width="86.28515625" bestFit="1" customWidth="1"/>
    <col min="7420" max="7423" width="28.85546875" customWidth="1"/>
    <col min="7424" max="7424" width="12.5703125" customWidth="1"/>
    <col min="7425" max="7428" width="28.85546875" customWidth="1"/>
    <col min="7430" max="7431" width="20.28515625" customWidth="1"/>
    <col min="7674" max="7674" width="15" bestFit="1" customWidth="1"/>
    <col min="7675" max="7675" width="86.28515625" bestFit="1" customWidth="1"/>
    <col min="7676" max="7679" width="28.85546875" customWidth="1"/>
    <col min="7680" max="7680" width="12.5703125" customWidth="1"/>
    <col min="7681" max="7684" width="28.85546875" customWidth="1"/>
    <col min="7686" max="7687" width="20.28515625" customWidth="1"/>
    <col min="7930" max="7930" width="15" bestFit="1" customWidth="1"/>
    <col min="7931" max="7931" width="86.28515625" bestFit="1" customWidth="1"/>
    <col min="7932" max="7935" width="28.85546875" customWidth="1"/>
    <col min="7936" max="7936" width="12.5703125" customWidth="1"/>
    <col min="7937" max="7940" width="28.85546875" customWidth="1"/>
    <col min="7942" max="7943" width="20.28515625" customWidth="1"/>
    <col min="8186" max="8186" width="15" bestFit="1" customWidth="1"/>
    <col min="8187" max="8187" width="86.28515625" bestFit="1" customWidth="1"/>
    <col min="8188" max="8191" width="28.85546875" customWidth="1"/>
    <col min="8192" max="8192" width="12.5703125" customWidth="1"/>
    <col min="8193" max="8196" width="28.85546875" customWidth="1"/>
    <col min="8198" max="8199" width="20.28515625" customWidth="1"/>
    <col min="8442" max="8442" width="15" bestFit="1" customWidth="1"/>
    <col min="8443" max="8443" width="86.28515625" bestFit="1" customWidth="1"/>
    <col min="8444" max="8447" width="28.85546875" customWidth="1"/>
    <col min="8448" max="8448" width="12.5703125" customWidth="1"/>
    <col min="8449" max="8452" width="28.85546875" customWidth="1"/>
    <col min="8454" max="8455" width="20.28515625" customWidth="1"/>
    <col min="8698" max="8698" width="15" bestFit="1" customWidth="1"/>
    <col min="8699" max="8699" width="86.28515625" bestFit="1" customWidth="1"/>
    <col min="8700" max="8703" width="28.85546875" customWidth="1"/>
    <col min="8704" max="8704" width="12.5703125" customWidth="1"/>
    <col min="8705" max="8708" width="28.85546875" customWidth="1"/>
    <col min="8710" max="8711" width="20.28515625" customWidth="1"/>
    <col min="8954" max="8954" width="15" bestFit="1" customWidth="1"/>
    <col min="8955" max="8955" width="86.28515625" bestFit="1" customWidth="1"/>
    <col min="8956" max="8959" width="28.85546875" customWidth="1"/>
    <col min="8960" max="8960" width="12.5703125" customWidth="1"/>
    <col min="8961" max="8964" width="28.85546875" customWidth="1"/>
    <col min="8966" max="8967" width="20.28515625" customWidth="1"/>
    <col min="9210" max="9210" width="15" bestFit="1" customWidth="1"/>
    <col min="9211" max="9211" width="86.28515625" bestFit="1" customWidth="1"/>
    <col min="9212" max="9215" width="28.85546875" customWidth="1"/>
    <col min="9216" max="9216" width="12.5703125" customWidth="1"/>
    <col min="9217" max="9220" width="28.85546875" customWidth="1"/>
    <col min="9222" max="9223" width="20.28515625" customWidth="1"/>
    <col min="9466" max="9466" width="15" bestFit="1" customWidth="1"/>
    <col min="9467" max="9467" width="86.28515625" bestFit="1" customWidth="1"/>
    <col min="9468" max="9471" width="28.85546875" customWidth="1"/>
    <col min="9472" max="9472" width="12.5703125" customWidth="1"/>
    <col min="9473" max="9476" width="28.85546875" customWidth="1"/>
    <col min="9478" max="9479" width="20.28515625" customWidth="1"/>
    <col min="9722" max="9722" width="15" bestFit="1" customWidth="1"/>
    <col min="9723" max="9723" width="86.28515625" bestFit="1" customWidth="1"/>
    <col min="9724" max="9727" width="28.85546875" customWidth="1"/>
    <col min="9728" max="9728" width="12.5703125" customWidth="1"/>
    <col min="9729" max="9732" width="28.85546875" customWidth="1"/>
    <col min="9734" max="9735" width="20.28515625" customWidth="1"/>
    <col min="9978" max="9978" width="15" bestFit="1" customWidth="1"/>
    <col min="9979" max="9979" width="86.28515625" bestFit="1" customWidth="1"/>
    <col min="9980" max="9983" width="28.85546875" customWidth="1"/>
    <col min="9984" max="9984" width="12.5703125" customWidth="1"/>
    <col min="9985" max="9988" width="28.85546875" customWidth="1"/>
    <col min="9990" max="9991" width="20.28515625" customWidth="1"/>
    <col min="10234" max="10234" width="15" bestFit="1" customWidth="1"/>
    <col min="10235" max="10235" width="86.28515625" bestFit="1" customWidth="1"/>
    <col min="10236" max="10239" width="28.85546875" customWidth="1"/>
    <col min="10240" max="10240" width="12.5703125" customWidth="1"/>
    <col min="10241" max="10244" width="28.85546875" customWidth="1"/>
    <col min="10246" max="10247" width="20.28515625" customWidth="1"/>
    <col min="10490" max="10490" width="15" bestFit="1" customWidth="1"/>
    <col min="10491" max="10491" width="86.28515625" bestFit="1" customWidth="1"/>
    <col min="10492" max="10495" width="28.85546875" customWidth="1"/>
    <col min="10496" max="10496" width="12.5703125" customWidth="1"/>
    <col min="10497" max="10500" width="28.85546875" customWidth="1"/>
    <col min="10502" max="10503" width="20.28515625" customWidth="1"/>
    <col min="10746" max="10746" width="15" bestFit="1" customWidth="1"/>
    <col min="10747" max="10747" width="86.28515625" bestFit="1" customWidth="1"/>
    <col min="10748" max="10751" width="28.85546875" customWidth="1"/>
    <col min="10752" max="10752" width="12.5703125" customWidth="1"/>
    <col min="10753" max="10756" width="28.85546875" customWidth="1"/>
    <col min="10758" max="10759" width="20.28515625" customWidth="1"/>
    <col min="11002" max="11002" width="15" bestFit="1" customWidth="1"/>
    <col min="11003" max="11003" width="86.28515625" bestFit="1" customWidth="1"/>
    <col min="11004" max="11007" width="28.85546875" customWidth="1"/>
    <col min="11008" max="11008" width="12.5703125" customWidth="1"/>
    <col min="11009" max="11012" width="28.85546875" customWidth="1"/>
    <col min="11014" max="11015" width="20.28515625" customWidth="1"/>
    <col min="11258" max="11258" width="15" bestFit="1" customWidth="1"/>
    <col min="11259" max="11259" width="86.28515625" bestFit="1" customWidth="1"/>
    <col min="11260" max="11263" width="28.85546875" customWidth="1"/>
    <col min="11264" max="11264" width="12.5703125" customWidth="1"/>
    <col min="11265" max="11268" width="28.85546875" customWidth="1"/>
    <col min="11270" max="11271" width="20.28515625" customWidth="1"/>
    <col min="11514" max="11514" width="15" bestFit="1" customWidth="1"/>
    <col min="11515" max="11515" width="86.28515625" bestFit="1" customWidth="1"/>
    <col min="11516" max="11519" width="28.85546875" customWidth="1"/>
    <col min="11520" max="11520" width="12.5703125" customWidth="1"/>
    <col min="11521" max="11524" width="28.85546875" customWidth="1"/>
    <col min="11526" max="11527" width="20.28515625" customWidth="1"/>
    <col min="11770" max="11770" width="15" bestFit="1" customWidth="1"/>
    <col min="11771" max="11771" width="86.28515625" bestFit="1" customWidth="1"/>
    <col min="11772" max="11775" width="28.85546875" customWidth="1"/>
    <col min="11776" max="11776" width="12.5703125" customWidth="1"/>
    <col min="11777" max="11780" width="28.85546875" customWidth="1"/>
    <col min="11782" max="11783" width="20.28515625" customWidth="1"/>
    <col min="12026" max="12026" width="15" bestFit="1" customWidth="1"/>
    <col min="12027" max="12027" width="86.28515625" bestFit="1" customWidth="1"/>
    <col min="12028" max="12031" width="28.85546875" customWidth="1"/>
    <col min="12032" max="12032" width="12.5703125" customWidth="1"/>
    <col min="12033" max="12036" width="28.85546875" customWidth="1"/>
    <col min="12038" max="12039" width="20.28515625" customWidth="1"/>
    <col min="12282" max="12282" width="15" bestFit="1" customWidth="1"/>
    <col min="12283" max="12283" width="86.28515625" bestFit="1" customWidth="1"/>
    <col min="12284" max="12287" width="28.85546875" customWidth="1"/>
    <col min="12288" max="12288" width="12.5703125" customWidth="1"/>
    <col min="12289" max="12292" width="28.85546875" customWidth="1"/>
    <col min="12294" max="12295" width="20.28515625" customWidth="1"/>
    <col min="12538" max="12538" width="15" bestFit="1" customWidth="1"/>
    <col min="12539" max="12539" width="86.28515625" bestFit="1" customWidth="1"/>
    <col min="12540" max="12543" width="28.85546875" customWidth="1"/>
    <col min="12544" max="12544" width="12.5703125" customWidth="1"/>
    <col min="12545" max="12548" width="28.85546875" customWidth="1"/>
    <col min="12550" max="12551" width="20.28515625" customWidth="1"/>
    <col min="12794" max="12794" width="15" bestFit="1" customWidth="1"/>
    <col min="12795" max="12795" width="86.28515625" bestFit="1" customWidth="1"/>
    <col min="12796" max="12799" width="28.85546875" customWidth="1"/>
    <col min="12800" max="12800" width="12.5703125" customWidth="1"/>
    <col min="12801" max="12804" width="28.85546875" customWidth="1"/>
    <col min="12806" max="12807" width="20.28515625" customWidth="1"/>
    <col min="13050" max="13050" width="15" bestFit="1" customWidth="1"/>
    <col min="13051" max="13051" width="86.28515625" bestFit="1" customWidth="1"/>
    <col min="13052" max="13055" width="28.85546875" customWidth="1"/>
    <col min="13056" max="13056" width="12.5703125" customWidth="1"/>
    <col min="13057" max="13060" width="28.85546875" customWidth="1"/>
    <col min="13062" max="13063" width="20.28515625" customWidth="1"/>
    <col min="13306" max="13306" width="15" bestFit="1" customWidth="1"/>
    <col min="13307" max="13307" width="86.28515625" bestFit="1" customWidth="1"/>
    <col min="13308" max="13311" width="28.85546875" customWidth="1"/>
    <col min="13312" max="13312" width="12.5703125" customWidth="1"/>
    <col min="13313" max="13316" width="28.85546875" customWidth="1"/>
    <col min="13318" max="13319" width="20.28515625" customWidth="1"/>
    <col min="13562" max="13562" width="15" bestFit="1" customWidth="1"/>
    <col min="13563" max="13563" width="86.28515625" bestFit="1" customWidth="1"/>
    <col min="13564" max="13567" width="28.85546875" customWidth="1"/>
    <col min="13568" max="13568" width="12.5703125" customWidth="1"/>
    <col min="13569" max="13572" width="28.85546875" customWidth="1"/>
    <col min="13574" max="13575" width="20.28515625" customWidth="1"/>
    <col min="13818" max="13818" width="15" bestFit="1" customWidth="1"/>
    <col min="13819" max="13819" width="86.28515625" bestFit="1" customWidth="1"/>
    <col min="13820" max="13823" width="28.85546875" customWidth="1"/>
    <col min="13824" max="13824" width="12.5703125" customWidth="1"/>
    <col min="13825" max="13828" width="28.85546875" customWidth="1"/>
    <col min="13830" max="13831" width="20.28515625" customWidth="1"/>
    <col min="14074" max="14074" width="15" bestFit="1" customWidth="1"/>
    <col min="14075" max="14075" width="86.28515625" bestFit="1" customWidth="1"/>
    <col min="14076" max="14079" width="28.85546875" customWidth="1"/>
    <col min="14080" max="14080" width="12.5703125" customWidth="1"/>
    <col min="14081" max="14084" width="28.85546875" customWidth="1"/>
    <col min="14086" max="14087" width="20.28515625" customWidth="1"/>
    <col min="14330" max="14330" width="15" bestFit="1" customWidth="1"/>
    <col min="14331" max="14331" width="86.28515625" bestFit="1" customWidth="1"/>
    <col min="14332" max="14335" width="28.85546875" customWidth="1"/>
    <col min="14336" max="14336" width="12.5703125" customWidth="1"/>
    <col min="14337" max="14340" width="28.85546875" customWidth="1"/>
    <col min="14342" max="14343" width="20.28515625" customWidth="1"/>
    <col min="14586" max="14586" width="15" bestFit="1" customWidth="1"/>
    <col min="14587" max="14587" width="86.28515625" bestFit="1" customWidth="1"/>
    <col min="14588" max="14591" width="28.85546875" customWidth="1"/>
    <col min="14592" max="14592" width="12.5703125" customWidth="1"/>
    <col min="14593" max="14596" width="28.85546875" customWidth="1"/>
    <col min="14598" max="14599" width="20.28515625" customWidth="1"/>
    <col min="14842" max="14842" width="15" bestFit="1" customWidth="1"/>
    <col min="14843" max="14843" width="86.28515625" bestFit="1" customWidth="1"/>
    <col min="14844" max="14847" width="28.85546875" customWidth="1"/>
    <col min="14848" max="14848" width="12.5703125" customWidth="1"/>
    <col min="14849" max="14852" width="28.85546875" customWidth="1"/>
    <col min="14854" max="14855" width="20.28515625" customWidth="1"/>
    <col min="15098" max="15098" width="15" bestFit="1" customWidth="1"/>
    <col min="15099" max="15099" width="86.28515625" bestFit="1" customWidth="1"/>
    <col min="15100" max="15103" width="28.85546875" customWidth="1"/>
    <col min="15104" max="15104" width="12.5703125" customWidth="1"/>
    <col min="15105" max="15108" width="28.85546875" customWidth="1"/>
    <col min="15110" max="15111" width="20.28515625" customWidth="1"/>
    <col min="15354" max="15354" width="15" bestFit="1" customWidth="1"/>
    <col min="15355" max="15355" width="86.28515625" bestFit="1" customWidth="1"/>
    <col min="15356" max="15359" width="28.85546875" customWidth="1"/>
    <col min="15360" max="15360" width="12.5703125" customWidth="1"/>
    <col min="15361" max="15364" width="28.85546875" customWidth="1"/>
    <col min="15366" max="15367" width="20.28515625" customWidth="1"/>
    <col min="15610" max="15610" width="15" bestFit="1" customWidth="1"/>
    <col min="15611" max="15611" width="86.28515625" bestFit="1" customWidth="1"/>
    <col min="15612" max="15615" width="28.85546875" customWidth="1"/>
    <col min="15616" max="15616" width="12.5703125" customWidth="1"/>
    <col min="15617" max="15620" width="28.85546875" customWidth="1"/>
    <col min="15622" max="15623" width="20.28515625" customWidth="1"/>
    <col min="15866" max="15866" width="15" bestFit="1" customWidth="1"/>
    <col min="15867" max="15867" width="86.28515625" bestFit="1" customWidth="1"/>
    <col min="15868" max="15871" width="28.85546875" customWidth="1"/>
    <col min="15872" max="15872" width="12.5703125" customWidth="1"/>
    <col min="15873" max="15876" width="28.85546875" customWidth="1"/>
    <col min="15878" max="15879" width="20.28515625" customWidth="1"/>
    <col min="16122" max="16122" width="15" bestFit="1" customWidth="1"/>
    <col min="16123" max="16123" width="86.28515625" bestFit="1" customWidth="1"/>
    <col min="16124" max="16127" width="28.85546875" customWidth="1"/>
    <col min="16128" max="16128" width="12.5703125" customWidth="1"/>
    <col min="16129" max="16132" width="28.85546875" customWidth="1"/>
    <col min="16134" max="16135" width="20.28515625" customWidth="1"/>
  </cols>
  <sheetData>
    <row r="1" spans="2:7" ht="24" thickBot="1" x14ac:dyDescent="0.4"/>
    <row r="2" spans="2:7" ht="72" customHeight="1" thickBot="1" x14ac:dyDescent="0.3">
      <c r="B2" s="153"/>
      <c r="C2" s="286" t="s">
        <v>277</v>
      </c>
      <c r="D2" s="286"/>
      <c r="E2" s="286"/>
      <c r="F2" s="286"/>
      <c r="G2" s="286"/>
    </row>
    <row r="4" spans="2:7" ht="29.25" thickBot="1" x14ac:dyDescent="0.5">
      <c r="D4" s="287" t="s">
        <v>159</v>
      </c>
      <c r="E4" s="287"/>
      <c r="F4" s="287"/>
      <c r="G4" s="287"/>
    </row>
    <row r="5" spans="2:7" ht="21" customHeight="1" thickBot="1" x14ac:dyDescent="0.3">
      <c r="B5" s="4" t="s">
        <v>1</v>
      </c>
      <c r="C5" s="5" t="s">
        <v>2</v>
      </c>
      <c r="D5" s="6" t="s">
        <v>3</v>
      </c>
      <c r="E5" s="7" t="s">
        <v>4</v>
      </c>
      <c r="F5" s="7" t="s">
        <v>5</v>
      </c>
      <c r="G5" s="7" t="s">
        <v>6</v>
      </c>
    </row>
    <row r="6" spans="2:7" x14ac:dyDescent="0.35">
      <c r="B6" s="8">
        <v>11</v>
      </c>
      <c r="C6" s="8" t="s">
        <v>7</v>
      </c>
      <c r="D6" s="9">
        <f>SUM(D7:D10)</f>
        <v>72900000</v>
      </c>
      <c r="E6" s="9">
        <f>SUM(E7:E10)</f>
        <v>0</v>
      </c>
      <c r="F6" s="9">
        <f>SUM(F7:F10)</f>
        <v>0</v>
      </c>
      <c r="G6" s="9">
        <f>SUM(G7:G10)</f>
        <v>72900000</v>
      </c>
    </row>
    <row r="7" spans="2:7" x14ac:dyDescent="0.35">
      <c r="B7" s="10">
        <v>1105</v>
      </c>
      <c r="C7" s="10" t="s">
        <v>8</v>
      </c>
      <c r="D7" s="11">
        <f>+BP!G7</f>
        <v>500000</v>
      </c>
      <c r="E7" s="11"/>
      <c r="F7" s="11"/>
      <c r="G7" s="12">
        <f>+D7+E7-F7</f>
        <v>500000</v>
      </c>
    </row>
    <row r="8" spans="2:7" x14ac:dyDescent="0.35">
      <c r="B8" s="10">
        <v>1110</v>
      </c>
      <c r="C8" s="10" t="s">
        <v>9</v>
      </c>
      <c r="D8" s="11">
        <f>+BP!G8</f>
        <v>32400000</v>
      </c>
      <c r="E8" s="11"/>
      <c r="F8" s="11"/>
      <c r="G8" s="12">
        <f>+D8+E8-F8</f>
        <v>32400000</v>
      </c>
    </row>
    <row r="9" spans="2:7" x14ac:dyDescent="0.35">
      <c r="B9" s="10">
        <v>1150</v>
      </c>
      <c r="C9" s="10" t="s">
        <v>10</v>
      </c>
      <c r="D9" s="11">
        <f>+BP!G9</f>
        <v>15000000</v>
      </c>
      <c r="E9" s="11"/>
      <c r="F9" s="11"/>
      <c r="G9" s="12">
        <f>+D9+E9-F9</f>
        <v>15000000</v>
      </c>
    </row>
    <row r="10" spans="2:7" x14ac:dyDescent="0.35">
      <c r="B10" s="10">
        <v>1190</v>
      </c>
      <c r="C10" s="10" t="s">
        <v>11</v>
      </c>
      <c r="D10" s="11">
        <f>+BP!G10</f>
        <v>25000000</v>
      </c>
      <c r="E10" s="11"/>
      <c r="F10" s="11"/>
      <c r="G10" s="12">
        <f>+D10+E10-F10</f>
        <v>25000000</v>
      </c>
    </row>
    <row r="11" spans="2:7" x14ac:dyDescent="0.35">
      <c r="B11" s="13">
        <v>12</v>
      </c>
      <c r="C11" s="13" t="s">
        <v>12</v>
      </c>
      <c r="D11" s="14">
        <f>+D12+D19+D22</f>
        <v>73000000</v>
      </c>
      <c r="E11" s="14">
        <f>+E12+E19+E22</f>
        <v>0</v>
      </c>
      <c r="F11" s="14">
        <f>+F12+F19+F22</f>
        <v>3000000</v>
      </c>
      <c r="G11" s="14">
        <f>+G12+G19+G22</f>
        <v>70000000</v>
      </c>
    </row>
    <row r="12" spans="2:7" x14ac:dyDescent="0.35">
      <c r="B12" s="21">
        <v>1205</v>
      </c>
      <c r="C12" s="21" t="s">
        <v>13</v>
      </c>
      <c r="D12" s="22">
        <f>+D13+D14</f>
        <v>53000000</v>
      </c>
      <c r="E12" s="16">
        <f>+E13+E14</f>
        <v>0</v>
      </c>
      <c r="F12" s="16">
        <f>+F13+F14</f>
        <v>3000000</v>
      </c>
      <c r="G12" s="16">
        <f>+G13+G14</f>
        <v>50000000</v>
      </c>
    </row>
    <row r="13" spans="2:7" x14ac:dyDescent="0.35">
      <c r="B13" s="239" t="s">
        <v>14</v>
      </c>
      <c r="C13" s="240" t="s">
        <v>15</v>
      </c>
      <c r="D13" s="241">
        <f>+BP!G13</f>
        <v>50000000</v>
      </c>
      <c r="E13" s="11"/>
      <c r="F13" s="11"/>
      <c r="G13" s="12">
        <f>+D13+E13-F13</f>
        <v>50000000</v>
      </c>
    </row>
    <row r="14" spans="2:7" x14ac:dyDescent="0.35">
      <c r="B14" s="242" t="s">
        <v>16</v>
      </c>
      <c r="C14" s="243" t="s">
        <v>17</v>
      </c>
      <c r="D14" s="244">
        <f>+BP!G14</f>
        <v>3000000</v>
      </c>
      <c r="E14" s="11">
        <v>0</v>
      </c>
      <c r="F14" s="11">
        <f>+D14</f>
        <v>3000000</v>
      </c>
      <c r="G14" s="12">
        <f>+D14+E14-F14</f>
        <v>0</v>
      </c>
    </row>
    <row r="15" spans="2:7" x14ac:dyDescent="0.35">
      <c r="B15" s="15">
        <v>1210</v>
      </c>
      <c r="C15" s="15" t="s">
        <v>18</v>
      </c>
      <c r="D15" s="16">
        <f>+D16+D17+D18</f>
        <v>0</v>
      </c>
      <c r="E15" s="16">
        <f>+E16+E17+E18</f>
        <v>0</v>
      </c>
      <c r="F15" s="16">
        <f>+F16+F17+F18</f>
        <v>0</v>
      </c>
      <c r="G15" s="16">
        <f>+G16+G17+G18</f>
        <v>0</v>
      </c>
    </row>
    <row r="16" spans="2:7" x14ac:dyDescent="0.35">
      <c r="B16" s="17" t="s">
        <v>19</v>
      </c>
      <c r="C16" s="10" t="s">
        <v>15</v>
      </c>
      <c r="D16" s="11">
        <f>+BP!G16</f>
        <v>0</v>
      </c>
      <c r="E16" s="11"/>
      <c r="F16" s="11"/>
      <c r="G16" s="12">
        <f>+D16+E16-F16</f>
        <v>0</v>
      </c>
    </row>
    <row r="17" spans="2:7" x14ac:dyDescent="0.35">
      <c r="B17" s="17" t="s">
        <v>20</v>
      </c>
      <c r="C17" s="10" t="s">
        <v>17</v>
      </c>
      <c r="D17" s="11">
        <f>+BP!G17</f>
        <v>0</v>
      </c>
      <c r="E17" s="11"/>
      <c r="F17" s="11"/>
      <c r="G17" s="12">
        <f>+D17+E17-F17</f>
        <v>0</v>
      </c>
    </row>
    <row r="18" spans="2:7" x14ac:dyDescent="0.35">
      <c r="B18" s="17" t="s">
        <v>20</v>
      </c>
      <c r="C18" s="10" t="s">
        <v>21</v>
      </c>
      <c r="D18" s="11">
        <f>+BP!G18</f>
        <v>0</v>
      </c>
      <c r="E18" s="11"/>
      <c r="F18" s="11"/>
      <c r="G18" s="12">
        <f>+D18+E18-F18</f>
        <v>0</v>
      </c>
    </row>
    <row r="19" spans="2:7" x14ac:dyDescent="0.35">
      <c r="B19" s="44">
        <v>1250</v>
      </c>
      <c r="C19" s="44" t="s">
        <v>22</v>
      </c>
      <c r="D19" s="45">
        <f>+D20+D21</f>
        <v>20000000</v>
      </c>
      <c r="E19" s="16">
        <f>+E20+E21</f>
        <v>0</v>
      </c>
      <c r="F19" s="16">
        <f>+F20+F21</f>
        <v>0</v>
      </c>
      <c r="G19" s="16">
        <f>+G20+G21</f>
        <v>20000000</v>
      </c>
    </row>
    <row r="20" spans="2:7" x14ac:dyDescent="0.35">
      <c r="B20" s="242" t="s">
        <v>23</v>
      </c>
      <c r="C20" s="243" t="s">
        <v>15</v>
      </c>
      <c r="D20" s="244">
        <f>+BP!G20</f>
        <v>20000000</v>
      </c>
      <c r="E20" s="11"/>
      <c r="F20" s="11"/>
      <c r="G20" s="12">
        <f>+D20+E20-F20</f>
        <v>20000000</v>
      </c>
    </row>
    <row r="21" spans="2:7" s="18" customFormat="1" x14ac:dyDescent="0.35">
      <c r="B21" s="17" t="s">
        <v>24</v>
      </c>
      <c r="C21" s="10" t="s">
        <v>25</v>
      </c>
      <c r="D21" s="11">
        <f>+BP!G21</f>
        <v>0</v>
      </c>
      <c r="E21" s="11">
        <v>0</v>
      </c>
      <c r="F21" s="11"/>
      <c r="G21" s="12">
        <f>+D21+E21-F21</f>
        <v>0</v>
      </c>
    </row>
    <row r="22" spans="2:7" x14ac:dyDescent="0.35">
      <c r="B22" s="19">
        <v>1299</v>
      </c>
      <c r="C22" s="15" t="s">
        <v>26</v>
      </c>
      <c r="D22" s="16">
        <f>+D23</f>
        <v>0</v>
      </c>
      <c r="E22" s="16"/>
      <c r="F22" s="16"/>
      <c r="G22" s="12">
        <f>+D22+E22-F22</f>
        <v>0</v>
      </c>
    </row>
    <row r="23" spans="2:7" x14ac:dyDescent="0.35">
      <c r="B23" s="17" t="s">
        <v>27</v>
      </c>
      <c r="C23" s="10" t="s">
        <v>28</v>
      </c>
      <c r="D23" s="11">
        <f>+BP!G23</f>
        <v>0</v>
      </c>
      <c r="E23" s="11"/>
      <c r="F23" s="11"/>
      <c r="G23" s="12">
        <f>+D23+E23-F23</f>
        <v>0</v>
      </c>
    </row>
    <row r="24" spans="2:7" x14ac:dyDescent="0.35">
      <c r="B24" s="13">
        <v>13</v>
      </c>
      <c r="C24" s="13" t="s">
        <v>29</v>
      </c>
      <c r="D24" s="14">
        <f>+D25+D29+D34+D27</f>
        <v>109700000</v>
      </c>
      <c r="E24" s="14">
        <f>+E25+E29+E34+E27</f>
        <v>6000000</v>
      </c>
      <c r="F24" s="14">
        <f>+F25+F29+F34+F27</f>
        <v>0</v>
      </c>
      <c r="G24" s="14">
        <f>+G25+G29+G34+G27</f>
        <v>115700000</v>
      </c>
    </row>
    <row r="25" spans="2:7" x14ac:dyDescent="0.35">
      <c r="B25" s="15">
        <v>1305</v>
      </c>
      <c r="C25" s="15" t="s">
        <v>30</v>
      </c>
      <c r="D25" s="16">
        <f>+D26</f>
        <v>65000000</v>
      </c>
      <c r="E25" s="16">
        <f>+E26</f>
        <v>0</v>
      </c>
      <c r="F25" s="16">
        <f>+F26</f>
        <v>0</v>
      </c>
      <c r="G25" s="16">
        <f>+G26</f>
        <v>65000000</v>
      </c>
    </row>
    <row r="26" spans="2:7" x14ac:dyDescent="0.35">
      <c r="B26" s="230" t="s">
        <v>31</v>
      </c>
      <c r="C26" s="231" t="s">
        <v>32</v>
      </c>
      <c r="D26" s="232">
        <f>+BP!G26</f>
        <v>65000000</v>
      </c>
      <c r="E26" s="232">
        <v>0</v>
      </c>
      <c r="F26" s="232"/>
      <c r="G26" s="233">
        <f>+D26+E26-F26</f>
        <v>65000000</v>
      </c>
    </row>
    <row r="27" spans="2:7" x14ac:dyDescent="0.35">
      <c r="B27" s="15">
        <v>1325</v>
      </c>
      <c r="C27" s="15" t="s">
        <v>33</v>
      </c>
      <c r="D27" s="16">
        <f>+D28</f>
        <v>30000000</v>
      </c>
      <c r="E27" s="16">
        <f>+E28</f>
        <v>0</v>
      </c>
      <c r="F27" s="16">
        <f>+F28</f>
        <v>0</v>
      </c>
      <c r="G27" s="16">
        <f>+G28</f>
        <v>30000000</v>
      </c>
    </row>
    <row r="28" spans="2:7" x14ac:dyDescent="0.35">
      <c r="B28" s="17" t="s">
        <v>34</v>
      </c>
      <c r="C28" s="10" t="s">
        <v>35</v>
      </c>
      <c r="D28" s="11">
        <f>+BP!G28</f>
        <v>30000000</v>
      </c>
      <c r="E28" s="11"/>
      <c r="F28" s="11"/>
      <c r="G28" s="12">
        <f>+D28+E28-F28</f>
        <v>30000000</v>
      </c>
    </row>
    <row r="29" spans="2:7" x14ac:dyDescent="0.35">
      <c r="B29" s="245">
        <v>1355</v>
      </c>
      <c r="C29" s="245" t="s">
        <v>36</v>
      </c>
      <c r="D29" s="246">
        <f>SUM(D30:D33)</f>
        <v>20700000</v>
      </c>
      <c r="E29" s="16">
        <f t="shared" ref="E29:G29" si="0">SUM(E30:E33)</f>
        <v>0</v>
      </c>
      <c r="F29" s="16">
        <f t="shared" si="0"/>
        <v>0</v>
      </c>
      <c r="G29" s="16">
        <f t="shared" si="0"/>
        <v>20700000</v>
      </c>
    </row>
    <row r="30" spans="2:7" x14ac:dyDescent="0.35">
      <c r="B30" s="17" t="s">
        <v>37</v>
      </c>
      <c r="C30" s="10" t="s">
        <v>38</v>
      </c>
      <c r="D30" s="11">
        <f>+BP!G30</f>
        <v>17500000</v>
      </c>
      <c r="E30" s="11">
        <v>0</v>
      </c>
      <c r="F30" s="11">
        <v>0</v>
      </c>
      <c r="G30" s="12">
        <f>+D30+E30-F30</f>
        <v>17500000</v>
      </c>
    </row>
    <row r="31" spans="2:7" x14ac:dyDescent="0.35">
      <c r="B31" s="17" t="s">
        <v>37</v>
      </c>
      <c r="C31" s="10" t="s">
        <v>39</v>
      </c>
      <c r="D31" s="11">
        <f>+BP!G31</f>
        <v>3200000</v>
      </c>
      <c r="E31" s="11"/>
      <c r="F31" s="11">
        <v>0</v>
      </c>
      <c r="G31" s="12">
        <f>+D31+E31-F31</f>
        <v>3200000</v>
      </c>
    </row>
    <row r="32" spans="2:7" x14ac:dyDescent="0.35">
      <c r="B32" s="20" t="s">
        <v>40</v>
      </c>
      <c r="C32" s="21" t="s">
        <v>41</v>
      </c>
      <c r="D32" s="11">
        <f>+BP!G32</f>
        <v>0</v>
      </c>
      <c r="E32" s="22">
        <v>0</v>
      </c>
      <c r="F32" s="22"/>
      <c r="G32" s="23">
        <f>+D32+E32-F32</f>
        <v>0</v>
      </c>
    </row>
    <row r="33" spans="2:7" x14ac:dyDescent="0.35">
      <c r="B33" s="17" t="s">
        <v>42</v>
      </c>
      <c r="C33" s="10" t="s">
        <v>43</v>
      </c>
      <c r="D33" s="11">
        <f>+BP!G33</f>
        <v>0</v>
      </c>
      <c r="E33" s="11">
        <v>0</v>
      </c>
      <c r="F33" s="11">
        <v>0</v>
      </c>
      <c r="G33" s="12">
        <f>+D33+E33-F33</f>
        <v>0</v>
      </c>
    </row>
    <row r="34" spans="2:7" x14ac:dyDescent="0.35">
      <c r="B34" s="234">
        <v>1399</v>
      </c>
      <c r="C34" s="234" t="s">
        <v>44</v>
      </c>
      <c r="D34" s="235">
        <f>+D35</f>
        <v>-6000000</v>
      </c>
      <c r="E34" s="235">
        <f>-D34</f>
        <v>6000000</v>
      </c>
      <c r="F34" s="235">
        <f>+F35</f>
        <v>0</v>
      </c>
      <c r="G34" s="235">
        <f>+D34+E34</f>
        <v>0</v>
      </c>
    </row>
    <row r="35" spans="2:7" x14ac:dyDescent="0.35">
      <c r="B35" s="213" t="s">
        <v>45</v>
      </c>
      <c r="C35" s="214" t="s">
        <v>46</v>
      </c>
      <c r="D35" s="215">
        <f>+BP!G35</f>
        <v>-6000000</v>
      </c>
      <c r="E35" s="215">
        <v>0</v>
      </c>
      <c r="F35" s="215">
        <v>0</v>
      </c>
      <c r="G35" s="216">
        <f>+D35+E35-F35</f>
        <v>-6000000</v>
      </c>
    </row>
    <row r="36" spans="2:7" x14ac:dyDescent="0.35">
      <c r="B36" s="13">
        <v>14</v>
      </c>
      <c r="C36" s="13" t="s">
        <v>47</v>
      </c>
      <c r="D36" s="14">
        <f>+D37+D38</f>
        <v>66725000</v>
      </c>
      <c r="E36" s="14">
        <f>+E37+E38</f>
        <v>11775000</v>
      </c>
      <c r="F36" s="14">
        <f>+F37+F38</f>
        <v>0</v>
      </c>
      <c r="G36" s="236">
        <f>+G37+G38</f>
        <v>78500000</v>
      </c>
    </row>
    <row r="37" spans="2:7" x14ac:dyDescent="0.35">
      <c r="B37" s="10">
        <v>1435</v>
      </c>
      <c r="C37" s="10" t="s">
        <v>48</v>
      </c>
      <c r="D37" s="11">
        <f>+BP!G37</f>
        <v>78500000</v>
      </c>
      <c r="E37" s="11"/>
      <c r="F37" s="11"/>
      <c r="G37" s="12">
        <f>+D37+E37-F37</f>
        <v>78500000</v>
      </c>
    </row>
    <row r="38" spans="2:7" x14ac:dyDescent="0.35">
      <c r="B38" s="10">
        <v>1499</v>
      </c>
      <c r="C38" s="10" t="s">
        <v>49</v>
      </c>
      <c r="D38" s="11">
        <f>+BP!G38</f>
        <v>-11775000</v>
      </c>
      <c r="E38" s="11">
        <f>-D38</f>
        <v>11775000</v>
      </c>
      <c r="F38" s="11">
        <v>0</v>
      </c>
      <c r="G38" s="12">
        <f>+D38+E38-F38</f>
        <v>0</v>
      </c>
    </row>
    <row r="39" spans="2:7" x14ac:dyDescent="0.35">
      <c r="B39" s="13">
        <v>15</v>
      </c>
      <c r="C39" s="13" t="s">
        <v>50</v>
      </c>
      <c r="D39" s="14">
        <f>+D40+D43+D46+D49+D51+D55</f>
        <v>796000000</v>
      </c>
      <c r="E39" s="14">
        <f>+E40+E43+E46+E49+E51+E55</f>
        <v>136500000</v>
      </c>
      <c r="F39" s="14">
        <f>+F40+F43+F46+F49+F51+F55</f>
        <v>11500000</v>
      </c>
      <c r="G39" s="14">
        <f>+G40+G43+G46+G49+G51+G55</f>
        <v>921000000</v>
      </c>
    </row>
    <row r="40" spans="2:7" x14ac:dyDescent="0.35">
      <c r="B40" s="25">
        <v>1508</v>
      </c>
      <c r="C40" s="25" t="s">
        <v>51</v>
      </c>
      <c r="D40" s="26">
        <f>+D41+D42</f>
        <v>180000000</v>
      </c>
      <c r="E40" s="26">
        <f>+E41+E42</f>
        <v>80000000</v>
      </c>
      <c r="F40" s="26">
        <f>+F41+F42</f>
        <v>0</v>
      </c>
      <c r="G40" s="26">
        <f>+G41+G42</f>
        <v>260000000</v>
      </c>
    </row>
    <row r="41" spans="2:7" x14ac:dyDescent="0.35">
      <c r="B41" s="27">
        <v>150805</v>
      </c>
      <c r="C41" s="10" t="s">
        <v>52</v>
      </c>
      <c r="D41" s="11">
        <f>+BP!G41</f>
        <v>100000000</v>
      </c>
      <c r="E41" s="11"/>
      <c r="F41" s="11"/>
      <c r="G41" s="12">
        <f>+D41+E41-F41</f>
        <v>100000000</v>
      </c>
    </row>
    <row r="42" spans="2:7" x14ac:dyDescent="0.35">
      <c r="B42" s="27">
        <v>150810</v>
      </c>
      <c r="C42" s="10" t="s">
        <v>53</v>
      </c>
      <c r="D42" s="11">
        <f>+BP!G42</f>
        <v>80000000</v>
      </c>
      <c r="E42" s="11">
        <f>+PPYE!C5</f>
        <v>80000000</v>
      </c>
      <c r="F42" s="11"/>
      <c r="G42" s="12">
        <f>+D42+E42-F42</f>
        <v>160000000</v>
      </c>
    </row>
    <row r="43" spans="2:7" x14ac:dyDescent="0.35">
      <c r="B43" s="28">
        <v>1516</v>
      </c>
      <c r="C43" s="15" t="s">
        <v>54</v>
      </c>
      <c r="D43" s="16">
        <f>+D44+D45</f>
        <v>450000000</v>
      </c>
      <c r="E43" s="16">
        <f>+E44+E45</f>
        <v>50000000</v>
      </c>
      <c r="F43" s="16">
        <f>+F44+F45</f>
        <v>0</v>
      </c>
      <c r="G43" s="16">
        <f>+G44+G45</f>
        <v>500000000</v>
      </c>
    </row>
    <row r="44" spans="2:7" x14ac:dyDescent="0.35">
      <c r="B44" s="27">
        <v>151605</v>
      </c>
      <c r="C44" s="10" t="s">
        <v>55</v>
      </c>
      <c r="D44" s="11">
        <f>+BP!G44</f>
        <v>400000000</v>
      </c>
      <c r="E44" s="11"/>
      <c r="F44" s="11"/>
      <c r="G44" s="12">
        <f>+D44+E44-F44</f>
        <v>400000000</v>
      </c>
    </row>
    <row r="45" spans="2:7" x14ac:dyDescent="0.35">
      <c r="B45" s="27">
        <v>151610</v>
      </c>
      <c r="C45" s="10" t="s">
        <v>56</v>
      </c>
      <c r="D45" s="11">
        <f>+BP!G45</f>
        <v>50000000</v>
      </c>
      <c r="E45" s="11">
        <f>+PPYE!C8</f>
        <v>50000000</v>
      </c>
      <c r="F45" s="11"/>
      <c r="G45" s="12">
        <f>+D45+E45-F45</f>
        <v>100000000</v>
      </c>
    </row>
    <row r="46" spans="2:7" x14ac:dyDescent="0.35">
      <c r="B46" s="28">
        <v>1520</v>
      </c>
      <c r="C46" s="29" t="s">
        <v>57</v>
      </c>
      <c r="D46" s="16">
        <f>+D47+D48</f>
        <v>119000000</v>
      </c>
      <c r="E46" s="16">
        <f>+E47+E48</f>
        <v>0</v>
      </c>
      <c r="F46" s="16">
        <f>+F47+F48</f>
        <v>0</v>
      </c>
      <c r="G46" s="16">
        <f>+G47+G48</f>
        <v>119000000</v>
      </c>
    </row>
    <row r="47" spans="2:7" x14ac:dyDescent="0.35">
      <c r="B47" s="27">
        <v>152005</v>
      </c>
      <c r="C47" s="30" t="s">
        <v>58</v>
      </c>
      <c r="D47" s="11">
        <f>+BP!G47</f>
        <v>100000000</v>
      </c>
      <c r="E47" s="11"/>
      <c r="F47" s="11"/>
      <c r="G47" s="12">
        <f>+D47+E47-F47</f>
        <v>100000000</v>
      </c>
    </row>
    <row r="48" spans="2:7" x14ac:dyDescent="0.35">
      <c r="B48" s="27" t="s">
        <v>59</v>
      </c>
      <c r="C48" s="30" t="s">
        <v>60</v>
      </c>
      <c r="D48" s="11">
        <f>+BP!G48</f>
        <v>19000000</v>
      </c>
      <c r="E48" s="11"/>
      <c r="F48" s="11"/>
      <c r="G48" s="12">
        <f>+D48+E48-F48</f>
        <v>19000000</v>
      </c>
    </row>
    <row r="49" spans="2:7" x14ac:dyDescent="0.35">
      <c r="B49" s="15">
        <v>1540</v>
      </c>
      <c r="C49" s="15" t="s">
        <v>61</v>
      </c>
      <c r="D49" s="16">
        <f>+D50</f>
        <v>65000000</v>
      </c>
      <c r="E49" s="16">
        <f>+E50</f>
        <v>0</v>
      </c>
      <c r="F49" s="16">
        <f>+F50</f>
        <v>0</v>
      </c>
      <c r="G49" s="16">
        <f>+G50</f>
        <v>65000000</v>
      </c>
    </row>
    <row r="50" spans="2:7" x14ac:dyDescent="0.35">
      <c r="B50" s="10">
        <v>154005</v>
      </c>
      <c r="C50" s="10" t="s">
        <v>62</v>
      </c>
      <c r="D50" s="11">
        <f>+BP!G50</f>
        <v>65000000</v>
      </c>
      <c r="E50" s="11"/>
      <c r="F50" s="11"/>
      <c r="G50" s="12">
        <f>+D50+E50-F50</f>
        <v>65000000</v>
      </c>
    </row>
    <row r="51" spans="2:7" s="18" customFormat="1" x14ac:dyDescent="0.35">
      <c r="B51" s="28">
        <v>1592</v>
      </c>
      <c r="C51" s="31" t="s">
        <v>63</v>
      </c>
      <c r="D51" s="16">
        <f>+D52+D53+D54</f>
        <v>-11500000</v>
      </c>
      <c r="E51" s="16">
        <f>+E52+E53+E54</f>
        <v>0</v>
      </c>
      <c r="F51" s="16">
        <f>+F52+F53+F54</f>
        <v>11500000</v>
      </c>
      <c r="G51" s="16">
        <f>+G52+G53+G54</f>
        <v>-23000000</v>
      </c>
    </row>
    <row r="52" spans="2:7" s="18" customFormat="1" x14ac:dyDescent="0.35">
      <c r="B52" s="27">
        <v>159216</v>
      </c>
      <c r="C52" s="30" t="s">
        <v>54</v>
      </c>
      <c r="D52" s="11">
        <f>+BP!G52</f>
        <v>0</v>
      </c>
      <c r="E52" s="11"/>
      <c r="F52" s="11"/>
      <c r="G52" s="12">
        <f>+D52+E52-F52</f>
        <v>0</v>
      </c>
    </row>
    <row r="53" spans="2:7" s="18" customFormat="1" x14ac:dyDescent="0.35">
      <c r="B53" s="27">
        <v>159220</v>
      </c>
      <c r="C53" s="30" t="s">
        <v>64</v>
      </c>
      <c r="D53" s="11">
        <f>+BP!G53</f>
        <v>-5000000</v>
      </c>
      <c r="E53" s="11"/>
      <c r="F53" s="11">
        <f>+PPYE!D26</f>
        <v>5000000</v>
      </c>
      <c r="G53" s="12">
        <f>+D53+E53-F53</f>
        <v>-10000000</v>
      </c>
    </row>
    <row r="54" spans="2:7" x14ac:dyDescent="0.35">
      <c r="B54" s="27">
        <v>159240</v>
      </c>
      <c r="C54" s="30" t="s">
        <v>65</v>
      </c>
      <c r="D54" s="11">
        <f>+BP!G54</f>
        <v>-6500000</v>
      </c>
      <c r="E54" s="11"/>
      <c r="F54" s="11">
        <f>+PPYE!D27</f>
        <v>6500000</v>
      </c>
      <c r="G54" s="12">
        <f>+D54+E54-F54</f>
        <v>-13000000</v>
      </c>
    </row>
    <row r="55" spans="2:7" x14ac:dyDescent="0.35">
      <c r="B55" s="28">
        <v>1599</v>
      </c>
      <c r="C55" s="31" t="s">
        <v>66</v>
      </c>
      <c r="D55" s="16">
        <f>+D56+D57+D58</f>
        <v>-6500000</v>
      </c>
      <c r="E55" s="16">
        <f>+E56+E57+E58</f>
        <v>6500000</v>
      </c>
      <c r="F55" s="16">
        <f>+F56+F57+F58</f>
        <v>0</v>
      </c>
      <c r="G55" s="16">
        <f>+G56+G57+G58</f>
        <v>0</v>
      </c>
    </row>
    <row r="56" spans="2:7" x14ac:dyDescent="0.35">
      <c r="B56" s="27" t="s">
        <v>67</v>
      </c>
      <c r="C56" s="30" t="s">
        <v>54</v>
      </c>
      <c r="D56" s="11">
        <f>+BP!G56</f>
        <v>0</v>
      </c>
      <c r="E56" s="11"/>
      <c r="F56" s="11"/>
      <c r="G56" s="12">
        <f>+D56+E56-F56</f>
        <v>0</v>
      </c>
    </row>
    <row r="57" spans="2:7" x14ac:dyDescent="0.35">
      <c r="B57" s="27" t="s">
        <v>67</v>
      </c>
      <c r="C57" s="30" t="s">
        <v>64</v>
      </c>
      <c r="D57" s="11">
        <f>+BP!G57</f>
        <v>0</v>
      </c>
      <c r="E57" s="11"/>
      <c r="F57" s="11"/>
      <c r="G57" s="12">
        <f>+D57+E57-F57</f>
        <v>0</v>
      </c>
    </row>
    <row r="58" spans="2:7" x14ac:dyDescent="0.35">
      <c r="B58" s="27" t="s">
        <v>67</v>
      </c>
      <c r="C58" s="30" t="s">
        <v>65</v>
      </c>
      <c r="D58" s="11">
        <f>+BP!G58</f>
        <v>-6500000</v>
      </c>
      <c r="E58" s="11">
        <f>-D58</f>
        <v>6500000</v>
      </c>
      <c r="F58" s="11">
        <v>0</v>
      </c>
      <c r="G58" s="12">
        <f>+D58+E58-F58</f>
        <v>0</v>
      </c>
    </row>
    <row r="59" spans="2:7" x14ac:dyDescent="0.35">
      <c r="B59" s="32">
        <v>16</v>
      </c>
      <c r="C59" s="33" t="s">
        <v>68</v>
      </c>
      <c r="D59" s="14">
        <f>+D60+D61</f>
        <v>50000000</v>
      </c>
      <c r="E59" s="14">
        <f>+E60+E61</f>
        <v>0</v>
      </c>
      <c r="F59" s="14">
        <f>+F60+F61</f>
        <v>0</v>
      </c>
      <c r="G59" s="14">
        <f>+G60+G61</f>
        <v>50000000</v>
      </c>
    </row>
    <row r="60" spans="2:7" x14ac:dyDescent="0.35">
      <c r="B60" s="27">
        <v>1625</v>
      </c>
      <c r="C60" s="34" t="s">
        <v>69</v>
      </c>
      <c r="D60" s="11">
        <f>+BP!G60</f>
        <v>50000000</v>
      </c>
      <c r="E60" s="11"/>
      <c r="F60" s="11"/>
      <c r="G60" s="12">
        <f>+D60+E60-F60</f>
        <v>50000000</v>
      </c>
    </row>
    <row r="61" spans="2:7" x14ac:dyDescent="0.35">
      <c r="B61" s="27">
        <v>1698</v>
      </c>
      <c r="C61" s="34" t="s">
        <v>70</v>
      </c>
      <c r="D61" s="11">
        <f>+BP!G61</f>
        <v>0</v>
      </c>
      <c r="E61" s="11"/>
      <c r="F61" s="11"/>
      <c r="G61" s="12">
        <f>+D61+E61-F61</f>
        <v>0</v>
      </c>
    </row>
    <row r="62" spans="2:7" x14ac:dyDescent="0.35">
      <c r="B62" s="197">
        <v>17</v>
      </c>
      <c r="C62" s="198" t="s">
        <v>71</v>
      </c>
      <c r="D62" s="199">
        <f>+D63</f>
        <v>3500000</v>
      </c>
      <c r="E62" s="199"/>
      <c r="F62" s="199">
        <f>+F63</f>
        <v>3500000</v>
      </c>
      <c r="G62" s="199">
        <f>+G63</f>
        <v>0</v>
      </c>
    </row>
    <row r="63" spans="2:7" x14ac:dyDescent="0.35">
      <c r="B63" s="200">
        <v>1705</v>
      </c>
      <c r="C63" s="201" t="s">
        <v>72</v>
      </c>
      <c r="D63" s="202">
        <f>+BP!G63</f>
        <v>3500000</v>
      </c>
      <c r="E63" s="202"/>
      <c r="F63" s="202">
        <v>3500000</v>
      </c>
      <c r="G63" s="203">
        <f>+D63+E63-F63</f>
        <v>0</v>
      </c>
    </row>
    <row r="64" spans="2:7" x14ac:dyDescent="0.35">
      <c r="B64" s="13">
        <v>21</v>
      </c>
      <c r="C64" s="13" t="s">
        <v>73</v>
      </c>
      <c r="D64" s="14">
        <f>+D65+D67</f>
        <v>170000000</v>
      </c>
      <c r="E64" s="14">
        <f>+E65+E67</f>
        <v>0</v>
      </c>
      <c r="F64" s="14">
        <f>+F65+F67</f>
        <v>0</v>
      </c>
      <c r="G64" s="14">
        <f>+G65+G67</f>
        <v>170000000</v>
      </c>
    </row>
    <row r="65" spans="2:7" x14ac:dyDescent="0.35">
      <c r="B65" s="27">
        <v>2105</v>
      </c>
      <c r="C65" s="34" t="s">
        <v>74</v>
      </c>
      <c r="D65" s="11">
        <f>+BP!G65</f>
        <v>120000000</v>
      </c>
      <c r="E65" s="11"/>
      <c r="F65" s="11"/>
      <c r="G65" s="12">
        <f>+D65+E65-F65</f>
        <v>120000000</v>
      </c>
    </row>
    <row r="66" spans="2:7" x14ac:dyDescent="0.35">
      <c r="B66" s="27">
        <v>2110</v>
      </c>
      <c r="C66" s="34" t="s">
        <v>75</v>
      </c>
      <c r="D66" s="11">
        <f>+BP!G66</f>
        <v>0</v>
      </c>
      <c r="E66" s="11"/>
      <c r="F66" s="11"/>
      <c r="G66" s="12">
        <f>+D66+E66-F66</f>
        <v>0</v>
      </c>
    </row>
    <row r="67" spans="2:7" x14ac:dyDescent="0.35">
      <c r="B67" s="10">
        <v>2115</v>
      </c>
      <c r="C67" s="10" t="s">
        <v>76</v>
      </c>
      <c r="D67" s="11">
        <f>+BP!G67</f>
        <v>50000000</v>
      </c>
      <c r="E67" s="11"/>
      <c r="F67" s="11"/>
      <c r="G67" s="12">
        <f>+D67+E67-F67</f>
        <v>50000000</v>
      </c>
    </row>
    <row r="68" spans="2:7" x14ac:dyDescent="0.35">
      <c r="B68" s="13">
        <v>22</v>
      </c>
      <c r="C68" s="13" t="s">
        <v>77</v>
      </c>
      <c r="D68" s="14">
        <f>+D69</f>
        <v>120000000</v>
      </c>
      <c r="E68" s="14">
        <f>+E69</f>
        <v>1050000</v>
      </c>
      <c r="F68" s="14">
        <f>+F69</f>
        <v>0</v>
      </c>
      <c r="G68" s="14">
        <f>+G69</f>
        <v>118950000</v>
      </c>
    </row>
    <row r="69" spans="2:7" s="18" customFormat="1" x14ac:dyDescent="0.35">
      <c r="B69" s="10">
        <v>2205</v>
      </c>
      <c r="C69" s="10" t="s">
        <v>77</v>
      </c>
      <c r="D69" s="11">
        <f>+BP!G69</f>
        <v>120000000</v>
      </c>
      <c r="E69" s="11">
        <f>+E70+E71</f>
        <v>1050000</v>
      </c>
      <c r="F69" s="11"/>
      <c r="G69" s="12">
        <f>+D69-E69+F69</f>
        <v>118950000</v>
      </c>
    </row>
    <row r="70" spans="2:7" s="18" customFormat="1" x14ac:dyDescent="0.35">
      <c r="B70" s="17" t="s">
        <v>78</v>
      </c>
      <c r="C70" s="10" t="s">
        <v>32</v>
      </c>
      <c r="D70" s="11">
        <f>+BP!G70</f>
        <v>75000000</v>
      </c>
      <c r="E70" s="11"/>
      <c r="F70" s="11"/>
      <c r="G70" s="12">
        <f>+D70-E70+F70</f>
        <v>75000000</v>
      </c>
    </row>
    <row r="71" spans="2:7" s="18" customFormat="1" x14ac:dyDescent="0.35">
      <c r="B71" s="17" t="s">
        <v>78</v>
      </c>
      <c r="C71" s="10" t="s">
        <v>79</v>
      </c>
      <c r="D71" s="11">
        <f>+BP!G71</f>
        <v>46050000</v>
      </c>
      <c r="E71" s="11">
        <v>1050000</v>
      </c>
      <c r="F71" s="11">
        <v>0</v>
      </c>
      <c r="G71" s="12">
        <f>+D71-E71+F71</f>
        <v>45000000</v>
      </c>
    </row>
    <row r="72" spans="2:7" s="18" customFormat="1" x14ac:dyDescent="0.35">
      <c r="B72" s="13">
        <v>23</v>
      </c>
      <c r="C72" s="13" t="s">
        <v>80</v>
      </c>
      <c r="D72" s="14">
        <f>+D73+D74+D75</f>
        <v>20000000</v>
      </c>
      <c r="E72" s="14">
        <f>+E73+E74+E75</f>
        <v>0</v>
      </c>
      <c r="F72" s="14">
        <f>+F73+F74+F75</f>
        <v>0</v>
      </c>
      <c r="G72" s="14">
        <f>+G73+G74+G75</f>
        <v>20000000</v>
      </c>
    </row>
    <row r="73" spans="2:7" s="18" customFormat="1" x14ac:dyDescent="0.35">
      <c r="B73" s="10">
        <v>2355</v>
      </c>
      <c r="C73" s="10" t="s">
        <v>81</v>
      </c>
      <c r="D73" s="11">
        <f>+BP!G73</f>
        <v>0</v>
      </c>
      <c r="E73" s="11"/>
      <c r="F73" s="11"/>
      <c r="G73" s="12">
        <f>+D73-E73+F73</f>
        <v>0</v>
      </c>
    </row>
    <row r="74" spans="2:7" s="18" customFormat="1" x14ac:dyDescent="0.35">
      <c r="B74" s="10">
        <v>2365</v>
      </c>
      <c r="C74" s="10" t="s">
        <v>82</v>
      </c>
      <c r="D74" s="11">
        <f>+BP!G74</f>
        <v>8000000</v>
      </c>
      <c r="E74" s="11"/>
      <c r="F74" s="11"/>
      <c r="G74" s="12">
        <f>+D74-E74+F74</f>
        <v>8000000</v>
      </c>
    </row>
    <row r="75" spans="2:7" s="18" customFormat="1" x14ac:dyDescent="0.35">
      <c r="B75" s="10">
        <v>2370</v>
      </c>
      <c r="C75" s="10" t="s">
        <v>83</v>
      </c>
      <c r="D75" s="11">
        <f>+BP!G75</f>
        <v>12000000</v>
      </c>
      <c r="E75" s="11"/>
      <c r="F75" s="11"/>
      <c r="G75" s="12">
        <f>+D75-E75+F75</f>
        <v>12000000</v>
      </c>
    </row>
    <row r="76" spans="2:7" s="18" customFormat="1" x14ac:dyDescent="0.35">
      <c r="B76" s="13">
        <v>24</v>
      </c>
      <c r="C76" s="13" t="s">
        <v>84</v>
      </c>
      <c r="D76" s="14">
        <f>+D77+D78+D79</f>
        <v>8500000</v>
      </c>
      <c r="E76" s="14">
        <f>+E77+E78+E79</f>
        <v>0</v>
      </c>
      <c r="F76" s="14">
        <f>+F77+F78+F79</f>
        <v>0</v>
      </c>
      <c r="G76" s="14">
        <f>+G77+G78+G79</f>
        <v>8500000</v>
      </c>
    </row>
    <row r="77" spans="2:7" s="18" customFormat="1" x14ac:dyDescent="0.35">
      <c r="B77" s="35">
        <v>2404</v>
      </c>
      <c r="C77" s="35" t="s">
        <v>85</v>
      </c>
      <c r="D77" s="36">
        <f>+BP!G77</f>
        <v>0</v>
      </c>
      <c r="E77" s="36"/>
      <c r="F77" s="36"/>
      <c r="G77" s="12">
        <f>+D77-E77+F77</f>
        <v>0</v>
      </c>
    </row>
    <row r="78" spans="2:7" s="18" customFormat="1" x14ac:dyDescent="0.35">
      <c r="B78" s="35">
        <v>2405</v>
      </c>
      <c r="C78" s="35" t="s">
        <v>86</v>
      </c>
      <c r="D78" s="36">
        <f>+BP!G78</f>
        <v>0</v>
      </c>
      <c r="E78" s="36"/>
      <c r="F78" s="36"/>
      <c r="G78" s="12">
        <f>+D78-E78+F78</f>
        <v>0</v>
      </c>
    </row>
    <row r="79" spans="2:7" x14ac:dyDescent="0.35">
      <c r="B79" s="35">
        <v>2408</v>
      </c>
      <c r="C79" s="35" t="s">
        <v>87</v>
      </c>
      <c r="D79" s="36">
        <f>+BP!G79</f>
        <v>8500000</v>
      </c>
      <c r="E79" s="36"/>
      <c r="F79" s="36"/>
      <c r="G79" s="12">
        <f>+D79-E79+F79</f>
        <v>8500000</v>
      </c>
    </row>
    <row r="80" spans="2:7" x14ac:dyDescent="0.35">
      <c r="B80" s="13">
        <v>25</v>
      </c>
      <c r="C80" s="13" t="s">
        <v>88</v>
      </c>
      <c r="D80" s="14">
        <f>+D81+D86+D87+D88</f>
        <v>15000000</v>
      </c>
      <c r="E80" s="14">
        <f>+E81+E86+E87+E88</f>
        <v>0</v>
      </c>
      <c r="F80" s="14">
        <f>+F81+F86+F87+F88</f>
        <v>0</v>
      </c>
      <c r="G80" s="14">
        <f>+G81+G86+G87+G88</f>
        <v>15000000</v>
      </c>
    </row>
    <row r="81" spans="2:7" x14ac:dyDescent="0.35">
      <c r="B81" s="37" t="s">
        <v>89</v>
      </c>
      <c r="C81" s="38" t="s">
        <v>90</v>
      </c>
      <c r="D81" s="26">
        <f>+D82+D83+D84+D85</f>
        <v>15000000</v>
      </c>
      <c r="E81" s="26">
        <f>+E82+E83+E84+E85</f>
        <v>0</v>
      </c>
      <c r="F81" s="26">
        <f>+F82+F83+F84+F85</f>
        <v>0</v>
      </c>
      <c r="G81" s="26">
        <f>+G82+G83+G84+G85</f>
        <v>15000000</v>
      </c>
    </row>
    <row r="82" spans="2:7" x14ac:dyDescent="0.35">
      <c r="B82" s="39" t="s">
        <v>91</v>
      </c>
      <c r="C82" s="40" t="s">
        <v>92</v>
      </c>
      <c r="D82" s="36">
        <f>+BP!G82</f>
        <v>12000000</v>
      </c>
      <c r="E82" s="36"/>
      <c r="F82" s="36"/>
      <c r="G82" s="12">
        <f t="shared" ref="G82:G88" si="1">+D82-E82+F82</f>
        <v>12000000</v>
      </c>
    </row>
    <row r="83" spans="2:7" x14ac:dyDescent="0.35">
      <c r="B83" s="39" t="s">
        <v>91</v>
      </c>
      <c r="C83" s="40" t="s">
        <v>93</v>
      </c>
      <c r="D83" s="36">
        <f>+BP!G83</f>
        <v>3000000</v>
      </c>
      <c r="E83" s="36"/>
      <c r="F83" s="36"/>
      <c r="G83" s="12">
        <f t="shared" si="1"/>
        <v>3000000</v>
      </c>
    </row>
    <row r="84" spans="2:7" x14ac:dyDescent="0.35">
      <c r="B84" s="39" t="s">
        <v>91</v>
      </c>
      <c r="C84" s="40" t="s">
        <v>94</v>
      </c>
      <c r="D84" s="36">
        <f>+BP!G84</f>
        <v>0</v>
      </c>
      <c r="E84" s="36"/>
      <c r="F84" s="36"/>
      <c r="G84" s="12">
        <f t="shared" si="1"/>
        <v>0</v>
      </c>
    </row>
    <row r="85" spans="2:7" x14ac:dyDescent="0.35">
      <c r="B85" s="39" t="s">
        <v>91</v>
      </c>
      <c r="C85" s="40" t="s">
        <v>95</v>
      </c>
      <c r="D85" s="36">
        <f>+BP!G85</f>
        <v>0</v>
      </c>
      <c r="E85" s="36"/>
      <c r="F85" s="36"/>
      <c r="G85" s="12">
        <f t="shared" si="1"/>
        <v>0</v>
      </c>
    </row>
    <row r="86" spans="2:7" x14ac:dyDescent="0.35">
      <c r="B86" s="37" t="s">
        <v>89</v>
      </c>
      <c r="C86" s="38" t="s">
        <v>96</v>
      </c>
      <c r="D86" s="26">
        <f>+BP!G86</f>
        <v>0</v>
      </c>
      <c r="E86" s="26">
        <v>0</v>
      </c>
      <c r="F86" s="26">
        <v>0</v>
      </c>
      <c r="G86" s="26">
        <f t="shared" si="1"/>
        <v>0</v>
      </c>
    </row>
    <row r="87" spans="2:7" x14ac:dyDescent="0.35">
      <c r="B87" s="37" t="s">
        <v>89</v>
      </c>
      <c r="C87" s="38" t="s">
        <v>97</v>
      </c>
      <c r="D87" s="26">
        <f>+BP!G87</f>
        <v>0</v>
      </c>
      <c r="E87" s="26">
        <v>0</v>
      </c>
      <c r="F87" s="26">
        <v>0</v>
      </c>
      <c r="G87" s="26">
        <f t="shared" si="1"/>
        <v>0</v>
      </c>
    </row>
    <row r="88" spans="2:7" x14ac:dyDescent="0.35">
      <c r="B88" s="37" t="s">
        <v>89</v>
      </c>
      <c r="C88" s="38" t="s">
        <v>98</v>
      </c>
      <c r="D88" s="26">
        <f>+BP!G88</f>
        <v>0</v>
      </c>
      <c r="E88" s="26">
        <v>0</v>
      </c>
      <c r="F88" s="26">
        <v>0</v>
      </c>
      <c r="G88" s="26">
        <f t="shared" si="1"/>
        <v>0</v>
      </c>
    </row>
    <row r="89" spans="2:7" x14ac:dyDescent="0.35">
      <c r="B89" s="13">
        <v>26</v>
      </c>
      <c r="C89" s="13" t="s">
        <v>99</v>
      </c>
      <c r="D89" s="14">
        <f>+D90</f>
        <v>0</v>
      </c>
      <c r="E89" s="14">
        <f>+E90</f>
        <v>0</v>
      </c>
      <c r="F89" s="14">
        <f>+F90</f>
        <v>0</v>
      </c>
      <c r="G89" s="14">
        <f>+G90</f>
        <v>0</v>
      </c>
    </row>
    <row r="90" spans="2:7" x14ac:dyDescent="0.35">
      <c r="B90" s="27">
        <v>2605</v>
      </c>
      <c r="C90" s="30" t="s">
        <v>100</v>
      </c>
      <c r="D90" s="11">
        <f>+BP!G90</f>
        <v>0</v>
      </c>
      <c r="E90" s="11"/>
      <c r="F90" s="11"/>
      <c r="G90" s="12">
        <f>+D90-E90+F90</f>
        <v>0</v>
      </c>
    </row>
    <row r="91" spans="2:7" x14ac:dyDescent="0.35">
      <c r="B91" s="13">
        <v>27</v>
      </c>
      <c r="C91" s="13" t="s">
        <v>101</v>
      </c>
      <c r="D91" s="14">
        <f>+D92</f>
        <v>19950000</v>
      </c>
      <c r="E91" s="14">
        <f>+E92</f>
        <v>34500000</v>
      </c>
      <c r="F91" s="14">
        <f>+F92</f>
        <v>13950000</v>
      </c>
      <c r="G91" s="14">
        <f>+G92</f>
        <v>-600000</v>
      </c>
    </row>
    <row r="92" spans="2:7" x14ac:dyDescent="0.35">
      <c r="B92" s="257">
        <v>2705</v>
      </c>
      <c r="C92" s="257" t="s">
        <v>72</v>
      </c>
      <c r="D92" s="258">
        <f>+BP!G92</f>
        <v>19950000</v>
      </c>
      <c r="E92" s="258">
        <v>34500000</v>
      </c>
      <c r="F92" s="258">
        <f>+'DETERMINACION IMP DIF'!E58</f>
        <v>13950000</v>
      </c>
      <c r="G92" s="259">
        <f>+D92-E92+F92</f>
        <v>-600000</v>
      </c>
    </row>
    <row r="93" spans="2:7" x14ac:dyDescent="0.35">
      <c r="B93" s="13">
        <v>28</v>
      </c>
      <c r="C93" s="13" t="s">
        <v>102</v>
      </c>
      <c r="D93" s="14">
        <v>0</v>
      </c>
      <c r="E93" s="14">
        <v>0</v>
      </c>
      <c r="F93" s="14">
        <v>0</v>
      </c>
      <c r="G93" s="14">
        <v>0</v>
      </c>
    </row>
    <row r="94" spans="2:7" x14ac:dyDescent="0.35">
      <c r="B94" s="25">
        <v>2805</v>
      </c>
      <c r="C94" s="25" t="s">
        <v>103</v>
      </c>
      <c r="D94" s="26">
        <v>0</v>
      </c>
      <c r="E94" s="26"/>
      <c r="F94" s="26"/>
      <c r="G94" s="12">
        <f>+D94-E94+F94</f>
        <v>0</v>
      </c>
    </row>
    <row r="95" spans="2:7" x14ac:dyDescent="0.35">
      <c r="B95" s="13">
        <v>31</v>
      </c>
      <c r="C95" s="13" t="s">
        <v>104</v>
      </c>
      <c r="D95" s="14">
        <f>SUM(D96:D100)</f>
        <v>812500000</v>
      </c>
      <c r="E95" s="14">
        <f>SUM(E96:E100)</f>
        <v>0</v>
      </c>
      <c r="F95" s="14">
        <f>SUM(F96:F100)</f>
        <v>0</v>
      </c>
      <c r="G95" s="14">
        <f>SUM(G96:G100)</f>
        <v>812500000</v>
      </c>
    </row>
    <row r="96" spans="2:7" x14ac:dyDescent="0.35">
      <c r="B96" s="10">
        <v>3105</v>
      </c>
      <c r="C96" s="10" t="s">
        <v>105</v>
      </c>
      <c r="D96" s="11">
        <f>+BP!G96</f>
        <v>450000000</v>
      </c>
      <c r="E96" s="11"/>
      <c r="F96" s="11"/>
      <c r="G96" s="12">
        <f>+D96-E96+F96</f>
        <v>450000000</v>
      </c>
    </row>
    <row r="97" spans="2:7" x14ac:dyDescent="0.35">
      <c r="B97" s="10">
        <v>33</v>
      </c>
      <c r="C97" s="10" t="s">
        <v>106</v>
      </c>
      <c r="D97" s="11">
        <f>+BP!G97</f>
        <v>150000000</v>
      </c>
      <c r="E97" s="11"/>
      <c r="F97" s="11"/>
      <c r="G97" s="12">
        <f>+D97-E97+F97</f>
        <v>150000000</v>
      </c>
    </row>
    <row r="98" spans="2:7" x14ac:dyDescent="0.35">
      <c r="B98" s="10">
        <v>36</v>
      </c>
      <c r="C98" s="10" t="s">
        <v>107</v>
      </c>
      <c r="D98" s="11">
        <f>+BP!G98</f>
        <v>0</v>
      </c>
      <c r="E98" s="11"/>
      <c r="F98" s="11"/>
      <c r="G98" s="12">
        <f>+D98-E98+F98</f>
        <v>0</v>
      </c>
    </row>
    <row r="99" spans="2:7" x14ac:dyDescent="0.35">
      <c r="B99" s="10">
        <v>37</v>
      </c>
      <c r="C99" s="10" t="s">
        <v>108</v>
      </c>
      <c r="D99" s="11">
        <f>+BP!G99</f>
        <v>82500000</v>
      </c>
      <c r="E99" s="11"/>
      <c r="F99" s="11"/>
      <c r="G99" s="12">
        <f>+D99-E99+F99</f>
        <v>82500000</v>
      </c>
    </row>
    <row r="100" spans="2:7" x14ac:dyDescent="0.35">
      <c r="B100" s="10">
        <v>3805</v>
      </c>
      <c r="C100" s="10" t="s">
        <v>109</v>
      </c>
      <c r="D100" s="11">
        <f>+BP!G100</f>
        <v>130000000</v>
      </c>
      <c r="E100" s="11"/>
      <c r="F100" s="11"/>
      <c r="G100" s="12">
        <f>+D100-E100+F100</f>
        <v>130000000</v>
      </c>
    </row>
    <row r="101" spans="2:7" x14ac:dyDescent="0.35">
      <c r="B101" s="13">
        <v>4</v>
      </c>
      <c r="C101" s="13" t="s">
        <v>110</v>
      </c>
      <c r="D101" s="14">
        <f>+D102+D103+D110+D112+D104</f>
        <v>728000000</v>
      </c>
      <c r="E101" s="14">
        <f>+E102+E103+E110+E112+E104</f>
        <v>3000000</v>
      </c>
      <c r="F101" s="14">
        <f>+F102+F103+F110+F112+F104</f>
        <v>0</v>
      </c>
      <c r="G101" s="14">
        <f>+G102+G103+G110+G112+G104</f>
        <v>725000000</v>
      </c>
    </row>
    <row r="102" spans="2:7" x14ac:dyDescent="0.35">
      <c r="B102" s="15">
        <v>4105</v>
      </c>
      <c r="C102" s="15" t="s">
        <v>111</v>
      </c>
      <c r="D102" s="16">
        <f>+BP!G102</f>
        <v>720000000</v>
      </c>
      <c r="E102" s="11"/>
      <c r="F102" s="11"/>
      <c r="G102" s="41">
        <f>+D102-E102+F102</f>
        <v>720000000</v>
      </c>
    </row>
    <row r="103" spans="2:7" x14ac:dyDescent="0.35">
      <c r="B103" s="28">
        <v>4220</v>
      </c>
      <c r="C103" s="29" t="s">
        <v>112</v>
      </c>
      <c r="D103" s="16">
        <f>+BP!G103</f>
        <v>5000000</v>
      </c>
      <c r="E103" s="11"/>
      <c r="F103" s="11"/>
      <c r="G103" s="41">
        <f>+D103-E103+F103</f>
        <v>5000000</v>
      </c>
    </row>
    <row r="104" spans="2:7" x14ac:dyDescent="0.35">
      <c r="B104" s="28">
        <v>4115</v>
      </c>
      <c r="C104" s="31" t="s">
        <v>113</v>
      </c>
      <c r="D104" s="16">
        <f>+D105+D106</f>
        <v>3000000</v>
      </c>
      <c r="E104" s="16">
        <f>+E105+E106</f>
        <v>3000000</v>
      </c>
      <c r="F104" s="16">
        <f>+F105+F106</f>
        <v>0</v>
      </c>
      <c r="G104" s="16">
        <f>+G105+G106</f>
        <v>0</v>
      </c>
    </row>
    <row r="105" spans="2:7" x14ac:dyDescent="0.35">
      <c r="B105" s="10">
        <v>411505</v>
      </c>
      <c r="C105" s="10" t="s">
        <v>114</v>
      </c>
      <c r="D105" s="11">
        <f>+BP!G105</f>
        <v>0</v>
      </c>
      <c r="E105" s="11"/>
      <c r="F105" s="11"/>
      <c r="G105" s="12">
        <f>+D105-E105+F105</f>
        <v>0</v>
      </c>
    </row>
    <row r="106" spans="2:7" x14ac:dyDescent="0.35">
      <c r="B106" s="15">
        <v>411510</v>
      </c>
      <c r="C106" s="15" t="s">
        <v>115</v>
      </c>
      <c r="D106" s="16">
        <f>+D107+D108+D109</f>
        <v>3000000</v>
      </c>
      <c r="E106" s="16">
        <f>+E107+E108+E109</f>
        <v>3000000</v>
      </c>
      <c r="F106" s="16">
        <f>+F107+F108+F109</f>
        <v>0</v>
      </c>
      <c r="G106" s="16">
        <f>+G107+G108+G109</f>
        <v>0</v>
      </c>
    </row>
    <row r="107" spans="2:7" x14ac:dyDescent="0.35">
      <c r="B107" s="27">
        <v>45151005</v>
      </c>
      <c r="C107" s="10" t="s">
        <v>116</v>
      </c>
      <c r="D107" s="11">
        <f>+BP!G107</f>
        <v>0</v>
      </c>
      <c r="E107" s="11"/>
      <c r="F107" s="11"/>
      <c r="G107" s="12">
        <f>+D107-E107+F107</f>
        <v>0</v>
      </c>
    </row>
    <row r="108" spans="2:7" x14ac:dyDescent="0.35">
      <c r="B108" s="27">
        <v>45151010</v>
      </c>
      <c r="C108" s="10" t="s">
        <v>117</v>
      </c>
      <c r="D108" s="11">
        <f>+BP!G108</f>
        <v>0</v>
      </c>
      <c r="E108" s="11"/>
      <c r="F108" s="11">
        <f>+E21</f>
        <v>0</v>
      </c>
      <c r="G108" s="12">
        <f>+D108-E108+F108</f>
        <v>0</v>
      </c>
    </row>
    <row r="109" spans="2:7" x14ac:dyDescent="0.35">
      <c r="B109" s="274">
        <v>45151015</v>
      </c>
      <c r="C109" s="214" t="s">
        <v>118</v>
      </c>
      <c r="D109" s="215">
        <f>+BP!G109</f>
        <v>3000000</v>
      </c>
      <c r="E109" s="11">
        <f>+D109</f>
        <v>3000000</v>
      </c>
      <c r="F109" s="11">
        <f>+E14</f>
        <v>0</v>
      </c>
      <c r="G109" s="12">
        <f>+D109-E109+F109</f>
        <v>0</v>
      </c>
    </row>
    <row r="110" spans="2:7" x14ac:dyDescent="0.35">
      <c r="B110" s="15">
        <v>4545</v>
      </c>
      <c r="C110" s="15" t="s">
        <v>119</v>
      </c>
      <c r="D110" s="16">
        <f>+D111</f>
        <v>0</v>
      </c>
      <c r="E110" s="16">
        <f>+E111</f>
        <v>0</v>
      </c>
      <c r="F110" s="16">
        <f>+F111</f>
        <v>0</v>
      </c>
      <c r="G110" s="16">
        <f>+G111</f>
        <v>0</v>
      </c>
    </row>
    <row r="111" spans="2:7" x14ac:dyDescent="0.35">
      <c r="B111" s="10">
        <v>454505</v>
      </c>
      <c r="C111" s="10" t="s">
        <v>119</v>
      </c>
      <c r="D111" s="11">
        <f>+BP!G111</f>
        <v>0</v>
      </c>
      <c r="E111" s="11"/>
      <c r="F111" s="11"/>
      <c r="G111" s="12">
        <f>+D111-E111+F111</f>
        <v>0</v>
      </c>
    </row>
    <row r="112" spans="2:7" x14ac:dyDescent="0.35">
      <c r="B112" s="15">
        <v>4565</v>
      </c>
      <c r="C112" s="15" t="s">
        <v>102</v>
      </c>
      <c r="D112" s="16">
        <f>+D113</f>
        <v>0</v>
      </c>
      <c r="E112" s="16">
        <f>+E113</f>
        <v>0</v>
      </c>
      <c r="F112" s="16">
        <f>+F113</f>
        <v>0</v>
      </c>
      <c r="G112" s="16">
        <f>+G113</f>
        <v>0</v>
      </c>
    </row>
    <row r="113" spans="2:7" x14ac:dyDescent="0.35">
      <c r="B113" s="10">
        <v>456505</v>
      </c>
      <c r="C113" s="10" t="s">
        <v>120</v>
      </c>
      <c r="D113" s="11">
        <f>+BP!G113</f>
        <v>0</v>
      </c>
      <c r="E113" s="11"/>
      <c r="F113" s="11"/>
      <c r="G113" s="12">
        <f>+D113-E113+F113</f>
        <v>0</v>
      </c>
    </row>
    <row r="114" spans="2:7" x14ac:dyDescent="0.35">
      <c r="B114" s="13">
        <v>5</v>
      </c>
      <c r="C114" s="13" t="s">
        <v>121</v>
      </c>
      <c r="D114" s="14">
        <f>+D115+D156+D162</f>
        <v>177399000</v>
      </c>
      <c r="E114" s="14">
        <f>+E115+E156+E162</f>
        <v>9896750</v>
      </c>
      <c r="F114" s="14">
        <f>+F115+F156+F162</f>
        <v>20355750</v>
      </c>
      <c r="G114" s="14">
        <f>+G115+G156+G162</f>
        <v>166940000</v>
      </c>
    </row>
    <row r="115" spans="2:7" x14ac:dyDescent="0.35">
      <c r="B115" s="13">
        <v>51</v>
      </c>
      <c r="C115" s="13" t="s">
        <v>122</v>
      </c>
      <c r="D115" s="14">
        <f>+D116+D121+D125+D129+D133+D137+D141+D145+D149+D150+D151+D152</f>
        <v>173249000</v>
      </c>
      <c r="E115" s="14">
        <f>+E116+E121+E125+E129+E133+E137+E141+E145+E149+E150+E151+E152</f>
        <v>0</v>
      </c>
      <c r="F115" s="14">
        <f>+F116+F121+F125+F129+F133+F137+F141+F145+F149+F150+F151+F152</f>
        <v>10459000</v>
      </c>
      <c r="G115" s="14">
        <f>+G116+G121+G125+G129+G133+G137+G141+G145+G149+G150+G151+G152</f>
        <v>162790000</v>
      </c>
    </row>
    <row r="116" spans="2:7" x14ac:dyDescent="0.35">
      <c r="B116" s="15">
        <v>5105</v>
      </c>
      <c r="C116" s="15" t="s">
        <v>123</v>
      </c>
      <c r="D116" s="16">
        <f>+D117+D118+D119+D120</f>
        <v>113180000</v>
      </c>
      <c r="E116" s="16">
        <f>+E117+E118+E119+E120</f>
        <v>0</v>
      </c>
      <c r="F116" s="16">
        <f>+F117+F118+F119+F120</f>
        <v>0</v>
      </c>
      <c r="G116" s="16">
        <f>+G117+G118+G119+G120</f>
        <v>113180000</v>
      </c>
    </row>
    <row r="117" spans="2:7" x14ac:dyDescent="0.35">
      <c r="B117" s="17" t="s">
        <v>124</v>
      </c>
      <c r="C117" s="10" t="s">
        <v>125</v>
      </c>
      <c r="D117" s="11">
        <f>+BP!G117</f>
        <v>78500000</v>
      </c>
      <c r="E117" s="11"/>
      <c r="F117" s="11"/>
      <c r="G117" s="12">
        <f t="shared" ref="G117:G124" si="2">+D117+E117-F117</f>
        <v>78500000</v>
      </c>
    </row>
    <row r="118" spans="2:7" x14ac:dyDescent="0.35">
      <c r="B118" s="17" t="s">
        <v>124</v>
      </c>
      <c r="C118" s="10" t="s">
        <v>126</v>
      </c>
      <c r="D118" s="11">
        <f>+BP!G118</f>
        <v>15600000</v>
      </c>
      <c r="E118" s="11"/>
      <c r="F118" s="11"/>
      <c r="G118" s="12">
        <f t="shared" si="2"/>
        <v>15600000</v>
      </c>
    </row>
    <row r="119" spans="2:7" x14ac:dyDescent="0.35">
      <c r="B119" s="17" t="s">
        <v>124</v>
      </c>
      <c r="C119" s="10" t="s">
        <v>127</v>
      </c>
      <c r="D119" s="11">
        <f>+BP!G119</f>
        <v>12580000</v>
      </c>
      <c r="E119" s="11"/>
      <c r="F119" s="11"/>
      <c r="G119" s="12">
        <f t="shared" si="2"/>
        <v>12580000</v>
      </c>
    </row>
    <row r="120" spans="2:7" x14ac:dyDescent="0.35">
      <c r="B120" s="17" t="s">
        <v>124</v>
      </c>
      <c r="C120" s="10" t="s">
        <v>128</v>
      </c>
      <c r="D120" s="11">
        <f>+BP!G120</f>
        <v>6500000</v>
      </c>
      <c r="E120" s="11"/>
      <c r="F120" s="11"/>
      <c r="G120" s="12">
        <f t="shared" si="2"/>
        <v>6500000</v>
      </c>
    </row>
    <row r="121" spans="2:7" x14ac:dyDescent="0.35">
      <c r="B121" s="211">
        <v>5110</v>
      </c>
      <c r="C121" s="211" t="s">
        <v>129</v>
      </c>
      <c r="D121" s="212">
        <f>+D122+D123+D124</f>
        <v>9600000</v>
      </c>
      <c r="E121" s="212">
        <f>+E122+E123+E124</f>
        <v>0</v>
      </c>
      <c r="F121" s="212">
        <f>+F122+F123+F124</f>
        <v>800000</v>
      </c>
      <c r="G121" s="212">
        <f>+G122+G123+G124</f>
        <v>8800000</v>
      </c>
    </row>
    <row r="122" spans="2:7" x14ac:dyDescent="0.35">
      <c r="B122" s="213" t="s">
        <v>130</v>
      </c>
      <c r="C122" s="214" t="s">
        <v>129</v>
      </c>
      <c r="D122" s="215">
        <f>+BP!G122</f>
        <v>7200000</v>
      </c>
      <c r="E122" s="215"/>
      <c r="F122" s="215"/>
      <c r="G122" s="216">
        <f t="shared" si="2"/>
        <v>7200000</v>
      </c>
    </row>
    <row r="123" spans="2:7" s="42" customFormat="1" x14ac:dyDescent="0.35">
      <c r="B123" s="217" t="s">
        <v>130</v>
      </c>
      <c r="C123" s="218" t="s">
        <v>131</v>
      </c>
      <c r="D123" s="219">
        <f>+BP!G123</f>
        <v>800000</v>
      </c>
      <c r="E123" s="219"/>
      <c r="F123" s="219">
        <f>+D123</f>
        <v>800000</v>
      </c>
      <c r="G123" s="220">
        <f t="shared" si="2"/>
        <v>0</v>
      </c>
    </row>
    <row r="124" spans="2:7" s="24" customFormat="1" x14ac:dyDescent="0.35">
      <c r="B124" s="221" t="s">
        <v>130</v>
      </c>
      <c r="C124" s="222" t="s">
        <v>132</v>
      </c>
      <c r="D124" s="223">
        <f>+BP!G124</f>
        <v>1600000</v>
      </c>
      <c r="E124" s="223"/>
      <c r="F124" s="223"/>
      <c r="G124" s="224">
        <f t="shared" si="2"/>
        <v>1600000</v>
      </c>
    </row>
    <row r="125" spans="2:7" x14ac:dyDescent="0.35">
      <c r="B125" s="15">
        <v>5115</v>
      </c>
      <c r="C125" s="15" t="s">
        <v>133</v>
      </c>
      <c r="D125" s="16">
        <f>+D126+D127+D128</f>
        <v>2450000</v>
      </c>
      <c r="E125" s="16">
        <f>+E126+E127+E128</f>
        <v>0</v>
      </c>
      <c r="F125" s="16">
        <f>+F126+F127+F128</f>
        <v>0</v>
      </c>
      <c r="G125" s="16">
        <f>+G126+G127+G128</f>
        <v>2450000</v>
      </c>
    </row>
    <row r="126" spans="2:7" x14ac:dyDescent="0.35">
      <c r="B126" s="17" t="s">
        <v>134</v>
      </c>
      <c r="C126" s="10" t="s">
        <v>135</v>
      </c>
      <c r="D126" s="11">
        <f>+BP!G126</f>
        <v>2450000</v>
      </c>
      <c r="E126" s="11"/>
      <c r="F126" s="11"/>
      <c r="G126" s="12">
        <f t="shared" ref="G126:G151" si="3">+D126+E126-F126</f>
        <v>2450000</v>
      </c>
    </row>
    <row r="127" spans="2:7" s="42" customFormat="1" x14ac:dyDescent="0.35">
      <c r="B127" s="43" t="s">
        <v>134</v>
      </c>
      <c r="C127" s="44" t="s">
        <v>131</v>
      </c>
      <c r="D127" s="45">
        <f>+BP!G127</f>
        <v>0</v>
      </c>
      <c r="E127" s="45"/>
      <c r="F127" s="45"/>
      <c r="G127" s="46">
        <f t="shared" si="3"/>
        <v>0</v>
      </c>
    </row>
    <row r="128" spans="2:7" s="24" customFormat="1" x14ac:dyDescent="0.35">
      <c r="B128" s="20" t="s">
        <v>134</v>
      </c>
      <c r="C128" s="21" t="s">
        <v>132</v>
      </c>
      <c r="D128" s="22">
        <v>0</v>
      </c>
      <c r="E128" s="22"/>
      <c r="F128" s="22"/>
      <c r="G128" s="23">
        <f t="shared" si="3"/>
        <v>0</v>
      </c>
    </row>
    <row r="129" spans="2:7" x14ac:dyDescent="0.35">
      <c r="B129" s="225">
        <v>5120</v>
      </c>
      <c r="C129" s="211" t="s">
        <v>112</v>
      </c>
      <c r="D129" s="212">
        <f>SUM(D130:D132)</f>
        <v>8500000</v>
      </c>
      <c r="E129" s="212">
        <f>SUM(E130:E132)</f>
        <v>0</v>
      </c>
      <c r="F129" s="212">
        <f>SUM(F130:F132)</f>
        <v>0</v>
      </c>
      <c r="G129" s="212">
        <f>SUM(G130:G132)</f>
        <v>8500000</v>
      </c>
    </row>
    <row r="130" spans="2:7" x14ac:dyDescent="0.35">
      <c r="B130" s="213" t="s">
        <v>136</v>
      </c>
      <c r="C130" s="214" t="s">
        <v>137</v>
      </c>
      <c r="D130" s="215">
        <v>6450000</v>
      </c>
      <c r="E130" s="215"/>
      <c r="F130" s="215"/>
      <c r="G130" s="216">
        <f t="shared" si="3"/>
        <v>6450000</v>
      </c>
    </row>
    <row r="131" spans="2:7" s="42" customFormat="1" x14ac:dyDescent="0.35">
      <c r="B131" s="217" t="s">
        <v>136</v>
      </c>
      <c r="C131" s="218" t="s">
        <v>131</v>
      </c>
      <c r="D131" s="219">
        <v>0</v>
      </c>
      <c r="E131" s="219"/>
      <c r="F131" s="219"/>
      <c r="G131" s="220">
        <f t="shared" si="3"/>
        <v>0</v>
      </c>
    </row>
    <row r="132" spans="2:7" s="24" customFormat="1" x14ac:dyDescent="0.35">
      <c r="B132" s="221" t="s">
        <v>136</v>
      </c>
      <c r="C132" s="222" t="s">
        <v>132</v>
      </c>
      <c r="D132" s="223">
        <v>2050000</v>
      </c>
      <c r="E132" s="223"/>
      <c r="F132" s="223"/>
      <c r="G132" s="224">
        <f t="shared" si="3"/>
        <v>2050000</v>
      </c>
    </row>
    <row r="133" spans="2:7" x14ac:dyDescent="0.35">
      <c r="B133" s="28">
        <v>5130</v>
      </c>
      <c r="C133" s="31" t="s">
        <v>138</v>
      </c>
      <c r="D133" s="16">
        <f>SUM(D134:D136)</f>
        <v>1000000</v>
      </c>
      <c r="E133" s="16">
        <f>SUM(E134:E136)</f>
        <v>0</v>
      </c>
      <c r="F133" s="16">
        <f>SUM(F134:F136)</f>
        <v>0</v>
      </c>
      <c r="G133" s="16">
        <f>SUM(G134:G136)</f>
        <v>1000000</v>
      </c>
    </row>
    <row r="134" spans="2:7" x14ac:dyDescent="0.35">
      <c r="B134" s="17" t="s">
        <v>139</v>
      </c>
      <c r="C134" s="10" t="s">
        <v>138</v>
      </c>
      <c r="D134" s="11">
        <v>1000000</v>
      </c>
      <c r="E134" s="11"/>
      <c r="F134" s="11"/>
      <c r="G134" s="12">
        <f t="shared" si="3"/>
        <v>1000000</v>
      </c>
    </row>
    <row r="135" spans="2:7" s="42" customFormat="1" x14ac:dyDescent="0.35">
      <c r="B135" s="43" t="s">
        <v>139</v>
      </c>
      <c r="C135" s="44" t="s">
        <v>131</v>
      </c>
      <c r="D135" s="45"/>
      <c r="E135" s="45"/>
      <c r="F135" s="45"/>
      <c r="G135" s="46">
        <f t="shared" si="3"/>
        <v>0</v>
      </c>
    </row>
    <row r="136" spans="2:7" s="24" customFormat="1" x14ac:dyDescent="0.35">
      <c r="B136" s="20" t="s">
        <v>139</v>
      </c>
      <c r="C136" s="21" t="s">
        <v>132</v>
      </c>
      <c r="D136" s="22"/>
      <c r="E136" s="22"/>
      <c r="F136" s="22"/>
      <c r="G136" s="23">
        <f t="shared" si="3"/>
        <v>0</v>
      </c>
    </row>
    <row r="137" spans="2:7" x14ac:dyDescent="0.35">
      <c r="B137" s="28">
        <v>5135</v>
      </c>
      <c r="C137" s="31" t="s">
        <v>140</v>
      </c>
      <c r="D137" s="16">
        <f>SUM(D138:D140)</f>
        <v>18000000</v>
      </c>
      <c r="E137" s="16">
        <f>SUM(E138:E140)</f>
        <v>0</v>
      </c>
      <c r="F137" s="16">
        <f>SUM(F138:F140)</f>
        <v>1800000</v>
      </c>
      <c r="G137" s="16">
        <f>SUM(G138:G140)</f>
        <v>16200000</v>
      </c>
    </row>
    <row r="138" spans="2:7" x14ac:dyDescent="0.35">
      <c r="B138" s="17" t="s">
        <v>141</v>
      </c>
      <c r="C138" s="10" t="s">
        <v>140</v>
      </c>
      <c r="D138" s="11">
        <v>15500000</v>
      </c>
      <c r="E138" s="11"/>
      <c r="F138" s="11"/>
      <c r="G138" s="12">
        <f t="shared" si="3"/>
        <v>15500000</v>
      </c>
    </row>
    <row r="139" spans="2:7" s="42" customFormat="1" x14ac:dyDescent="0.35">
      <c r="B139" s="43" t="s">
        <v>141</v>
      </c>
      <c r="C139" s="44" t="s">
        <v>131</v>
      </c>
      <c r="D139" s="45">
        <v>1800000</v>
      </c>
      <c r="E139" s="45"/>
      <c r="F139" s="45">
        <f>+D139</f>
        <v>1800000</v>
      </c>
      <c r="G139" s="46">
        <f t="shared" si="3"/>
        <v>0</v>
      </c>
    </row>
    <row r="140" spans="2:7" s="24" customFormat="1" x14ac:dyDescent="0.35">
      <c r="B140" s="20" t="s">
        <v>141</v>
      </c>
      <c r="C140" s="21" t="s">
        <v>132</v>
      </c>
      <c r="D140" s="22">
        <v>700000</v>
      </c>
      <c r="E140" s="22"/>
      <c r="F140" s="22"/>
      <c r="G140" s="23">
        <f t="shared" si="3"/>
        <v>700000</v>
      </c>
    </row>
    <row r="141" spans="2:7" x14ac:dyDescent="0.35">
      <c r="B141" s="28">
        <v>5145</v>
      </c>
      <c r="C141" s="31" t="s">
        <v>142</v>
      </c>
      <c r="D141" s="16">
        <f>SUM(D142:D144)</f>
        <v>4600000</v>
      </c>
      <c r="E141" s="16">
        <f>SUM(E142:E144)</f>
        <v>0</v>
      </c>
      <c r="F141" s="16">
        <f>SUM(F142:F144)</f>
        <v>0</v>
      </c>
      <c r="G141" s="16">
        <f>SUM(G142:G144)</f>
        <v>4600000</v>
      </c>
    </row>
    <row r="142" spans="2:7" x14ac:dyDescent="0.35">
      <c r="B142" s="17" t="s">
        <v>143</v>
      </c>
      <c r="C142" s="10" t="s">
        <v>142</v>
      </c>
      <c r="D142" s="11">
        <v>3220000</v>
      </c>
      <c r="E142" s="11"/>
      <c r="F142" s="11"/>
      <c r="G142" s="12">
        <f t="shared" si="3"/>
        <v>3220000</v>
      </c>
    </row>
    <row r="143" spans="2:7" s="42" customFormat="1" x14ac:dyDescent="0.35">
      <c r="B143" s="43" t="s">
        <v>143</v>
      </c>
      <c r="C143" s="44" t="s">
        <v>131</v>
      </c>
      <c r="D143" s="45">
        <v>0</v>
      </c>
      <c r="E143" s="45"/>
      <c r="F143" s="45"/>
      <c r="G143" s="46">
        <f t="shared" si="3"/>
        <v>0</v>
      </c>
    </row>
    <row r="144" spans="2:7" s="24" customFormat="1" x14ac:dyDescent="0.35">
      <c r="B144" s="20" t="s">
        <v>143</v>
      </c>
      <c r="C144" s="21" t="s">
        <v>132</v>
      </c>
      <c r="D144" s="22">
        <v>1380000</v>
      </c>
      <c r="E144" s="22"/>
      <c r="F144" s="22"/>
      <c r="G144" s="23">
        <f t="shared" si="3"/>
        <v>1380000</v>
      </c>
    </row>
    <row r="145" spans="2:7" x14ac:dyDescent="0.35">
      <c r="B145" s="28">
        <v>5155</v>
      </c>
      <c r="C145" s="31" t="s">
        <v>144</v>
      </c>
      <c r="D145" s="16">
        <v>0</v>
      </c>
      <c r="E145" s="16">
        <v>0</v>
      </c>
      <c r="F145" s="16">
        <v>0</v>
      </c>
      <c r="G145" s="16">
        <v>0</v>
      </c>
    </row>
    <row r="146" spans="2:7" x14ac:dyDescent="0.35">
      <c r="B146" s="17" t="s">
        <v>145</v>
      </c>
      <c r="C146" s="10" t="s">
        <v>144</v>
      </c>
      <c r="D146" s="11">
        <v>0</v>
      </c>
      <c r="E146" s="11"/>
      <c r="F146" s="11"/>
      <c r="G146" s="12">
        <f t="shared" si="3"/>
        <v>0</v>
      </c>
    </row>
    <row r="147" spans="2:7" s="42" customFormat="1" x14ac:dyDescent="0.35">
      <c r="B147" s="43" t="s">
        <v>145</v>
      </c>
      <c r="C147" s="44" t="s">
        <v>131</v>
      </c>
      <c r="D147" s="45">
        <v>0</v>
      </c>
      <c r="E147" s="45"/>
      <c r="F147" s="45"/>
      <c r="G147" s="46">
        <f t="shared" si="3"/>
        <v>0</v>
      </c>
    </row>
    <row r="148" spans="2:7" s="24" customFormat="1" x14ac:dyDescent="0.35">
      <c r="B148" s="20" t="s">
        <v>145</v>
      </c>
      <c r="C148" s="21" t="s">
        <v>132</v>
      </c>
      <c r="D148" s="22">
        <v>0</v>
      </c>
      <c r="E148" s="22"/>
      <c r="F148" s="22"/>
      <c r="G148" s="23">
        <f t="shared" si="3"/>
        <v>0</v>
      </c>
    </row>
    <row r="149" spans="2:7" x14ac:dyDescent="0.35">
      <c r="B149" s="28">
        <v>5160</v>
      </c>
      <c r="C149" s="31" t="s">
        <v>146</v>
      </c>
      <c r="D149" s="16">
        <v>0</v>
      </c>
      <c r="E149" s="16"/>
      <c r="F149" s="16"/>
      <c r="G149" s="41">
        <f t="shared" si="3"/>
        <v>0</v>
      </c>
    </row>
    <row r="150" spans="2:7" x14ac:dyDescent="0.35">
      <c r="B150" s="28">
        <v>5165</v>
      </c>
      <c r="C150" s="31" t="s">
        <v>147</v>
      </c>
      <c r="D150" s="16">
        <f>+BP!G150</f>
        <v>0</v>
      </c>
      <c r="E150" s="16"/>
      <c r="F150" s="16">
        <v>0</v>
      </c>
      <c r="G150" s="41">
        <f t="shared" si="3"/>
        <v>0</v>
      </c>
    </row>
    <row r="151" spans="2:7" x14ac:dyDescent="0.35">
      <c r="B151" s="120">
        <v>5170</v>
      </c>
      <c r="C151" s="121" t="s">
        <v>28</v>
      </c>
      <c r="D151" s="122">
        <f>+BP!G151</f>
        <v>6000000</v>
      </c>
      <c r="E151" s="122">
        <f>+F35</f>
        <v>0</v>
      </c>
      <c r="F151" s="122">
        <f>+D151</f>
        <v>6000000</v>
      </c>
      <c r="G151" s="123">
        <f t="shared" si="3"/>
        <v>0</v>
      </c>
    </row>
    <row r="152" spans="2:7" x14ac:dyDescent="0.35">
      <c r="B152" s="28">
        <v>5195</v>
      </c>
      <c r="C152" s="31" t="s">
        <v>148</v>
      </c>
      <c r="D152" s="16">
        <f>SUM(D153:D155)</f>
        <v>9919000</v>
      </c>
      <c r="E152" s="16">
        <f>SUM(E153:E155)</f>
        <v>0</v>
      </c>
      <c r="F152" s="16">
        <f>SUM(F153:F155)</f>
        <v>1859000</v>
      </c>
      <c r="G152" s="16">
        <f>SUM(G153:G155)</f>
        <v>8060000</v>
      </c>
    </row>
    <row r="153" spans="2:7" x14ac:dyDescent="0.35">
      <c r="B153" s="17" t="s">
        <v>149</v>
      </c>
      <c r="C153" s="10" t="s">
        <v>148</v>
      </c>
      <c r="D153" s="11">
        <v>7580000</v>
      </c>
      <c r="E153" s="11"/>
      <c r="F153" s="11"/>
      <c r="G153" s="12">
        <f>+D153+E153-F153</f>
        <v>7580000</v>
      </c>
    </row>
    <row r="154" spans="2:7" s="42" customFormat="1" x14ac:dyDescent="0.35">
      <c r="B154" s="43" t="s">
        <v>149</v>
      </c>
      <c r="C154" s="44" t="s">
        <v>131</v>
      </c>
      <c r="D154" s="45">
        <v>1859000</v>
      </c>
      <c r="E154" s="47"/>
      <c r="F154" s="56">
        <f>+D154</f>
        <v>1859000</v>
      </c>
      <c r="G154" s="46">
        <f>+D154+E154-F154</f>
        <v>0</v>
      </c>
    </row>
    <row r="155" spans="2:7" s="24" customFormat="1" x14ac:dyDescent="0.35">
      <c r="B155" s="20" t="s">
        <v>149</v>
      </c>
      <c r="C155" s="21" t="s">
        <v>132</v>
      </c>
      <c r="D155" s="22">
        <v>480000</v>
      </c>
      <c r="E155" s="48"/>
      <c r="F155" s="48"/>
      <c r="G155" s="23">
        <f>+D155+E155-F155</f>
        <v>480000</v>
      </c>
    </row>
    <row r="156" spans="2:7" x14ac:dyDescent="0.35">
      <c r="B156" s="32">
        <v>53</v>
      </c>
      <c r="C156" s="33" t="s">
        <v>150</v>
      </c>
      <c r="D156" s="14">
        <f>SUM(D157:D161)</f>
        <v>4150000</v>
      </c>
      <c r="E156" s="14">
        <f>SUM(E157:E161)</f>
        <v>0</v>
      </c>
      <c r="F156" s="14">
        <f>SUM(F157:F161)</f>
        <v>0</v>
      </c>
      <c r="G156" s="14">
        <f>SUM(G157:G161)</f>
        <v>4150000</v>
      </c>
    </row>
    <row r="157" spans="2:7" x14ac:dyDescent="0.35">
      <c r="B157" s="49">
        <v>5305</v>
      </c>
      <c r="C157" s="50" t="s">
        <v>151</v>
      </c>
      <c r="D157" s="51">
        <v>2300000</v>
      </c>
      <c r="E157" s="52"/>
      <c r="F157" s="52"/>
      <c r="G157" s="53">
        <f t="shared" ref="G157:G169" si="4">+D157+E157-F157</f>
        <v>2300000</v>
      </c>
    </row>
    <row r="158" spans="2:7" x14ac:dyDescent="0.35">
      <c r="B158" s="27">
        <v>5310</v>
      </c>
      <c r="C158" s="34" t="s">
        <v>152</v>
      </c>
      <c r="D158" s="11">
        <v>1850000</v>
      </c>
      <c r="E158" s="54"/>
      <c r="F158" s="54"/>
      <c r="G158" s="12">
        <f t="shared" si="4"/>
        <v>1850000</v>
      </c>
    </row>
    <row r="159" spans="2:7" x14ac:dyDescent="0.35">
      <c r="B159" s="10">
        <v>5315</v>
      </c>
      <c r="C159" s="10" t="str">
        <f>VLOOKUP(B159,'[1]5.1 Taxonomía'!$A$2:$B$541,2,0)</f>
        <v>Gastos por valor razonable</v>
      </c>
      <c r="D159" s="11">
        <f>+BP!G159</f>
        <v>0</v>
      </c>
      <c r="E159" s="54"/>
      <c r="F159" s="54"/>
      <c r="G159" s="12">
        <f t="shared" si="4"/>
        <v>0</v>
      </c>
    </row>
    <row r="160" spans="2:7" x14ac:dyDescent="0.35">
      <c r="B160" s="10">
        <v>5350</v>
      </c>
      <c r="C160" s="10" t="s">
        <v>153</v>
      </c>
      <c r="D160" s="11">
        <f>+BP!G160</f>
        <v>0</v>
      </c>
      <c r="E160" s="54"/>
      <c r="F160" s="54"/>
      <c r="G160" s="12">
        <f t="shared" si="4"/>
        <v>0</v>
      </c>
    </row>
    <row r="161" spans="2:7" x14ac:dyDescent="0.35">
      <c r="B161" s="27">
        <v>5390</v>
      </c>
      <c r="C161" s="34" t="s">
        <v>154</v>
      </c>
      <c r="D161" s="11">
        <f>+BP!G161</f>
        <v>0</v>
      </c>
      <c r="E161" s="54"/>
      <c r="F161" s="54"/>
      <c r="G161" s="12">
        <f t="shared" si="4"/>
        <v>0</v>
      </c>
    </row>
    <row r="162" spans="2:7" x14ac:dyDescent="0.35">
      <c r="B162" s="13">
        <v>54</v>
      </c>
      <c r="C162" s="13" t="s">
        <v>155</v>
      </c>
      <c r="D162" s="14">
        <f>+D163+D164</f>
        <v>0</v>
      </c>
      <c r="E162" s="14">
        <f>+E163+E164</f>
        <v>9896750</v>
      </c>
      <c r="F162" s="14">
        <f>+F163+F164</f>
        <v>9896750</v>
      </c>
      <c r="G162" s="14">
        <f>+G163+G164</f>
        <v>0</v>
      </c>
    </row>
    <row r="163" spans="2:7" x14ac:dyDescent="0.35">
      <c r="B163" s="10">
        <v>5405</v>
      </c>
      <c r="C163" s="10" t="s">
        <v>155</v>
      </c>
      <c r="D163" s="11">
        <v>0</v>
      </c>
      <c r="E163" s="54"/>
      <c r="F163" s="54"/>
      <c r="G163" s="12">
        <f>+BP!G163</f>
        <v>0</v>
      </c>
    </row>
    <row r="164" spans="2:7" x14ac:dyDescent="0.35">
      <c r="B164" s="10">
        <v>5410</v>
      </c>
      <c r="C164" s="10" t="s">
        <v>72</v>
      </c>
      <c r="D164" s="11">
        <v>0</v>
      </c>
      <c r="E164" s="54">
        <f>+'DETERMINACION IMP DIF'!D59</f>
        <v>9896750</v>
      </c>
      <c r="F164" s="54">
        <f>+E164</f>
        <v>9896750</v>
      </c>
      <c r="G164" s="12">
        <f>+E164-F164</f>
        <v>0</v>
      </c>
    </row>
    <row r="165" spans="2:7" x14ac:dyDescent="0.35">
      <c r="B165" s="32">
        <v>61</v>
      </c>
      <c r="C165" s="33" t="s">
        <v>156</v>
      </c>
      <c r="D165" s="14">
        <f>SUM(D166:D168)-D169</f>
        <v>501001000</v>
      </c>
      <c r="E165" s="14">
        <f>SUM(E166:E169)</f>
        <v>0</v>
      </c>
      <c r="F165" s="14">
        <f>SUM(F166:F169)</f>
        <v>14701000</v>
      </c>
      <c r="G165" s="14">
        <f>SUM(G166:G169)</f>
        <v>486300000</v>
      </c>
    </row>
    <row r="166" spans="2:7" x14ac:dyDescent="0.35">
      <c r="B166" s="27">
        <v>613501</v>
      </c>
      <c r="C166" s="34" t="s">
        <v>111</v>
      </c>
      <c r="D166" s="11">
        <v>450500000</v>
      </c>
      <c r="E166" s="54"/>
      <c r="F166" s="54"/>
      <c r="G166" s="12">
        <f t="shared" si="4"/>
        <v>450500000</v>
      </c>
    </row>
    <row r="167" spans="2:7" s="42" customFormat="1" x14ac:dyDescent="0.35">
      <c r="B167" s="55" t="s">
        <v>157</v>
      </c>
      <c r="C167" s="44" t="s">
        <v>131</v>
      </c>
      <c r="D167" s="45">
        <v>14701000</v>
      </c>
      <c r="E167" s="56"/>
      <c r="F167" s="56">
        <f>+D167</f>
        <v>14701000</v>
      </c>
      <c r="G167" s="46">
        <f t="shared" si="4"/>
        <v>0</v>
      </c>
    </row>
    <row r="168" spans="2:7" s="24" customFormat="1" x14ac:dyDescent="0.35">
      <c r="B168" s="57" t="s">
        <v>157</v>
      </c>
      <c r="C168" s="21" t="s">
        <v>132</v>
      </c>
      <c r="D168" s="22">
        <v>35800000</v>
      </c>
      <c r="E168" s="58"/>
      <c r="F168" s="58"/>
      <c r="G168" s="23">
        <f t="shared" si="4"/>
        <v>35800000</v>
      </c>
    </row>
    <row r="169" spans="2:7" x14ac:dyDescent="0.35">
      <c r="B169" s="27">
        <v>613599</v>
      </c>
      <c r="C169" s="34" t="s">
        <v>158</v>
      </c>
      <c r="D169" s="11">
        <v>0</v>
      </c>
      <c r="E169" s="54">
        <f>+F38</f>
        <v>0</v>
      </c>
      <c r="F169" s="54"/>
      <c r="G169" s="12">
        <f t="shared" si="4"/>
        <v>0</v>
      </c>
    </row>
  </sheetData>
  <mergeCells count="2">
    <mergeCell ref="C2:G2"/>
    <mergeCell ref="D4:G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HIPOTESIS NEGOCIO EN MARCHA</vt:lpstr>
      <vt:lpstr>BP</vt:lpstr>
      <vt:lpstr>REQUISITOS DE PROCEDENCIA DE CO</vt:lpstr>
      <vt:lpstr>INVERSIONES</vt:lpstr>
      <vt:lpstr>CXC</vt:lpstr>
      <vt:lpstr>INVENTARIOS</vt:lpstr>
      <vt:lpstr>PPYE</vt:lpstr>
      <vt:lpstr>PASIVO</vt:lpstr>
      <vt:lpstr>DETERMINACION IMP DIF</vt:lpstr>
      <vt:lpstr>DETERMINACION IMP CTE</vt:lpstr>
      <vt:lpstr>E.R.I.</vt:lpstr>
      <vt:lpstr>E.S.F.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2024-11-28T02:28:21Z</dcterms:modified>
</cp:coreProperties>
</file>