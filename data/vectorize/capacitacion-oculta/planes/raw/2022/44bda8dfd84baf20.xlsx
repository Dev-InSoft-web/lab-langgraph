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33f33cabeb82be/Documents/EFAsociados/Conferencias/"/>
    </mc:Choice>
  </mc:AlternateContent>
  <xr:revisionPtr revIDLastSave="102" documentId="8_{184F9403-0838-2841-9BE7-379FA9E68534}" xr6:coauthVersionLast="47" xr6:coauthVersionMax="47" xr10:uidLastSave="{766D0AB9-CCCF-6146-80C1-A01BA84AE3A6}"/>
  <bookViews>
    <workbookView xWindow="0" yWindow="500" windowWidth="28800" windowHeight="16140" xr2:uid="{AC6D1F5A-C3D1-8244-92CE-D87F4E022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F14" i="1"/>
  <c r="F13" i="1"/>
  <c r="G12" i="1"/>
  <c r="G11" i="1"/>
  <c r="F9" i="1"/>
  <c r="G8" i="1"/>
  <c r="G5" i="1"/>
  <c r="G4" i="1"/>
  <c r="H4" i="1" s="1"/>
  <c r="D14" i="1"/>
  <c r="D13" i="1"/>
  <c r="D12" i="1"/>
  <c r="D9" i="1"/>
  <c r="D8" i="1"/>
  <c r="D6" i="1"/>
  <c r="D5" i="1"/>
  <c r="D11" i="1"/>
  <c r="D4" i="1"/>
  <c r="C7" i="1"/>
  <c r="D7" i="1" s="1"/>
  <c r="H12" i="1" l="1"/>
  <c r="G7" i="1"/>
  <c r="H7" i="1" s="1"/>
  <c r="H6" i="1"/>
  <c r="H11" i="1"/>
  <c r="H13" i="1"/>
  <c r="H5" i="1"/>
  <c r="H14" i="1"/>
  <c r="H8" i="1"/>
  <c r="H9" i="1"/>
  <c r="C10" i="1"/>
  <c r="C15" i="1" s="1"/>
  <c r="C16" i="1" s="1"/>
  <c r="G10" i="1" l="1"/>
  <c r="G15" i="1" s="1"/>
  <c r="H15" i="1" s="1"/>
  <c r="D10" i="1"/>
  <c r="G16" i="1" l="1"/>
  <c r="H16" i="1" s="1"/>
  <c r="H10" i="1"/>
  <c r="C17" i="1"/>
  <c r="D19" i="1" s="1"/>
  <c r="D15" i="1"/>
  <c r="G17" i="1" l="1"/>
  <c r="H17" i="1" s="1"/>
  <c r="D17" i="1"/>
  <c r="D16" i="1"/>
  <c r="G18" i="1" l="1"/>
  <c r="H19" i="1"/>
  <c r="C18" i="1"/>
  <c r="D18" i="1" s="1"/>
  <c r="H18" i="1" l="1"/>
  <c r="K4" i="1"/>
  <c r="K6" i="1" s="1"/>
  <c r="K8" i="1" l="1"/>
  <c r="K7" i="1"/>
  <c r="K9" i="1" l="1"/>
</calcChain>
</file>

<file path=xl/sharedStrings.xml><?xml version="1.0" encoding="utf-8"?>
<sst xmlns="http://schemas.openxmlformats.org/spreadsheetml/2006/main" count="25" uniqueCount="25">
  <si>
    <t>Planeacion Financiera 2023</t>
  </si>
  <si>
    <t>Ingresos</t>
  </si>
  <si>
    <t>Costos</t>
  </si>
  <si>
    <t>Margen Bruto</t>
  </si>
  <si>
    <t>Gastos</t>
  </si>
  <si>
    <t>Costos No Deducibles</t>
  </si>
  <si>
    <t>Gastos No Deducibles</t>
  </si>
  <si>
    <t>Margen Operacional</t>
  </si>
  <si>
    <t>Otros Ingresos</t>
  </si>
  <si>
    <t>Otros Egresos</t>
  </si>
  <si>
    <t>Utilidad Antes de Imptos</t>
  </si>
  <si>
    <t>Impuesto a las Ganancias</t>
  </si>
  <si>
    <t>Utilidad Neta</t>
  </si>
  <si>
    <t>Base Fiscal</t>
  </si>
  <si>
    <t>No deducibles</t>
  </si>
  <si>
    <t>No gravables DTG</t>
  </si>
  <si>
    <t>Tasa Efectiva de Tributación</t>
  </si>
  <si>
    <t>Millones de Pesos</t>
  </si>
  <si>
    <t>Numero socios</t>
  </si>
  <si>
    <t>Utilidad a Distribuir</t>
  </si>
  <si>
    <t>Valor individual</t>
  </si>
  <si>
    <t>Retención</t>
  </si>
  <si>
    <t>Impuesto</t>
  </si>
  <si>
    <t>Pago Adicional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</si>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</sst>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sz val="18"/>
      <color theme="1"/>
      <name val="Century Gothic"/>
      <family val="1"/>
    </font>
    <font>
      <i/>
      <sz val="12"/>
      <color rgb="FFFF0000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theme="1"/>
      <name val="Century Gothic"/>
      <family val="1"/>
    </font>
    <font>
      <b/>
      <sz val="12"/>
      <color theme="1"/>
      <name val="Century Gothic"/>
      <family val="2"/>
    </font>
    <font>
      <b/>
      <i/>
      <sz val="12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3" fontId="2" fillId="0" borderId="0" xfId="1" applyFont="1"/>
    <xf numFmtId="0" fontId="3" fillId="0" borderId="0" xfId="1" applyNumberFormat="1" applyFont="1"/>
    <xf numFmtId="9" fontId="2" fillId="0" borderId="0" xfId="0" applyNumberFormat="1" applyFont="1"/>
    <xf numFmtId="0" fontId="7" fillId="0" borderId="0" xfId="0" applyFont="1"/>
    <xf numFmtId="0" fontId="2" fillId="2" borderId="0" xfId="0" applyFont="1" applyFill="1"/>
    <xf numFmtId="43" fontId="2" fillId="2" borderId="0" xfId="1" applyFont="1" applyFill="1"/>
    <xf numFmtId="10" fontId="2" fillId="2" borderId="0" xfId="2" applyNumberFormat="1" applyFont="1" applyFill="1"/>
    <xf numFmtId="10" fontId="5" fillId="2" borderId="0" xfId="2" applyNumberFormat="1" applyFont="1" applyFill="1"/>
    <xf numFmtId="0" fontId="3" fillId="2" borderId="0" xfId="0" applyFont="1" applyFill="1"/>
    <xf numFmtId="43" fontId="3" fillId="2" borderId="0" xfId="1" applyFont="1" applyFill="1"/>
    <xf numFmtId="10" fontId="3" fillId="2" borderId="0" xfId="2" applyNumberFormat="1" applyFont="1" applyFill="1"/>
    <xf numFmtId="10" fontId="7" fillId="2" borderId="0" xfId="2" applyNumberFormat="1" applyFont="1" applyFill="1"/>
    <xf numFmtId="0" fontId="2" fillId="3" borderId="0" xfId="0" applyFont="1" applyFill="1"/>
    <xf numFmtId="43" fontId="2" fillId="3" borderId="0" xfId="1" applyFont="1" applyFill="1"/>
    <xf numFmtId="10" fontId="2" fillId="3" borderId="0" xfId="2" applyNumberFormat="1" applyFont="1" applyFill="1"/>
    <xf numFmtId="9" fontId="2" fillId="3" borderId="0" xfId="0" applyNumberFormat="1" applyFont="1" applyFill="1"/>
    <xf numFmtId="43" fontId="6" fillId="3" borderId="0" xfId="1" applyFont="1" applyFill="1"/>
    <xf numFmtId="10" fontId="5" fillId="3" borderId="0" xfId="2" applyNumberFormat="1" applyFont="1" applyFill="1"/>
    <xf numFmtId="43" fontId="3" fillId="3" borderId="0" xfId="1" applyFont="1" applyFill="1"/>
    <xf numFmtId="10" fontId="3" fillId="3" borderId="0" xfId="2" applyNumberFormat="1" applyFont="1" applyFill="1"/>
    <xf numFmtId="10" fontId="7" fillId="3" borderId="0" xfId="2" applyNumberFormat="1" applyFont="1" applyFill="1"/>
    <xf numFmtId="0" fontId="2" fillId="4" borderId="0" xfId="0" applyFont="1" applyFill="1"/>
    <xf numFmtId="43" fontId="2" fillId="4" borderId="0" xfId="0" applyNumberFormat="1" applyFont="1" applyFill="1"/>
    <xf numFmtId="164" fontId="2" fillId="4" borderId="0" xfId="0" applyNumberFormat="1" applyFont="1" applyFill="1"/>
    <xf numFmtId="0" fontId="8" fillId="4" borderId="0" xfId="0" applyFont="1" applyFill="1"/>
    <xf numFmtId="43" fontId="8" fillId="4" borderId="0" xfId="0" applyNumberFormat="1" applyFont="1" applyFill="1"/>
    <xf numFmtId="0" fontId="9" fillId="4" borderId="0" xfId="0" applyFont="1" applyFill="1"/>
    <xf numFmtId="43" fontId="9" fillId="4" borderId="0" xfId="0" applyNumberFormat="1" applyFont="1" applyFill="1"/>
    <xf numFmtId="165" fontId="2" fillId="0" borderId="0" xfId="0" applyNumberFormat="1" applyFont="1"/>
    <xf numFmtId="165" fontId="2" fillId="5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9DB2-0596-1F4F-8D0C-44E3FD71399E}">
  <dimension ref="A1:L19"/>
  <sheetViews>
    <sheetView tabSelected="1" zoomScale="160" zoomScaleNormal="160" workbookViewId="0">
      <selection activeCell="E15" sqref="E15"/>
    </sheetView>
  </sheetViews>
  <sheetFormatPr baseColWidth="10" defaultColWidth="10.83203125" defaultRowHeight="16" x14ac:dyDescent="0.2"/>
  <cols>
    <col min="1" max="1" width="27.83203125" style="1" customWidth="1"/>
    <col min="2" max="2" width="12" style="1" customWidth="1"/>
    <col min="3" max="3" width="11.6640625" style="4" bestFit="1" customWidth="1"/>
    <col min="4" max="4" width="10.83203125" style="1"/>
    <col min="5" max="5" width="8.5" style="1" bestFit="1" customWidth="1"/>
    <col min="6" max="6" width="9.5" style="1" bestFit="1" customWidth="1"/>
    <col min="7" max="7" width="11.6640625" style="4" bestFit="1" customWidth="1"/>
    <col min="8" max="8" width="10.83203125" style="1"/>
    <col min="9" max="9" width="6.5" style="1" customWidth="1"/>
    <col min="10" max="10" width="19.33203125" style="1" bestFit="1" customWidth="1"/>
    <col min="11" max="11" width="10.83203125" style="1"/>
    <col min="12" max="12" width="4.83203125" style="1" bestFit="1" customWidth="1"/>
    <col min="13" max="16384" width="10.83203125" style="1"/>
  </cols>
  <sheetData>
    <row r="1" spans="1:12" ht="23" x14ac:dyDescent="0.25">
      <c r="A1" s="3" t="s">
        <v>0</v>
      </c>
      <c r="B1" s="3"/>
    </row>
    <row r="2" spans="1:12" x14ac:dyDescent="0.2">
      <c r="A2" s="7" t="s">
        <v>17</v>
      </c>
      <c r="B2" s="7"/>
    </row>
    <row r="3" spans="1:12" x14ac:dyDescent="0.2">
      <c r="C3" s="5">
        <v>2022</v>
      </c>
      <c r="E3" s="2" t="s">
        <v>24</v>
      </c>
      <c r="G3" s="5">
        <v>2023</v>
      </c>
    </row>
    <row r="4" spans="1:12" x14ac:dyDescent="0.2">
      <c r="A4" s="1" t="s">
        <v>1</v>
      </c>
      <c r="B4" s="8"/>
      <c r="C4" s="9">
        <v>10000</v>
      </c>
      <c r="D4" s="10">
        <f>+C4/C$4</f>
        <v>1</v>
      </c>
      <c r="E4" s="33">
        <v>0</v>
      </c>
      <c r="F4" s="16"/>
      <c r="G4" s="17">
        <f>ROUND(C4*(1+E4),2)</f>
        <v>10000</v>
      </c>
      <c r="H4" s="18">
        <f>+G4/G$4</f>
        <v>1</v>
      </c>
      <c r="J4" s="25" t="s">
        <v>19</v>
      </c>
      <c r="K4" s="26">
        <f>+G18</f>
        <v>241</v>
      </c>
    </row>
    <row r="5" spans="1:12" x14ac:dyDescent="0.2">
      <c r="A5" s="1" t="s">
        <v>2</v>
      </c>
      <c r="B5" s="8"/>
      <c r="C5" s="9">
        <v>-7000</v>
      </c>
      <c r="D5" s="10">
        <f>-C5/C$4</f>
        <v>0.7</v>
      </c>
      <c r="E5" s="33">
        <v>0.12</v>
      </c>
      <c r="F5" s="19"/>
      <c r="G5" s="17">
        <f>ROUND(C5*(1+E5),2)</f>
        <v>-7840</v>
      </c>
      <c r="H5" s="18">
        <f>-G5/G$4</f>
        <v>0.78400000000000003</v>
      </c>
      <c r="J5" s="25" t="s">
        <v>18</v>
      </c>
      <c r="K5" s="27">
        <v>2</v>
      </c>
    </row>
    <row r="6" spans="1:12" x14ac:dyDescent="0.2">
      <c r="A6" s="1" t="s">
        <v>5</v>
      </c>
      <c r="B6" s="9">
        <v>100</v>
      </c>
      <c r="C6" s="9"/>
      <c r="D6" s="11">
        <f>-B6/C$5</f>
        <v>1.4285714285714285E-2</v>
      </c>
      <c r="E6" s="33">
        <v>0</v>
      </c>
      <c r="F6" s="20">
        <f>ROUND(B6*(1+E6),2)</f>
        <v>100</v>
      </c>
      <c r="G6" s="17"/>
      <c r="H6" s="21">
        <f>-F6/G$5</f>
        <v>1.2755102040816327E-2</v>
      </c>
      <c r="J6" s="28" t="s">
        <v>20</v>
      </c>
      <c r="K6" s="29">
        <f>+ROUND(K4/K5,2)</f>
        <v>120.5</v>
      </c>
    </row>
    <row r="7" spans="1:12" x14ac:dyDescent="0.2">
      <c r="A7" s="2" t="s">
        <v>3</v>
      </c>
      <c r="B7" s="12"/>
      <c r="C7" s="13">
        <f>SUM(C4:C5)</f>
        <v>3000</v>
      </c>
      <c r="D7" s="14">
        <f t="shared" ref="D7:D18" si="0">+C7/C$4</f>
        <v>0.3</v>
      </c>
      <c r="E7" s="32"/>
      <c r="F7" s="16"/>
      <c r="G7" s="22">
        <f>SUM(G4:G5)</f>
        <v>2160</v>
      </c>
      <c r="H7" s="23">
        <f t="shared" ref="H7:H18" si="1">+G7/G$4</f>
        <v>0.216</v>
      </c>
      <c r="J7" s="30" t="s">
        <v>21</v>
      </c>
      <c r="K7" s="31">
        <f>+ROUND(K6*L7,2)</f>
        <v>18.079999999999998</v>
      </c>
      <c r="L7" s="6">
        <v>0.15</v>
      </c>
    </row>
    <row r="8" spans="1:12" x14ac:dyDescent="0.2">
      <c r="A8" s="1" t="s">
        <v>4</v>
      </c>
      <c r="B8" s="8"/>
      <c r="C8" s="9">
        <v>-1000</v>
      </c>
      <c r="D8" s="10">
        <f>-C8/C$4</f>
        <v>0.1</v>
      </c>
      <c r="E8" s="33">
        <v>0.12</v>
      </c>
      <c r="F8" s="19"/>
      <c r="G8" s="17">
        <f>ROUND(C8*(1+E8),2)</f>
        <v>-1120</v>
      </c>
      <c r="H8" s="18">
        <f>-G8/G$4</f>
        <v>0.112</v>
      </c>
      <c r="J8" s="28" t="s">
        <v>22</v>
      </c>
      <c r="K8" s="29">
        <f>+ROUND(K6*L8,2)</f>
        <v>24.1</v>
      </c>
      <c r="L8" s="6">
        <v>0.2</v>
      </c>
    </row>
    <row r="9" spans="1:12" x14ac:dyDescent="0.2">
      <c r="A9" s="1" t="s">
        <v>6</v>
      </c>
      <c r="B9" s="9">
        <v>100</v>
      </c>
      <c r="C9" s="9"/>
      <c r="D9" s="11">
        <f>-B9/C$8</f>
        <v>0.1</v>
      </c>
      <c r="E9" s="33">
        <v>0</v>
      </c>
      <c r="F9" s="20">
        <f>ROUND(B9*(1+E9),2)</f>
        <v>100</v>
      </c>
      <c r="G9" s="17"/>
      <c r="H9" s="21">
        <f>-F9/G$8</f>
        <v>8.9285714285714288E-2</v>
      </c>
      <c r="J9" s="28" t="s">
        <v>23</v>
      </c>
      <c r="K9" s="29">
        <f>+K8-K7</f>
        <v>6.0200000000000031</v>
      </c>
    </row>
    <row r="10" spans="1:12" x14ac:dyDescent="0.2">
      <c r="A10" s="2" t="s">
        <v>7</v>
      </c>
      <c r="B10" s="12"/>
      <c r="C10" s="13">
        <f>SUM(C7:C8)</f>
        <v>2000</v>
      </c>
      <c r="D10" s="14">
        <f t="shared" si="0"/>
        <v>0.2</v>
      </c>
      <c r="E10" s="32"/>
      <c r="F10" s="16"/>
      <c r="G10" s="22">
        <f>SUM(G7:G8)</f>
        <v>1040</v>
      </c>
      <c r="H10" s="23">
        <f t="shared" si="1"/>
        <v>0.104</v>
      </c>
    </row>
    <row r="11" spans="1:12" x14ac:dyDescent="0.2">
      <c r="A11" s="1" t="s">
        <v>8</v>
      </c>
      <c r="B11" s="8"/>
      <c r="C11" s="9">
        <v>100</v>
      </c>
      <c r="D11" s="10">
        <f t="shared" si="0"/>
        <v>0.01</v>
      </c>
      <c r="E11" s="33">
        <v>0</v>
      </c>
      <c r="F11" s="19"/>
      <c r="G11" s="17">
        <f>ROUND(C11*(1+E11),2)</f>
        <v>100</v>
      </c>
      <c r="H11" s="18">
        <f t="shared" si="1"/>
        <v>0.01</v>
      </c>
    </row>
    <row r="12" spans="1:12" x14ac:dyDescent="0.2">
      <c r="A12" s="1" t="s">
        <v>9</v>
      </c>
      <c r="B12" s="8"/>
      <c r="C12" s="9">
        <v>-500</v>
      </c>
      <c r="D12" s="10">
        <f>-C12/C$4</f>
        <v>0.05</v>
      </c>
      <c r="E12" s="33">
        <v>0</v>
      </c>
      <c r="F12" s="19"/>
      <c r="G12" s="17">
        <f>ROUND(C12*(1+E12),2)</f>
        <v>-500</v>
      </c>
      <c r="H12" s="18">
        <f>-G12/G$4</f>
        <v>0.05</v>
      </c>
    </row>
    <row r="13" spans="1:12" x14ac:dyDescent="0.2">
      <c r="A13" s="1" t="s">
        <v>14</v>
      </c>
      <c r="B13" s="9">
        <v>200</v>
      </c>
      <c r="C13" s="9"/>
      <c r="D13" s="11">
        <f>-B13/C$12</f>
        <v>0.4</v>
      </c>
      <c r="E13" s="33">
        <v>0</v>
      </c>
      <c r="F13" s="20">
        <f>ROUND(B13*(1+E13),2)</f>
        <v>200</v>
      </c>
      <c r="G13" s="17"/>
      <c r="H13" s="21">
        <f>-F13/G$12</f>
        <v>0.4</v>
      </c>
    </row>
    <row r="14" spans="1:12" x14ac:dyDescent="0.2">
      <c r="A14" s="1" t="s">
        <v>15</v>
      </c>
      <c r="B14" s="9">
        <v>100</v>
      </c>
      <c r="C14" s="9"/>
      <c r="D14" s="11">
        <f>-B14/C$11</f>
        <v>-1</v>
      </c>
      <c r="E14" s="33">
        <v>0</v>
      </c>
      <c r="F14" s="20">
        <f>ROUND(B14*(1+E14),2)</f>
        <v>100</v>
      </c>
      <c r="G14" s="17"/>
      <c r="H14" s="21">
        <f>-F14/G$11</f>
        <v>-1</v>
      </c>
    </row>
    <row r="15" spans="1:12" x14ac:dyDescent="0.2">
      <c r="A15" s="2" t="s">
        <v>10</v>
      </c>
      <c r="B15" s="12"/>
      <c r="C15" s="13">
        <f>SUM(C10:C12)</f>
        <v>1600</v>
      </c>
      <c r="D15" s="14">
        <f t="shared" si="0"/>
        <v>0.16</v>
      </c>
      <c r="F15" s="16"/>
      <c r="G15" s="22">
        <f>SUM(G10:G12)</f>
        <v>640</v>
      </c>
      <c r="H15" s="23">
        <f t="shared" si="1"/>
        <v>6.4000000000000001E-2</v>
      </c>
    </row>
    <row r="16" spans="1:12" x14ac:dyDescent="0.2">
      <c r="A16" s="2" t="s">
        <v>13</v>
      </c>
      <c r="B16" s="12"/>
      <c r="C16" s="13">
        <f>B6+B9+C15+B13+B14</f>
        <v>2100</v>
      </c>
      <c r="D16" s="10">
        <f t="shared" si="0"/>
        <v>0.21</v>
      </c>
      <c r="F16" s="16"/>
      <c r="G16" s="22">
        <f>F6+F9+G15+F13+F14</f>
        <v>1140</v>
      </c>
      <c r="H16" s="18">
        <f t="shared" si="1"/>
        <v>0.114</v>
      </c>
    </row>
    <row r="17" spans="1:8" x14ac:dyDescent="0.2">
      <c r="A17" s="1" t="s">
        <v>11</v>
      </c>
      <c r="B17" s="8"/>
      <c r="C17" s="9">
        <f>-IF(C15*15%&gt;C16*35%,ROUND(C15*15%,1),ROUND(C16*35%,1))</f>
        <v>-735</v>
      </c>
      <c r="D17" s="10">
        <f>-C17/C$4</f>
        <v>7.3499999999999996E-2</v>
      </c>
      <c r="F17" s="16"/>
      <c r="G17" s="17">
        <f>-IF(G15*15%&gt;G16*35%,ROUND(G15*15%,1),ROUND(G16*35%,1))</f>
        <v>-399</v>
      </c>
      <c r="H17" s="18">
        <f>-G17/G$4</f>
        <v>3.9899999999999998E-2</v>
      </c>
    </row>
    <row r="18" spans="1:8" x14ac:dyDescent="0.2">
      <c r="A18" s="2" t="s">
        <v>12</v>
      </c>
      <c r="B18" s="12"/>
      <c r="C18" s="13">
        <f>C17+C15</f>
        <v>865</v>
      </c>
      <c r="D18" s="10">
        <f t="shared" si="0"/>
        <v>8.6499999999999994E-2</v>
      </c>
      <c r="F18" s="16"/>
      <c r="G18" s="22">
        <f>G17+G15</f>
        <v>241</v>
      </c>
      <c r="H18" s="18">
        <f t="shared" si="1"/>
        <v>2.41E-2</v>
      </c>
    </row>
    <row r="19" spans="1:8" x14ac:dyDescent="0.2">
      <c r="A19" s="1" t="s">
        <v>16</v>
      </c>
      <c r="B19" s="8"/>
      <c r="C19" s="9"/>
      <c r="D19" s="15">
        <f>-C17/C$15</f>
        <v>0.45937499999999998</v>
      </c>
      <c r="F19" s="16"/>
      <c r="G19" s="17"/>
      <c r="H19" s="24">
        <f>-G17/G$15</f>
        <v>0.62343749999999998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Blacolombia Edmundo Flórez</cp:lastModifiedBy>
  <dcterms:created xsi:type="dcterms:W3CDTF">2022-11-10T16:13:48Z</dcterms:created>
  <dcterms:modified xsi:type="dcterms:W3CDTF">2022-11-26T16:22:42Z</dcterms:modified>
</cp:coreProperties>
</file>