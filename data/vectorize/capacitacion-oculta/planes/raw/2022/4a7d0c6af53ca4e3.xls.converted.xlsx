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UDELOE\Documents\Contapyme\lab-langgraph\data\vectorize\capacitacion-oculta\planes\raw\2022\"/>
    </mc:Choice>
  </mc:AlternateContent>
  <xr:revisionPtr revIDLastSave="0" documentId="8_{961654AD-2A90-42B5-B734-FFCC129DB93B}" xr6:coauthVersionLast="47" xr6:coauthVersionMax="47" xr10:uidLastSave="{00000000-0000-0000-0000-000000000000}"/>
  <bookViews>
    <workbookView xWindow="-120" yWindow="-120" windowWidth="29040" windowHeight="16440" firstSheet="2" activeTab="2" xr2:uid="{16A6C688-A46E-42AA-AB72-CA83D59A5680}"/>
  </bookViews>
  <sheets>
    <sheet name="Hoja1" sheetId="15" state="hidden" r:id="rId1"/>
    <sheet name="ECPCA" sheetId="4" state="hidden" r:id="rId2"/>
    <sheet name="HNM - FINANCIEROS" sheetId="12" r:id="rId3"/>
    <sheet name="HNM - ANEXO IF" sheetId="20" r:id="rId4"/>
    <sheet name="Hoja4" sheetId="23" r:id="rId5"/>
    <sheet name="VNR INVENTARIO " sheetId="21" r:id="rId6"/>
    <sheet name="VNR - INVENTARIO" sheetId="22" r:id="rId7"/>
    <sheet name="ppe" sheetId="17" state="hidden" r:id="rId8"/>
  </sheets>
  <externalReferences>
    <externalReference r:id="rId9"/>
  </externalReferences>
  <definedNames>
    <definedName name="_xlnm.Print_Area" localSheetId="1">ECPCA!$B$1:$F$34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3" i="22" l="1"/>
  <c r="E159" i="22"/>
  <c r="E160" i="22" s="1"/>
  <c r="G144" i="22"/>
  <c r="F144" i="22"/>
  <c r="G140" i="22"/>
  <c r="D144" i="22" s="1"/>
  <c r="D148" i="22" s="1"/>
  <c r="D140" i="22"/>
  <c r="D133" i="22"/>
  <c r="G131" i="22"/>
  <c r="F148" i="22" s="1"/>
  <c r="G148" i="22" s="1"/>
  <c r="D89" i="22"/>
  <c r="G81" i="22"/>
  <c r="C81" i="22"/>
  <c r="D70" i="22"/>
  <c r="H67" i="22"/>
  <c r="E57" i="22"/>
  <c r="E46" i="22"/>
  <c r="E32" i="22"/>
  <c r="E31" i="22"/>
  <c r="F33" i="22" s="1"/>
  <c r="F51" i="22"/>
  <c r="D27" i="22"/>
  <c r="C19" i="22"/>
  <c r="D26" i="22" s="1"/>
  <c r="H49" i="21"/>
  <c r="H48" i="21"/>
  <c r="H50" i="21"/>
  <c r="G48" i="21"/>
  <c r="H47" i="21"/>
  <c r="G47" i="21"/>
  <c r="F8" i="21"/>
  <c r="G8" i="21" s="1"/>
  <c r="H7" i="21"/>
  <c r="F7" i="21"/>
  <c r="F6" i="21"/>
  <c r="G6" i="21" s="1"/>
  <c r="F5" i="21"/>
  <c r="G5" i="21"/>
  <c r="G9" i="21" s="1"/>
  <c r="B171" i="15"/>
  <c r="B169" i="15"/>
  <c r="B166" i="15"/>
  <c r="C174" i="15"/>
  <c r="C161" i="15"/>
  <c r="B161" i="15"/>
  <c r="C154" i="15"/>
  <c r="C175" i="15" s="1"/>
  <c r="B154" i="15"/>
  <c r="B175" i="15" s="1"/>
  <c r="B174" i="15"/>
  <c r="C139" i="15"/>
  <c r="C141" i="15"/>
  <c r="B141" i="15"/>
  <c r="B145" i="15"/>
  <c r="C135" i="15"/>
  <c r="B135" i="15"/>
  <c r="C128" i="15"/>
  <c r="B128" i="15"/>
  <c r="F22" i="17"/>
  <c r="E22" i="17"/>
  <c r="D22" i="17"/>
  <c r="C22" i="17"/>
  <c r="B22" i="17"/>
  <c r="A22" i="17"/>
  <c r="F20" i="17"/>
  <c r="E20" i="17"/>
  <c r="D20" i="17"/>
  <c r="C20" i="17"/>
  <c r="B20" i="17"/>
  <c r="A20" i="17"/>
  <c r="F19" i="17"/>
  <c r="E19" i="17"/>
  <c r="D19" i="17"/>
  <c r="C19" i="17"/>
  <c r="B19" i="17"/>
  <c r="A19" i="17"/>
  <c r="F18" i="17"/>
  <c r="E18" i="17"/>
  <c r="D18" i="17"/>
  <c r="C18" i="17"/>
  <c r="B18" i="17"/>
  <c r="A18" i="17"/>
  <c r="F17" i="17"/>
  <c r="E17" i="17"/>
  <c r="D17" i="17"/>
  <c r="C17" i="17"/>
  <c r="B17" i="17"/>
  <c r="A17" i="17"/>
  <c r="F16" i="17"/>
  <c r="E16" i="17"/>
  <c r="D16" i="17"/>
  <c r="C16" i="17"/>
  <c r="B16" i="17"/>
  <c r="A16" i="17"/>
  <c r="F15" i="17"/>
  <c r="E15" i="17"/>
  <c r="D15" i="17"/>
  <c r="C15" i="17"/>
  <c r="B15" i="17"/>
  <c r="A14" i="17"/>
  <c r="F12" i="17"/>
  <c r="E12" i="17"/>
  <c r="D12" i="17"/>
  <c r="C12" i="17"/>
  <c r="B12" i="17"/>
  <c r="A12" i="17"/>
  <c r="F11" i="17"/>
  <c r="E11" i="17"/>
  <c r="D11" i="17"/>
  <c r="C11" i="17"/>
  <c r="B11" i="17"/>
  <c r="A11" i="17"/>
  <c r="F10" i="17"/>
  <c r="E10" i="17"/>
  <c r="D10" i="17"/>
  <c r="C10" i="17"/>
  <c r="B10" i="17"/>
  <c r="A10" i="17"/>
  <c r="F9" i="17"/>
  <c r="E9" i="17"/>
  <c r="D9" i="17"/>
  <c r="C9" i="17"/>
  <c r="B9" i="17"/>
  <c r="A9" i="17"/>
  <c r="F8" i="17"/>
  <c r="E8" i="17"/>
  <c r="D8" i="17"/>
  <c r="C8" i="17"/>
  <c r="B8" i="17"/>
  <c r="A8" i="17"/>
  <c r="F7" i="17"/>
  <c r="E7" i="17"/>
  <c r="D7" i="17"/>
  <c r="C7" i="17"/>
  <c r="B7" i="17"/>
  <c r="A6" i="17"/>
  <c r="A4" i="17"/>
  <c r="A2" i="17"/>
  <c r="C145" i="15"/>
  <c r="C119" i="15"/>
  <c r="B119" i="15"/>
  <c r="D108" i="15"/>
  <c r="C108" i="15"/>
  <c r="B108" i="15"/>
  <c r="C100" i="15"/>
  <c r="B100" i="15"/>
  <c r="C83" i="15"/>
  <c r="C85" i="15"/>
  <c r="C92" i="15"/>
  <c r="B92" i="15"/>
  <c r="B85" i="15"/>
  <c r="C66" i="15"/>
  <c r="B66" i="15"/>
  <c r="B67" i="15"/>
  <c r="C77" i="15"/>
  <c r="C78" i="15"/>
  <c r="B78" i="15"/>
  <c r="B40" i="15"/>
  <c r="B39" i="15"/>
  <c r="B41" i="15"/>
  <c r="B34" i="15"/>
  <c r="B36" i="15"/>
  <c r="C41" i="15"/>
  <c r="C36" i="15"/>
  <c r="B54" i="15"/>
  <c r="B55" i="15" s="1"/>
  <c r="C55" i="15"/>
  <c r="C49" i="15"/>
  <c r="B49" i="15"/>
  <c r="B25" i="15"/>
  <c r="B29" i="15"/>
  <c r="C29" i="15"/>
  <c r="C19" i="15"/>
  <c r="B19" i="15"/>
  <c r="C6" i="15"/>
  <c r="B6" i="15"/>
  <c r="D14" i="4"/>
  <c r="D12" i="4"/>
  <c r="F12" i="4" s="1"/>
  <c r="D10" i="4"/>
  <c r="F10" i="4"/>
  <c r="F17" i="4" s="1"/>
  <c r="E14" i="4"/>
  <c r="D13" i="4"/>
  <c r="E13" i="4"/>
  <c r="E17" i="4"/>
  <c r="D11" i="4"/>
  <c r="F11" i="4"/>
  <c r="D17" i="4"/>
  <c r="F13" i="4"/>
  <c r="G132" i="22"/>
  <c r="F14" i="4"/>
  <c r="H5" i="21"/>
  <c r="H6" i="21" l="1"/>
  <c r="H8" i="21"/>
  <c r="E163" i="22"/>
  <c r="E161" i="22"/>
  <c r="H9" i="21"/>
  <c r="I9" i="21" l="1"/>
  <c r="I7" i="21"/>
  <c r="J7" i="21" s="1"/>
  <c r="K7" i="21" s="1"/>
  <c r="L7" i="21" s="1"/>
  <c r="I5" i="21"/>
  <c r="J5" i="21" s="1"/>
  <c r="I8" i="21"/>
  <c r="J8" i="21" s="1"/>
  <c r="K8" i="21" s="1"/>
  <c r="L8" i="21" s="1"/>
  <c r="I6" i="21"/>
  <c r="J6" i="21" s="1"/>
  <c r="K6" i="21" s="1"/>
  <c r="L6" i="21" s="1"/>
  <c r="J9" i="21" l="1"/>
  <c r="K9" i="21" s="1"/>
  <c r="K5" i="21"/>
  <c r="L5" i="21" s="1"/>
</calcChain>
</file>

<file path=xl/sharedStrings.xml><?xml version="1.0" encoding="utf-8"?>
<sst xmlns="http://schemas.openxmlformats.org/spreadsheetml/2006/main" count="410" uniqueCount="317">
  <si>
    <t>Representante Legal</t>
  </si>
  <si>
    <t xml:space="preserve"> </t>
  </si>
  <si>
    <t>SALDO</t>
  </si>
  <si>
    <t>CAMBIOS</t>
  </si>
  <si>
    <t>Capital Social</t>
  </si>
  <si>
    <t>Reserva Legal</t>
  </si>
  <si>
    <t>Resultados del Ejercicio</t>
  </si>
  <si>
    <t>Resultado de Ejercicios Anteriores</t>
  </si>
  <si>
    <t>TOTALES</t>
  </si>
  <si>
    <t xml:space="preserve">Revisor Fiscal </t>
  </si>
  <si>
    <t>Contador Público</t>
  </si>
  <si>
    <t>ESTADO DE CAMBIOS EN EL PATRIMONIO</t>
  </si>
  <si>
    <t>G.M.P. INGENIEROS S.A.S.</t>
  </si>
  <si>
    <t>GUSTAVO MARTINEZ PETRO</t>
  </si>
  <si>
    <t>BERNARDO ANAYA SEVERICHE</t>
  </si>
  <si>
    <t>IRINA ISABEL CUETO GOMEZ</t>
  </si>
  <si>
    <t>1 de Enero - 31 de Diciembre del 2016</t>
  </si>
  <si>
    <t>DIC. 31-16</t>
  </si>
  <si>
    <t>DIC. 31-15</t>
  </si>
  <si>
    <t>T.P No 49881-T</t>
  </si>
  <si>
    <t>T.P No 142487-T</t>
  </si>
  <si>
    <t>Revalorizacion del Patrimonio</t>
  </si>
  <si>
    <t>Recuperaciones</t>
  </si>
  <si>
    <t>Índices de liquidez</t>
  </si>
  <si>
    <t>Prueba Ácida de Inventarios (número de veces)</t>
  </si>
  <si>
    <t>(Activos corrientes - Inventarios)/ Pasivos corrientes</t>
  </si>
  <si>
    <t>Prueba Ácida de cuentas por cobrar (número de veces)</t>
  </si>
  <si>
    <t xml:space="preserve">(Activo corriente - Deudores) / Pasivo corriente </t>
  </si>
  <si>
    <t>Índices de endeudamiento</t>
  </si>
  <si>
    <t xml:space="preserve">Nivel de Endeudamiento Externo </t>
  </si>
  <si>
    <t>Pasivos del exterior / Activos totales</t>
  </si>
  <si>
    <t>Nivel de Endeudamiento Total (%)</t>
  </si>
  <si>
    <t>Pasivos totales / Activo totales</t>
  </si>
  <si>
    <t>Nivel de Endeudamiento en Corto Plazo (%)</t>
  </si>
  <si>
    <t>Pasivos corrientes / Activo totales</t>
  </si>
  <si>
    <t>Cobertura de Intereses (%)</t>
  </si>
  <si>
    <t>Utilidad operacional / Gastos financieros</t>
  </si>
  <si>
    <t>Apalancamiento Total (%)</t>
  </si>
  <si>
    <t>Pasivos totales / Patrimonio</t>
  </si>
  <si>
    <t>Apalancamiento Corto Plazo (%)</t>
  </si>
  <si>
    <t>Pasivos corrientes / Patrimonio</t>
  </si>
  <si>
    <t>Apalancamiento Financiero Total (%)</t>
  </si>
  <si>
    <t>Pasivos financieros / Patrimonio</t>
  </si>
  <si>
    <t>Índices de actividad</t>
  </si>
  <si>
    <t>Rotación de Cartera (número de días)</t>
  </si>
  <si>
    <t>(Cartera / Ventas) x 360</t>
  </si>
  <si>
    <t>Rotación de Cartera (número de veces)</t>
  </si>
  <si>
    <t>Ventas / Cartera</t>
  </si>
  <si>
    <t xml:space="preserve">Rotación de Inventarios (número de días) </t>
  </si>
  <si>
    <t>(Inventarios / Costo de ventas) x 360</t>
  </si>
  <si>
    <t>Rotación de Inventarios (número de veces)</t>
  </si>
  <si>
    <t>Costo de ventas / Inventarios</t>
  </si>
  <si>
    <t>Rotación de Activos Fijos (número de veces)</t>
  </si>
  <si>
    <t>Ingresos operacionales / Activos fijos</t>
  </si>
  <si>
    <t>Rotación de Activos Operacionales (número de veces)</t>
  </si>
  <si>
    <t>Ingresos operacionales / Activos corrientes</t>
  </si>
  <si>
    <t>Rotación de Activos Totales (número de veces)</t>
  </si>
  <si>
    <t>Ingresos operacionales / Activos totales</t>
  </si>
  <si>
    <t>Índices de rendimiento</t>
  </si>
  <si>
    <t>Margen Bruto de Utilidad (%)</t>
  </si>
  <si>
    <t>Utilidad bruta / Ingresos operacionales</t>
  </si>
  <si>
    <t>Margen Operacional de Utilidad (%)</t>
  </si>
  <si>
    <t>Utilidad operacional / Ingresos operacionales</t>
  </si>
  <si>
    <t>Margen Neto de Utilidad (%)</t>
  </si>
  <si>
    <t>Utilidad neta / Ingresos operacionales</t>
  </si>
  <si>
    <t>Rendimiento del Patrimonio (%)</t>
  </si>
  <si>
    <t>Utilidad neta / Patrimonio</t>
  </si>
  <si>
    <t>Rendimiento del Activo Total (%)</t>
  </si>
  <si>
    <t>Utilidad neta / Activos totales</t>
  </si>
  <si>
    <t>Retenciones sobre contratos</t>
  </si>
  <si>
    <t>GUSTAVO ANTONIO MARTINEZ PETRO</t>
  </si>
  <si>
    <t>LUZ  EDNA RAMIREZ AVILA</t>
  </si>
  <si>
    <t>GUSTAVO ADOLFO MARTINEZ RAMIREZ</t>
  </si>
  <si>
    <t>MARCO ANTONIO MARTINEZ RAMIREZ</t>
  </si>
  <si>
    <t>Construcciones Obras civiles no grav.</t>
  </si>
  <si>
    <t>Ingreso Modo de Participacion</t>
  </si>
  <si>
    <t>Honorarios</t>
  </si>
  <si>
    <t>Impuestos</t>
  </si>
  <si>
    <t>Servicios</t>
  </si>
  <si>
    <t>Depreciaciones</t>
  </si>
  <si>
    <t>Diversos</t>
  </si>
  <si>
    <t>Financieros</t>
  </si>
  <si>
    <t>Extraordinarios</t>
  </si>
  <si>
    <t>Cuentas Corrientes Comerciales</t>
  </si>
  <si>
    <t>Servicios Tecnicos</t>
  </si>
  <si>
    <t>Arrendamientos</t>
  </si>
  <si>
    <t>Otros</t>
  </si>
  <si>
    <t>Materiales</t>
  </si>
  <si>
    <t>Alquiler Maquinaria y Equipos</t>
  </si>
  <si>
    <t>Herramientas</t>
  </si>
  <si>
    <t>Alimentaciòn</t>
  </si>
  <si>
    <t>Salud Ocupacional</t>
  </si>
  <si>
    <t>Costo de Personal</t>
  </si>
  <si>
    <t>Incapacidades Generales</t>
  </si>
  <si>
    <t>Transporte</t>
  </si>
  <si>
    <t>Combustibles y Lubricantes</t>
  </si>
  <si>
    <t>Reparaciones y Mantenimientos</t>
  </si>
  <si>
    <t>Amortizaciones</t>
  </si>
  <si>
    <t>Perdida en venta y retiro bienes</t>
  </si>
  <si>
    <t>Construcciones Obras ing. Civil mtto</t>
  </si>
  <si>
    <t>Venta de Materiales de Construcción</t>
  </si>
  <si>
    <t>Actividades de Alquiler</t>
  </si>
  <si>
    <t>Devolucion en Ventas</t>
  </si>
  <si>
    <t>Otras Ventas</t>
  </si>
  <si>
    <t>Incapacidades</t>
  </si>
  <si>
    <t>Caja</t>
  </si>
  <si>
    <t>Bancos</t>
  </si>
  <si>
    <t>Cuenta de Ahorro</t>
  </si>
  <si>
    <t>Fiducia de Inversión</t>
  </si>
  <si>
    <t xml:space="preserve">  Total</t>
  </si>
  <si>
    <t>Clientes</t>
  </si>
  <si>
    <t>Socios y accionistas</t>
  </si>
  <si>
    <t>Empleados</t>
  </si>
  <si>
    <t>Anticipo de Impuestos y Contribuciones</t>
  </si>
  <si>
    <t>Cuentas por cobrar vinculados económicos</t>
  </si>
  <si>
    <t>Ingresos por cobrar</t>
  </si>
  <si>
    <t>Anticipos y avances</t>
  </si>
  <si>
    <t>Anticipo Impuesto de Renta</t>
  </si>
  <si>
    <t>Anticipo Impuesto a las ventas</t>
  </si>
  <si>
    <t>Anticipo Impuesto de Industria y Comercio</t>
  </si>
  <si>
    <t>Anticipo Impuesto de CREE</t>
  </si>
  <si>
    <t>Saldo a Favor Declaración de Renta</t>
  </si>
  <si>
    <t>Saldo a Favor Declaración CREE</t>
  </si>
  <si>
    <t>Obligaciones Financieras</t>
  </si>
  <si>
    <t>Pasivos por arrendamiento financiero</t>
  </si>
  <si>
    <t>Pasivo No Circulante</t>
  </si>
  <si>
    <t>Pasivo Circulante</t>
  </si>
  <si>
    <t>Bienes recibidos en arrendamiento Finan.</t>
  </si>
  <si>
    <t>Licencias</t>
  </si>
  <si>
    <t>Amortizacion Acumulada</t>
  </si>
  <si>
    <t>Gastos de Administracion</t>
  </si>
  <si>
    <t>Costos Indirectos</t>
  </si>
  <si>
    <t>Retencion en la fuente</t>
  </si>
  <si>
    <t>Impuesto a las ventas retenido</t>
  </si>
  <si>
    <t>Impuesto deindustria y comercio retenido</t>
  </si>
  <si>
    <t>Impuesto CREE</t>
  </si>
  <si>
    <t>Retenciones y aportes de nomina</t>
  </si>
  <si>
    <t>Servicios de mantenimiento</t>
  </si>
  <si>
    <t>Transporte, fletes y acarreos</t>
  </si>
  <si>
    <t>Servicios publicos</t>
  </si>
  <si>
    <t>Acredores varios</t>
  </si>
  <si>
    <t>Anticipos y avances recibidos de clientes</t>
  </si>
  <si>
    <t>Impuesto a las ventas por pagar</t>
  </si>
  <si>
    <t>Impuesto de Industria y comercio</t>
  </si>
  <si>
    <t>Impuesto Diferido</t>
  </si>
  <si>
    <t>Impuesto de Renta</t>
  </si>
  <si>
    <t>Salarios por pagar</t>
  </si>
  <si>
    <t>Cesantias consolidadas</t>
  </si>
  <si>
    <t>Intereses sobre cesantias</t>
  </si>
  <si>
    <t>Vacaciones consolidadas</t>
  </si>
  <si>
    <t>APORTES</t>
  </si>
  <si>
    <t>%</t>
  </si>
  <si>
    <t>No.ACCIONES</t>
  </si>
  <si>
    <t>VALOR NOMINAL</t>
  </si>
  <si>
    <t>$1.144.000.000</t>
  </si>
  <si>
    <t>$1000</t>
  </si>
  <si>
    <t>$352.000.000</t>
  </si>
  <si>
    <t>No ACCIONES</t>
  </si>
  <si>
    <t>Gastos Bancarios</t>
  </si>
  <si>
    <t>Comisiones</t>
  </si>
  <si>
    <t>Intereses de Obligaciones</t>
  </si>
  <si>
    <t>Intereses de Arrendamientos Financieros</t>
  </si>
  <si>
    <t>Diferencia en cambio</t>
  </si>
  <si>
    <t>Gastos de Seguros Leasing</t>
  </si>
  <si>
    <t>Materia Prima</t>
  </si>
  <si>
    <t>Mano de Obra Directa</t>
  </si>
  <si>
    <t>Suministros en general</t>
  </si>
  <si>
    <t>Asesorias</t>
  </si>
  <si>
    <t>Total Costos en ejecucion de obras</t>
  </si>
  <si>
    <t>INDICADOR</t>
  </si>
  <si>
    <t>DIMENSIÓN</t>
  </si>
  <si>
    <t>FÓRMULA</t>
  </si>
  <si>
    <t>RESULTADO</t>
  </si>
  <si>
    <t>1.</t>
  </si>
  <si>
    <t>Posición patrimonial negativa</t>
  </si>
  <si>
    <t>Detrimento Patrimonial</t>
  </si>
  <si>
    <t>Patrimonio total &lt; $0</t>
  </si>
  <si>
    <t>2.</t>
  </si>
  <si>
    <t>deterioro Patrimonial</t>
  </si>
  <si>
    <t>(Resultado del ejercicio anterior &lt; O) Y (Resultado del ejercicio anterior &lt; O)</t>
  </si>
  <si>
    <t>Dos periodos consecutivos de cierre con razón corriente inferior a 1</t>
  </si>
  <si>
    <t>Riesgo de Insolvencia</t>
  </si>
  <si>
    <t>Dos periodos consecutivos de cierre con utilidad negativa en el resultado del ejercicio</t>
  </si>
  <si>
    <t>FAVORABLE/NO FAVORABLE</t>
  </si>
  <si>
    <t xml:space="preserve">2021: (Activo corriente /pasivo corriente)  &lt; 1  2022: (Activo corriente /pasivo corriente)  &lt; 1 </t>
  </si>
  <si>
    <t>DECRETO 1378 DE 2020</t>
  </si>
  <si>
    <t>Préstamos a plazo fijo próximos a su vencimiento sin perspectivas realistas de reembolso o renovación; o dependencia excesiva de préstamos a corto plazo para financiar activos a largo plazo.</t>
  </si>
  <si>
    <t>NIA 570</t>
  </si>
  <si>
    <t>Financiera</t>
  </si>
  <si>
    <t>N/A</t>
  </si>
  <si>
    <t>Indicios de retirada de apoyo financiero por los acreedores.</t>
  </si>
  <si>
    <t>Flujos de efectivo de operación negativos en estados financieros históricos o prospectivos.</t>
  </si>
  <si>
    <t>Ratios (indicadores) financieros claves desfavorables.</t>
  </si>
  <si>
    <t>Ver anexo IF</t>
  </si>
  <si>
    <t>Pérdidas operacionales sustanciales o deterioro significativo del valor de los activos utilizados para generar flujos de efectivo.</t>
  </si>
  <si>
    <t>Atrasos en los pagos de dividendos o suspensión de estos.</t>
  </si>
  <si>
    <t>Incapacidad de pagar al vencimiento a los acreedores.</t>
  </si>
  <si>
    <t>Incapacidad de cumplir con los términos de los contratos de préstamo.</t>
  </si>
  <si>
    <t xml:space="preserve">Financiara </t>
  </si>
  <si>
    <t>Cambio en la forma de pago de las transacciones con proveedores, pasando del pago a crédito al pago al contado.</t>
  </si>
  <si>
    <t>Incapacidad de obtener financiación para el desarrollo imprescindible de nuevos productos u otras inversiones esenciales.</t>
  </si>
  <si>
    <t>ANALISIS CUMPLIMIENTO HIPOTESIS NEGOCIO EN MARCHA</t>
  </si>
  <si>
    <t>Operativa</t>
  </si>
  <si>
    <t>Intención de la administración de liquidar la entidad o de cesar sus actividades</t>
  </si>
  <si>
    <t>Salida de miembros clave de la dirección, sin sustitución.</t>
  </si>
  <si>
    <t>Pérdida de un mercado importante, de uno o varios clientes clave, de una franquicia, de una licencia o de uno o varios proveedores principales.</t>
  </si>
  <si>
    <t>Dificultades laborales.</t>
  </si>
  <si>
    <t>Escasez de suministros importantes.</t>
  </si>
  <si>
    <t>Aparición de un competidor de gran éxito.</t>
  </si>
  <si>
    <t>Incumplimiento de requerimientos de capital o de otros requerimientos legales, como requerimientos de solvencia o liquidez en el caso de entidades financieras.</t>
  </si>
  <si>
    <t>Procedimientos legales o administrativos pendientes contra la entidad que, si prosperasen, podrían dar lugar a reclamaciones que es improbable que la entidad pueda satisfacer.</t>
  </si>
  <si>
    <t>Cambios en las disposiciones legales o reglamentarias o en políticas públicas que previsiblemente afectarán negativamente a la entidad..</t>
  </si>
  <si>
    <t>Catástrofes sin asegurar o aseguradas insuficientemente cuando se producen.</t>
  </si>
  <si>
    <t>TRES ESCENARIOS DE LA HNM</t>
  </si>
  <si>
    <t>1. NO SE CUMPLE CON LA HIPOTESIS</t>
  </si>
  <si>
    <t>2. SE CUMPLE CON LA HIPOTESIS CON INDICADORES EN VERDE</t>
  </si>
  <si>
    <t>3. SE CUMPLE CON HOPOTESIS CON INDICADIORES EN ROJO.</t>
  </si>
  <si>
    <t>1. ¿Qué VA A PASAR CON LA COMPAÑÍA EN EL 2023?</t>
  </si>
  <si>
    <t>Seguimos operando</t>
  </si>
  <si>
    <t>No seguiremos operando</t>
  </si>
  <si>
    <t>Nuestro futuro es incierto.</t>
  </si>
  <si>
    <t>INCERTIDUMBRE</t>
  </si>
  <si>
    <t>CALCULO DETERIORO DE INVENTARIO</t>
  </si>
  <si>
    <t xml:space="preserve">PRODUCTO </t>
  </si>
  <si>
    <t>CANTIDAD</t>
  </si>
  <si>
    <t>COSTO UNITARIO</t>
  </si>
  <si>
    <t>TOTAL LIBROS</t>
  </si>
  <si>
    <t>PV/U</t>
  </si>
  <si>
    <t>TOTAL VENTA</t>
  </si>
  <si>
    <t>PARTICIPACIÓN</t>
  </si>
  <si>
    <t>PARTICIPACIÓN TOTAL EN PESOS</t>
  </si>
  <si>
    <t>VNR</t>
  </si>
  <si>
    <t>COMPARAMOS</t>
  </si>
  <si>
    <t>CARTERA</t>
  </si>
  <si>
    <t>ZAPATO</t>
  </si>
  <si>
    <t>CINTURON</t>
  </si>
  <si>
    <t xml:space="preserve">CINTURON </t>
  </si>
  <si>
    <t>GORRO</t>
  </si>
  <si>
    <t xml:space="preserve">PARA VENDER ESAS 34 UNIDADES SE REQUIEREN UNOS GASTOS DE VENTA (PODRIAN SER TAMBIEN DE TERMINACIÓN) DE: </t>
  </si>
  <si>
    <t xml:space="preserve">VR TOTAL </t>
  </si>
  <si>
    <t>e</t>
  </si>
  <si>
    <r>
      <rPr>
        <sz val="11"/>
        <color indexed="10"/>
        <rFont val="Calibri"/>
        <family val="2"/>
      </rPr>
      <t xml:space="preserve">SE encuentren efectivamente pagados previamente a la presentación </t>
    </r>
    <r>
      <rPr>
        <sz val="11"/>
        <color theme="1"/>
        <rFont val="Calibri"/>
        <family val="2"/>
        <scheme val="minor"/>
      </rPr>
      <t>de la declaración inicial del impuesto sobre la renta.</t>
    </r>
  </si>
  <si>
    <t xml:space="preserve"> declaración inicial </t>
  </si>
  <si>
    <t>DEDUCCIÓN O DESCUENTO TRIBUTARIO</t>
  </si>
  <si>
    <t xml:space="preserve">DECCCIÓN </t>
  </si>
  <si>
    <t>DESCUENTO TRIBUTARIO</t>
  </si>
  <si>
    <t>INGRESO</t>
  </si>
  <si>
    <t>IMPUSTO</t>
  </si>
  <si>
    <t>COSTOS</t>
  </si>
  <si>
    <t>RL</t>
  </si>
  <si>
    <t>IMPUESTO</t>
  </si>
  <si>
    <t>DESCUENTO TRIBU</t>
  </si>
  <si>
    <t>A PAGAR</t>
  </si>
  <si>
    <t>BG 31 DICIEMBRE 2020</t>
  </si>
  <si>
    <t>CONSORCIO</t>
  </si>
  <si>
    <t xml:space="preserve">ACTIVO </t>
  </si>
  <si>
    <t xml:space="preserve">PASIVO </t>
  </si>
  <si>
    <t>ER 31 DICIEMBRE 2020</t>
  </si>
  <si>
    <t>INGRESOS</t>
  </si>
  <si>
    <t>COSTOS  Y GASTOS</t>
  </si>
  <si>
    <t>UTILIDAD</t>
  </si>
  <si>
    <t>CONSORCIADOS</t>
  </si>
  <si>
    <t>A</t>
  </si>
  <si>
    <t>B</t>
  </si>
  <si>
    <t>CXP CONSORCIADOS A</t>
  </si>
  <si>
    <t>CAJA</t>
  </si>
  <si>
    <t>CUENTA POR COBRAR</t>
  </si>
  <si>
    <t>CERTIFICAN</t>
  </si>
  <si>
    <t>1355 RETENCIONES</t>
  </si>
  <si>
    <t>MAQUIRI</t>
  </si>
  <si>
    <t>EFECTIVO</t>
  </si>
  <si>
    <t>1516 APORTES A CNOSRCIOS</t>
  </si>
  <si>
    <t>1515 PROPIA MAQUINARIA Y ESPORA</t>
  </si>
  <si>
    <t>CONSORCIO O UT</t>
  </si>
  <si>
    <t>CONSORCIADO</t>
  </si>
  <si>
    <t>CONSTITUCION</t>
  </si>
  <si>
    <t>ACTIVO</t>
  </si>
  <si>
    <t>ACTIVOS APORTADOS</t>
  </si>
  <si>
    <t>ADQUIRIDOS</t>
  </si>
  <si>
    <t>PASIVOS</t>
  </si>
  <si>
    <t>ATIVOS DEL CONSOCIO CERTIFICADO</t>
  </si>
  <si>
    <t>UTILIDAD SE LLAMA: CUENTA POR PAGAR A CONSORCIADOS</t>
  </si>
  <si>
    <t>RETENCION EN RENTA</t>
  </si>
  <si>
    <t>ER</t>
  </si>
  <si>
    <t>ER DEL CONSORCIADO A 31 DE DICIEMRE</t>
  </si>
  <si>
    <t>GASTOS</t>
  </si>
  <si>
    <t>ACTV</t>
  </si>
  <si>
    <t>1110 CUENTAS EN CONSORCIO</t>
  </si>
  <si>
    <t>1305 CUENTAS POR EN CONSORCIO</t>
  </si>
  <si>
    <t>PATRIMONIO</t>
  </si>
  <si>
    <t>1435 EN CONSORCIO</t>
  </si>
  <si>
    <t>CUENTAS CORRECTORAS</t>
  </si>
  <si>
    <t>23 ENDONDE USTED TENGA LA UTILIDAD</t>
  </si>
  <si>
    <t>act</t>
  </si>
  <si>
    <t>pasivo</t>
  </si>
  <si>
    <t>SU INGRESO</t>
  </si>
  <si>
    <t>USTED</t>
  </si>
  <si>
    <t>MANDANTE</t>
  </si>
  <si>
    <t>MANDATARIO</t>
  </si>
  <si>
    <t>CLIENTE</t>
  </si>
  <si>
    <t>INDUTRIA Y COMERCIO</t>
  </si>
  <si>
    <t>AUTORETENCION</t>
  </si>
  <si>
    <t>IVA</t>
  </si>
  <si>
    <t xml:space="preserve">CONTRATO </t>
  </si>
  <si>
    <t>ADMINISTRACIÓN DELEGADA DE OBRA</t>
  </si>
  <si>
    <t>INGRESO (COSTO)</t>
  </si>
  <si>
    <t xml:space="preserve">A </t>
  </si>
  <si>
    <t>U</t>
  </si>
  <si>
    <t>I</t>
  </si>
  <si>
    <t>NO GRAVADO</t>
  </si>
  <si>
    <t>GRAVADO</t>
  </si>
  <si>
    <t xml:space="preserve">INGRESOS POR AIU </t>
  </si>
  <si>
    <t>ING</t>
  </si>
  <si>
    <t>IE</t>
  </si>
  <si>
    <t>MENCIONADOS EN LA NORMA</t>
  </si>
  <si>
    <t>IX</t>
  </si>
  <si>
    <t>IVA GENERADO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</si>
</sst>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$&quot;\ * #,##0_-;\-&quot;$&quot;\ * #,##0_-;_-&quot;$&quot;\ * &quot;-&quot;_-;_-@_-"/>
    <numFmt numFmtId="41" formatCode="_-* #,##0_-;\-* #,##0_-;_-* &quot;-&quot;_-;_-@_-"/>
    <numFmt numFmtId="164" formatCode="_-* #,##0.00\ _€_-;\-* #,##0.00\ _€_-;_-* &quot;-&quot;??\ _€_-;_-@_-"/>
    <numFmt numFmtId="166" formatCode="_-&quot;$&quot;* #,##0.00_-;\-&quot;$&quot;* #,##0.00_-;_-&quot;$&quot;* &quot;-&quot;??_-;_-@_-"/>
    <numFmt numFmtId="170" formatCode="_-[$$-240A]* #,##0_-;\-[$$-240A]* #,##0_-;_-[$$-240A]* &quot;-&quot;_-;_-@_-"/>
    <numFmt numFmtId="171" formatCode="_(&quot;$&quot;* #,##0_);_(&quot;$&quot;* \(#,##0\);_(&quot;$&quot;* &quot;-&quot;??_);_(@_)"/>
    <numFmt numFmtId="172" formatCode="_-[$$-240A]\ * #,##0_ ;_-[$$-240A]\ * \-#,##0\ ;_-[$$-240A]\ * &quot;-&quot;_ ;_-@_ "/>
    <numFmt numFmtId="184" formatCode="_-* #,##0.00\ _D_M_-;\-* #,##0.00\ _D_M_-;_-* &quot;-&quot;??\ _D_M_-;_-@_-"/>
    <numFmt numFmtId="186" formatCode="_-&quot;$&quot;* #,##0_-;\-&quot;$&quot;* #,##0_-;_-&quot;$&quot;* &quot;-&quot;??_-;_-@_-"/>
    <numFmt numFmtId="188" formatCode="#,##0_ ;\-#,##0\ "/>
  </numFmts>
  <fonts count="32"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b/>
      <i/>
      <sz val="10"/>
      <name val="Verdana"/>
      <family val="2"/>
    </font>
    <font>
      <i/>
      <sz val="10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11"/>
      <name val="Verdana"/>
      <family val="2"/>
    </font>
    <font>
      <sz val="10"/>
      <name val="Geneva"/>
    </font>
    <font>
      <b/>
      <sz val="11"/>
      <name val="Arial"/>
      <family val="2"/>
    </font>
    <font>
      <sz val="7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1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9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3">
    <xf numFmtId="0" fontId="0" fillId="0" borderId="0"/>
    <xf numFmtId="0" fontId="31" fillId="0" borderId="0" applyNumberFormat="0" applyFill="0" applyBorder="0" applyAlignment="0" applyProtection="0"/>
    <xf numFmtId="41" fontId="15" fillId="0" borderId="0" applyFont="0" applyFill="0" applyBorder="0" applyAlignment="0" applyProtection="0"/>
    <xf numFmtId="40" fontId="8" fillId="0" borderId="0" applyFont="0" applyFill="0" applyBorder="0" applyAlignment="0" applyProtection="0"/>
    <xf numFmtId="18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0" fontId="1" fillId="0" borderId="0"/>
    <xf numFmtId="0" fontId="2" fillId="0" borderId="0"/>
    <xf numFmtId="0" fontId="8" fillId="0" borderId="0"/>
    <xf numFmtId="0" fontId="1" fillId="0" borderId="0"/>
    <xf numFmtId="9" fontId="15" fillId="0" borderId="0" applyFont="0" applyFill="0" applyBorder="0" applyAlignment="0" applyProtection="0"/>
  </cellStyleXfs>
  <cellXfs count="169">
    <xf numFmtId="0" fontId="0" fillId="0" borderId="0" xfId="0"/>
    <xf numFmtId="0" fontId="17" fillId="2" borderId="0" xfId="0" applyFont="1" applyFill="1"/>
    <xf numFmtId="0" fontId="3" fillId="2" borderId="0" xfId="0" applyFont="1" applyFill="1" applyBorder="1"/>
    <xf numFmtId="0" fontId="4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170" fontId="17" fillId="2" borderId="0" xfId="0" applyNumberFormat="1" applyFont="1" applyFill="1"/>
    <xf numFmtId="0" fontId="5" fillId="2" borderId="0" xfId="8" applyFont="1" applyFill="1" applyBorder="1" applyAlignment="1" applyProtection="1"/>
    <xf numFmtId="0" fontId="6" fillId="2" borderId="0" xfId="8" applyFont="1" applyFill="1" applyBorder="1" applyAlignment="1" applyProtection="1">
      <alignment horizontal="center"/>
    </xf>
    <xf numFmtId="0" fontId="6" fillId="2" borderId="0" xfId="8" applyFont="1" applyFill="1" applyBorder="1" applyAlignment="1" applyProtection="1"/>
    <xf numFmtId="0" fontId="18" fillId="0" borderId="0" xfId="0" applyFont="1"/>
    <xf numFmtId="0" fontId="19" fillId="0" borderId="0" xfId="0" applyFont="1" applyAlignment="1">
      <alignment horizontal="center"/>
    </xf>
    <xf numFmtId="171" fontId="18" fillId="0" borderId="0" xfId="0" applyNumberFormat="1" applyFont="1"/>
    <xf numFmtId="3" fontId="18" fillId="0" borderId="0" xfId="0" applyNumberFormat="1" applyFont="1"/>
    <xf numFmtId="3" fontId="18" fillId="0" borderId="0" xfId="0" applyNumberFormat="1" applyFont="1" applyBorder="1"/>
    <xf numFmtId="3" fontId="20" fillId="0" borderId="0" xfId="0" applyNumberFormat="1" applyFont="1" applyBorder="1"/>
    <xf numFmtId="0" fontId="18" fillId="0" borderId="0" xfId="0" applyFont="1" applyBorder="1"/>
    <xf numFmtId="0" fontId="20" fillId="0" borderId="0" xfId="0" applyFont="1" applyBorder="1"/>
    <xf numFmtId="172" fontId="5" fillId="2" borderId="0" xfId="8" applyNumberFormat="1" applyFont="1" applyFill="1" applyBorder="1" applyAlignment="1" applyProtection="1"/>
    <xf numFmtId="172" fontId="6" fillId="2" borderId="0" xfId="8" applyNumberFormat="1" applyFont="1" applyFill="1" applyBorder="1" applyAlignment="1" applyProtection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3" fontId="3" fillId="0" borderId="0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3" fontId="0" fillId="0" borderId="0" xfId="0" applyNumberFormat="1"/>
    <xf numFmtId="0" fontId="0" fillId="0" borderId="1" xfId="0" applyFont="1" applyBorder="1"/>
    <xf numFmtId="0" fontId="16" fillId="0" borderId="1" xfId="0" applyFont="1" applyBorder="1" applyAlignment="1">
      <alignment horizontal="center"/>
    </xf>
    <xf numFmtId="3" fontId="0" fillId="0" borderId="1" xfId="0" applyNumberFormat="1" applyFont="1" applyBorder="1"/>
    <xf numFmtId="0" fontId="16" fillId="0" borderId="1" xfId="0" applyFont="1" applyBorder="1" applyAlignment="1">
      <alignment horizontal="left"/>
    </xf>
    <xf numFmtId="3" fontId="16" fillId="0" borderId="1" xfId="0" applyNumberFormat="1" applyFont="1" applyBorder="1"/>
    <xf numFmtId="0" fontId="16" fillId="0" borderId="1" xfId="0" applyFont="1" applyBorder="1"/>
    <xf numFmtId="0" fontId="16" fillId="0" borderId="0" xfId="0" applyFont="1" applyBorder="1" applyAlignment="1">
      <alignment horizontal="left"/>
    </xf>
    <xf numFmtId="0" fontId="0" fillId="0" borderId="1" xfId="0" applyBorder="1"/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right" vertical="center" wrapText="1"/>
    </xf>
    <xf numFmtId="9" fontId="22" fillId="0" borderId="0" xfId="0" applyNumberFormat="1" applyFont="1" applyAlignment="1">
      <alignment horizontal="center" vertical="center" wrapText="1"/>
    </xf>
    <xf numFmtId="3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9" fontId="16" fillId="0" borderId="1" xfId="12" applyFont="1" applyBorder="1"/>
    <xf numFmtId="9" fontId="15" fillId="0" borderId="1" xfId="12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4" fillId="0" borderId="1" xfId="0" applyFont="1" applyBorder="1"/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/>
    <xf numFmtId="3" fontId="26" fillId="0" borderId="1" xfId="0" applyNumberFormat="1" applyFont="1" applyBorder="1" applyAlignment="1">
      <alignment horizontal="center" vertical="center"/>
    </xf>
    <xf numFmtId="3" fontId="24" fillId="0" borderId="2" xfId="0" applyNumberFormat="1" applyFont="1" applyBorder="1" applyAlignment="1">
      <alignment horizontal="center" vertical="center"/>
    </xf>
    <xf numFmtId="3" fontId="24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4" fillId="0" borderId="0" xfId="0" applyFont="1"/>
    <xf numFmtId="3" fontId="24" fillId="0" borderId="4" xfId="0" applyNumberFormat="1" applyFont="1" applyBorder="1" applyAlignment="1">
      <alignment horizontal="center" vertical="center"/>
    </xf>
    <xf numFmtId="3" fontId="24" fillId="0" borderId="4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3" fontId="0" fillId="0" borderId="1" xfId="0" applyNumberFormat="1" applyFont="1" applyFill="1" applyBorder="1"/>
    <xf numFmtId="0" fontId="13" fillId="0" borderId="1" xfId="0" applyFont="1" applyBorder="1" applyAlignment="1">
      <alignment vertical="center" wrapText="1"/>
    </xf>
    <xf numFmtId="3" fontId="13" fillId="0" borderId="1" xfId="0" applyNumberFormat="1" applyFont="1" applyBorder="1" applyAlignment="1">
      <alignment horizontal="right" vertical="center" wrapText="1"/>
    </xf>
    <xf numFmtId="0" fontId="16" fillId="0" borderId="7" xfId="0" applyFont="1" applyBorder="1" applyAlignment="1">
      <alignment horizontal="left"/>
    </xf>
    <xf numFmtId="3" fontId="16" fillId="0" borderId="8" xfId="0" applyNumberFormat="1" applyFont="1" applyBorder="1"/>
    <xf numFmtId="3" fontId="16" fillId="0" borderId="9" xfId="0" applyNumberFormat="1" applyFont="1" applyBorder="1"/>
    <xf numFmtId="0" fontId="16" fillId="0" borderId="10" xfId="0" applyFont="1" applyBorder="1" applyAlignment="1">
      <alignment horizontal="left"/>
    </xf>
    <xf numFmtId="3" fontId="16" fillId="0" borderId="10" xfId="0" applyNumberFormat="1" applyFont="1" applyBorder="1"/>
    <xf numFmtId="3" fontId="27" fillId="0" borderId="0" xfId="0" applyNumberFormat="1" applyFont="1"/>
    <xf numFmtId="0" fontId="17" fillId="0" borderId="0" xfId="0" applyFont="1"/>
    <xf numFmtId="0" fontId="10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6" fillId="0" borderId="10" xfId="0" applyFont="1" applyBorder="1" applyAlignment="1">
      <alignment vertical="center" wrapText="1"/>
    </xf>
    <xf numFmtId="3" fontId="26" fillId="0" borderId="10" xfId="0" applyNumberFormat="1" applyFont="1" applyBorder="1" applyAlignment="1">
      <alignment horizontal="left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26" fillId="0" borderId="13" xfId="0" applyFont="1" applyBorder="1" applyAlignment="1">
      <alignment vertical="center" wrapText="1"/>
    </xf>
    <xf numFmtId="0" fontId="26" fillId="0" borderId="13" xfId="0" applyFont="1" applyBorder="1" applyAlignment="1">
      <alignment horizontal="left" vertical="center" wrapText="1"/>
    </xf>
    <xf numFmtId="186" fontId="26" fillId="0" borderId="13" xfId="6" applyNumberFormat="1" applyFont="1" applyBorder="1" applyAlignment="1">
      <alignment horizontal="left" vertical="center" wrapText="1"/>
    </xf>
    <xf numFmtId="2" fontId="0" fillId="2" borderId="1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26" fillId="0" borderId="16" xfId="0" applyFont="1" applyBorder="1" applyAlignment="1">
      <alignment vertical="center" wrapText="1"/>
    </xf>
    <xf numFmtId="0" fontId="26" fillId="0" borderId="16" xfId="0" applyFont="1" applyBorder="1" applyAlignment="1">
      <alignment horizontal="left" vertical="center" wrapText="1"/>
    </xf>
    <xf numFmtId="4" fontId="26" fillId="0" borderId="16" xfId="0" applyNumberFormat="1" applyFont="1" applyBorder="1" applyAlignment="1">
      <alignment horizontal="left" vertical="center" wrapText="1"/>
    </xf>
    <xf numFmtId="0" fontId="0" fillId="2" borderId="17" xfId="0" applyFill="1" applyBorder="1" applyAlignment="1">
      <alignment horizontal="center" vertical="center"/>
    </xf>
    <xf numFmtId="0" fontId="26" fillId="0" borderId="13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horizontal="left" vertical="center" wrapText="1"/>
    </xf>
    <xf numFmtId="0" fontId="0" fillId="0" borderId="13" xfId="0" applyBorder="1"/>
    <xf numFmtId="0" fontId="17" fillId="2" borderId="14" xfId="0" applyFont="1" applyFill="1" applyBorder="1"/>
    <xf numFmtId="0" fontId="17" fillId="2" borderId="15" xfId="0" applyFont="1" applyFill="1" applyBorder="1"/>
    <xf numFmtId="0" fontId="26" fillId="0" borderId="16" xfId="0" applyFont="1" applyFill="1" applyBorder="1" applyAlignment="1">
      <alignment vertical="center" wrapText="1"/>
    </xf>
    <xf numFmtId="0" fontId="26" fillId="0" borderId="16" xfId="0" applyFont="1" applyFill="1" applyBorder="1" applyAlignment="1">
      <alignment horizontal="left" vertical="center" wrapText="1"/>
    </xf>
    <xf numFmtId="0" fontId="0" fillId="0" borderId="16" xfId="0" applyBorder="1"/>
    <xf numFmtId="0" fontId="17" fillId="2" borderId="17" xfId="0" applyFont="1" applyFill="1" applyBorder="1"/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28" fillId="4" borderId="13" xfId="0" applyFont="1" applyFill="1" applyBorder="1" applyAlignment="1">
      <alignment vertical="center" wrapText="1"/>
    </xf>
    <xf numFmtId="0" fontId="0" fillId="5" borderId="0" xfId="0" applyFill="1"/>
    <xf numFmtId="0" fontId="0" fillId="6" borderId="0" xfId="0" applyFill="1"/>
    <xf numFmtId="0" fontId="0" fillId="3" borderId="0" xfId="0" applyFill="1"/>
    <xf numFmtId="0" fontId="26" fillId="3" borderId="1" xfId="0" applyFont="1" applyFill="1" applyBorder="1" applyAlignment="1">
      <alignment vertical="center" wrapText="1"/>
    </xf>
    <xf numFmtId="0" fontId="26" fillId="3" borderId="1" xfId="0" applyFont="1" applyFill="1" applyBorder="1" applyAlignment="1">
      <alignment horizontal="left" vertical="center" wrapText="1"/>
    </xf>
    <xf numFmtId="0" fontId="0" fillId="2" borderId="0" xfId="0" applyFill="1"/>
    <xf numFmtId="0" fontId="16" fillId="2" borderId="1" xfId="0" applyFont="1" applyFill="1" applyBorder="1" applyAlignment="1">
      <alignment horizontal="center"/>
    </xf>
    <xf numFmtId="0" fontId="16" fillId="2" borderId="1" xfId="0" applyNumberFormat="1" applyFont="1" applyFill="1" applyBorder="1" applyAlignment="1">
      <alignment horizontal="center" wrapText="1"/>
    </xf>
    <xf numFmtId="0" fontId="0" fillId="2" borderId="1" xfId="0" applyFill="1" applyBorder="1"/>
    <xf numFmtId="42" fontId="15" fillId="2" borderId="1" xfId="7" applyFont="1" applyFill="1" applyBorder="1"/>
    <xf numFmtId="9" fontId="15" fillId="2" borderId="1" xfId="12" applyFont="1" applyFill="1" applyBorder="1"/>
    <xf numFmtId="42" fontId="0" fillId="2" borderId="1" xfId="0" applyNumberFormat="1" applyFill="1" applyBorder="1"/>
    <xf numFmtId="0" fontId="0" fillId="5" borderId="1" xfId="0" applyFill="1" applyBorder="1"/>
    <xf numFmtId="42" fontId="15" fillId="5" borderId="1" xfId="7" applyFont="1" applyFill="1" applyBorder="1"/>
    <xf numFmtId="9" fontId="15" fillId="5" borderId="1" xfId="12" applyFont="1" applyFill="1" applyBorder="1"/>
    <xf numFmtId="42" fontId="0" fillId="5" borderId="1" xfId="0" applyNumberFormat="1" applyFill="1" applyBorder="1"/>
    <xf numFmtId="42" fontId="15" fillId="2" borderId="0" xfId="7" applyFont="1" applyFill="1"/>
    <xf numFmtId="42" fontId="0" fillId="2" borderId="0" xfId="0" applyNumberFormat="1" applyFill="1"/>
    <xf numFmtId="9" fontId="15" fillId="2" borderId="0" xfId="12" applyFont="1" applyFill="1"/>
    <xf numFmtId="42" fontId="15" fillId="2" borderId="0" xfId="12" applyNumberFormat="1" applyFont="1" applyFill="1"/>
    <xf numFmtId="0" fontId="31" fillId="2" borderId="0" xfId="1" applyFill="1"/>
    <xf numFmtId="42" fontId="15" fillId="9" borderId="0" xfId="7" applyFont="1" applyFill="1"/>
    <xf numFmtId="42" fontId="0" fillId="9" borderId="0" xfId="0" applyNumberFormat="1" applyFill="1"/>
    <xf numFmtId="9" fontId="15" fillId="2" borderId="0" xfId="7" applyNumberFormat="1" applyFont="1" applyFill="1"/>
    <xf numFmtId="14" fontId="15" fillId="2" borderId="0" xfId="7" applyNumberFormat="1" applyFont="1" applyFill="1"/>
    <xf numFmtId="17" fontId="0" fillId="2" borderId="0" xfId="0" applyNumberFormat="1" applyFill="1"/>
    <xf numFmtId="0" fontId="0" fillId="9" borderId="0" xfId="0" applyFill="1"/>
    <xf numFmtId="41" fontId="15" fillId="2" borderId="0" xfId="2" applyFont="1" applyFill="1"/>
    <xf numFmtId="188" fontId="15" fillId="2" borderId="0" xfId="2" applyNumberFormat="1" applyFont="1" applyFill="1"/>
    <xf numFmtId="0" fontId="7" fillId="2" borderId="0" xfId="11" applyNumberFormat="1" applyFont="1" applyFill="1" applyBorder="1" applyAlignment="1">
      <alignment horizontal="center"/>
    </xf>
    <xf numFmtId="0" fontId="7" fillId="2" borderId="0" xfId="11" applyFont="1" applyFill="1" applyBorder="1" applyAlignment="1">
      <alignment horizontal="center"/>
    </xf>
    <xf numFmtId="0" fontId="0" fillId="7" borderId="21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9" fillId="8" borderId="24" xfId="0" applyFont="1" applyFill="1" applyBorder="1" applyAlignment="1">
      <alignment horizontal="center" vertical="center" textRotation="90" wrapText="1"/>
    </xf>
    <xf numFmtId="0" fontId="29" fillId="8" borderId="25" xfId="0" applyFont="1" applyFill="1" applyBorder="1" applyAlignment="1">
      <alignment horizontal="center" vertical="center" textRotation="90" wrapText="1"/>
    </xf>
    <xf numFmtId="0" fontId="29" fillId="8" borderId="26" xfId="0" applyFont="1" applyFill="1" applyBorder="1" applyAlignment="1">
      <alignment horizontal="center" vertical="center" textRotation="90" wrapText="1"/>
    </xf>
    <xf numFmtId="0" fontId="30" fillId="0" borderId="0" xfId="0" applyFont="1" applyAlignment="1">
      <alignment horizontal="center"/>
    </xf>
    <xf numFmtId="0" fontId="9" fillId="2" borderId="29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6" fillId="2" borderId="0" xfId="0" applyFont="1" applyFill="1" applyAlignment="1">
      <alignment horizontal="center"/>
    </xf>
    <xf numFmtId="42" fontId="15" fillId="2" borderId="0" xfId="7" applyFont="1" applyFill="1" applyAlignment="1">
      <alignment horizontal="center"/>
    </xf>
    <xf numFmtId="0" fontId="0" fillId="2" borderId="0" xfId="0" applyFill="1" applyAlignment="1">
      <alignment horizontal="center"/>
    </xf>
    <xf numFmtId="0" fontId="2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4" fillId="0" borderId="35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</cellXfs>
  <cellStyles count="13">
    <cellStyle name="Hipervínculo 2" xfId="1" xr:uid="{DA62EC2C-AD39-42C0-A170-86F153D936C9}"/>
    <cellStyle name="Millares [0]" xfId="2" builtinId="6"/>
    <cellStyle name="Millares 2" xfId="3" xr:uid="{4D0642AC-DA10-428E-90C1-B616DD80ECA8}"/>
    <cellStyle name="Millares 2 2" xfId="4" xr:uid="{075EA9C4-9AC4-479A-ADC8-05C9020DC2A5}"/>
    <cellStyle name="Millares 4" xfId="5" xr:uid="{C57C44A0-24F7-4BC7-A1BB-86B18AAF3ECB}"/>
    <cellStyle name="Moneda" xfId="6" builtinId="4"/>
    <cellStyle name="Moneda [0] 2" xfId="7" xr:uid="{361FC214-E919-4A74-95A1-835491BFD889}"/>
    <cellStyle name="Normal" xfId="0" builtinId="0"/>
    <cellStyle name="Normal 2" xfId="8" xr:uid="{A473BB3B-859A-4C03-89C4-E8D08C710A86}"/>
    <cellStyle name="Normal 2 2 2" xfId="9" xr:uid="{CA90D9DD-17D7-4E76-83F7-F54D3F9583B3}"/>
    <cellStyle name="Normal 3" xfId="10" xr:uid="{3D9AAEBA-4209-46DD-AA82-DFD302F2B32E}"/>
    <cellStyle name="Normal_Hoja1" xfId="11" xr:uid="{FE5381C2-84D5-4074-901D-F1E852BAF1B3}"/>
    <cellStyle name="Porcentaje" xfId="1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rina.cueto/AppData/Local/Microsoft/Windows/Temporary%20Internet%20Files/Content.Outlook/Y2EPK2AR/NOTA%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ta 10"/>
    </sheetNames>
    <sheetDataSet>
      <sheetData sheetId="0">
        <row r="19">
          <cell r="A19" t="str">
            <v>10.Propiedades,planta y equipo</v>
          </cell>
        </row>
        <row r="21">
          <cell r="A21" t="str">
            <v>El movimiento de las propiedades,planta y equipo para el año 2016 es el siguiente:</v>
          </cell>
        </row>
        <row r="23">
          <cell r="A23" t="str">
            <v>COSTO BRUTO</v>
          </cell>
        </row>
        <row r="24">
          <cell r="D24" t="str">
            <v>Maquinaria y equipo</v>
          </cell>
          <cell r="E24" t="str">
            <v xml:space="preserve">Flota y equipo
 de transporte </v>
          </cell>
          <cell r="F24" t="str">
            <v xml:space="preserve">Equipos de computo
y comunicacion </v>
          </cell>
          <cell r="G24" t="str">
            <v xml:space="preserve">Equipos de oficina </v>
          </cell>
          <cell r="H24" t="str">
            <v>Total</v>
          </cell>
        </row>
        <row r="25">
          <cell r="A25" t="str">
            <v>Saldo 1/1/2016</v>
          </cell>
          <cell r="D25">
            <v>249500902</v>
          </cell>
          <cell r="E25">
            <v>150026391</v>
          </cell>
          <cell r="F25">
            <v>146699646</v>
          </cell>
          <cell r="G25">
            <v>4943034</v>
          </cell>
          <cell r="H25">
            <v>551169973</v>
          </cell>
        </row>
        <row r="26">
          <cell r="A26" t="str">
            <v>Traslado</v>
          </cell>
          <cell r="D26">
            <v>769215362</v>
          </cell>
          <cell r="E26">
            <v>411973609</v>
          </cell>
          <cell r="F26"/>
          <cell r="G26">
            <v>499366</v>
          </cell>
          <cell r="H26">
            <v>1181688337</v>
          </cell>
        </row>
        <row r="27">
          <cell r="A27" t="str">
            <v>Compras</v>
          </cell>
          <cell r="D27">
            <v>9000000</v>
          </cell>
          <cell r="E27"/>
          <cell r="F27">
            <v>2400000</v>
          </cell>
          <cell r="G27"/>
          <cell r="H27">
            <v>11400000</v>
          </cell>
        </row>
        <row r="28">
          <cell r="A28" t="str">
            <v xml:space="preserve">Retiros </v>
          </cell>
          <cell r="D28"/>
          <cell r="E28"/>
          <cell r="F28">
            <v>-22915561</v>
          </cell>
          <cell r="G28"/>
          <cell r="H28">
            <v>-22915561</v>
          </cell>
        </row>
        <row r="29">
          <cell r="A29" t="str">
            <v>Saldo final 31/12/2016</v>
          </cell>
          <cell r="D29">
            <v>1027716264</v>
          </cell>
          <cell r="E29">
            <v>562000000</v>
          </cell>
          <cell r="F29">
            <v>126184085</v>
          </cell>
          <cell r="G29">
            <v>5442400</v>
          </cell>
          <cell r="H29">
            <v>1721342749</v>
          </cell>
        </row>
        <row r="31">
          <cell r="A31" t="str">
            <v>DEPRECIACION ACUMULADA</v>
          </cell>
        </row>
        <row r="32">
          <cell r="D32" t="str">
            <v>Maquinaria y equipo</v>
          </cell>
          <cell r="E32" t="str">
            <v xml:space="preserve">Flota y equipo
 de transporte </v>
          </cell>
          <cell r="F32" t="str">
            <v xml:space="preserve">Equipos de computo
y comunicacion </v>
          </cell>
          <cell r="G32" t="str">
            <v xml:space="preserve">Equipos de oficina </v>
          </cell>
          <cell r="H32" t="str">
            <v>Total</v>
          </cell>
        </row>
        <row r="33">
          <cell r="A33" t="str">
            <v>Saldo 1/1/2016</v>
          </cell>
          <cell r="D33">
            <v>86226620</v>
          </cell>
          <cell r="E33">
            <v>130993937</v>
          </cell>
          <cell r="F33">
            <v>56312683</v>
          </cell>
          <cell r="G33">
            <v>2225147</v>
          </cell>
          <cell r="H33">
            <v>275758387</v>
          </cell>
        </row>
        <row r="34">
          <cell r="A34" t="str">
            <v>Traslado</v>
          </cell>
          <cell r="D34">
            <v>318056390</v>
          </cell>
          <cell r="E34">
            <v>218966063</v>
          </cell>
          <cell r="F34"/>
          <cell r="G34"/>
          <cell r="H34">
            <v>537022453</v>
          </cell>
        </row>
        <row r="35">
          <cell r="A35" t="str">
            <v>Depreciacion del año</v>
          </cell>
          <cell r="D35">
            <v>17757561</v>
          </cell>
          <cell r="E35">
            <v>7467546</v>
          </cell>
          <cell r="F35">
            <v>4170136</v>
          </cell>
          <cell r="G35">
            <v>108158</v>
          </cell>
          <cell r="H35">
            <v>29503401</v>
          </cell>
        </row>
        <row r="36">
          <cell r="A36" t="str">
            <v xml:space="preserve">Retiros </v>
          </cell>
          <cell r="D36"/>
          <cell r="E36"/>
          <cell r="F36">
            <v>-8237422</v>
          </cell>
          <cell r="G36">
            <v>-650912</v>
          </cell>
          <cell r="H36">
            <v>-8888334</v>
          </cell>
        </row>
        <row r="37">
          <cell r="A37" t="str">
            <v>Saldo final 31/12/2016</v>
          </cell>
          <cell r="D37">
            <v>422040571</v>
          </cell>
          <cell r="E37">
            <v>357427546</v>
          </cell>
          <cell r="F37">
            <v>52245397</v>
          </cell>
          <cell r="G37">
            <v>1682393</v>
          </cell>
          <cell r="H37">
            <v>833395907</v>
          </cell>
        </row>
        <row r="39">
          <cell r="A39" t="str">
            <v>Valor en libros 31/12/2016</v>
          </cell>
          <cell r="D39">
            <v>605675693</v>
          </cell>
          <cell r="E39">
            <v>204572454</v>
          </cell>
          <cell r="F39">
            <v>73938688</v>
          </cell>
          <cell r="G39">
            <v>3760007</v>
          </cell>
          <cell r="H39">
            <v>887946842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F1BB-B37C-48C2-9A34-2BFE1D44333F}">
  <dimension ref="A1:J175"/>
  <sheetViews>
    <sheetView workbookViewId="0">
      <selection activeCell="B1" sqref="B1"/>
    </sheetView>
  </sheetViews>
  <sheetFormatPr baseColWidth="10" defaultRowHeight="15"/>
  <cols>
    <col min="1" max="1" width="37.7109375" customWidth="1"/>
    <col min="2" max="2" width="14.5703125" customWidth="1"/>
    <col min="3" max="3" width="14" customWidth="1"/>
    <col min="4" max="4" width="12.85546875" customWidth="1"/>
    <col min="5" max="5" width="10.5703125" customWidth="1"/>
    <col min="7" max="7" width="20.42578125" customWidth="1"/>
  </cols>
  <sheetData>
    <row r="1" spans="1:3">
      <c r="A1" s="29"/>
      <c r="B1" s="30">
        <v>2016</v>
      </c>
      <c r="C1" s="30">
        <v>2015</v>
      </c>
    </row>
    <row r="2" spans="1:3">
      <c r="A2" s="29" t="s">
        <v>105</v>
      </c>
      <c r="B2" s="31">
        <v>1500000</v>
      </c>
      <c r="C2" s="31">
        <v>1672908914</v>
      </c>
    </row>
    <row r="3" spans="1:3">
      <c r="A3" s="29" t="s">
        <v>106</v>
      </c>
      <c r="B3" s="31">
        <v>471920448.95999998</v>
      </c>
      <c r="C3" s="31">
        <v>2315179564.4000001</v>
      </c>
    </row>
    <row r="4" spans="1:3">
      <c r="A4" s="29" t="s">
        <v>107</v>
      </c>
      <c r="B4" s="31">
        <v>152388287.38999999</v>
      </c>
      <c r="C4" s="31">
        <v>585086813.20000005</v>
      </c>
    </row>
    <row r="5" spans="1:3">
      <c r="A5" s="29" t="s">
        <v>108</v>
      </c>
      <c r="B5" s="31">
        <v>20000000</v>
      </c>
      <c r="C5" s="31">
        <v>8121008805</v>
      </c>
    </row>
    <row r="6" spans="1:3">
      <c r="A6" s="32" t="s">
        <v>109</v>
      </c>
      <c r="B6" s="33">
        <f>SUM(B2:B5)</f>
        <v>645808736.3499999</v>
      </c>
      <c r="C6" s="33">
        <f>SUM(C2:C5)</f>
        <v>12694184096.6</v>
      </c>
    </row>
    <row r="9" spans="1:3">
      <c r="A9" s="29"/>
      <c r="B9" s="30">
        <v>2016</v>
      </c>
      <c r="C9" s="30">
        <v>2015</v>
      </c>
    </row>
    <row r="10" spans="1:3">
      <c r="A10" s="29" t="s">
        <v>110</v>
      </c>
      <c r="B10" s="31">
        <v>7087044731</v>
      </c>
      <c r="C10" s="31">
        <v>2349789736.4299998</v>
      </c>
    </row>
    <row r="11" spans="1:3">
      <c r="A11" s="29" t="s">
        <v>83</v>
      </c>
      <c r="B11" s="31">
        <v>3475363409.04</v>
      </c>
      <c r="C11" s="31">
        <v>3035552034</v>
      </c>
    </row>
    <row r="12" spans="1:3">
      <c r="A12" s="29" t="s">
        <v>114</v>
      </c>
      <c r="B12" s="31">
        <v>4439838728.04</v>
      </c>
      <c r="C12" s="31">
        <v>0</v>
      </c>
    </row>
    <row r="13" spans="1:3">
      <c r="A13" s="29" t="s">
        <v>111</v>
      </c>
      <c r="B13" s="31">
        <v>933379335.32000005</v>
      </c>
      <c r="C13" s="31">
        <v>470799678</v>
      </c>
    </row>
    <row r="14" spans="1:3">
      <c r="A14" s="29" t="s">
        <v>116</v>
      </c>
      <c r="B14" s="31">
        <v>1740092772.6400001</v>
      </c>
      <c r="C14" s="31">
        <v>346327950</v>
      </c>
    </row>
    <row r="15" spans="1:3">
      <c r="A15" s="29" t="s">
        <v>115</v>
      </c>
      <c r="B15" s="31">
        <v>41540780</v>
      </c>
      <c r="C15" s="31">
        <v>0</v>
      </c>
    </row>
    <row r="16" spans="1:3">
      <c r="A16" s="29" t="s">
        <v>69</v>
      </c>
      <c r="B16" s="31">
        <v>1711184411.78</v>
      </c>
      <c r="C16" s="31">
        <v>3344144344.48</v>
      </c>
    </row>
    <row r="17" spans="1:3" ht="14.25" customHeight="1">
      <c r="A17" s="29" t="s">
        <v>112</v>
      </c>
      <c r="B17" s="31">
        <v>49784577.399999999</v>
      </c>
      <c r="C17" s="31">
        <v>249058204</v>
      </c>
    </row>
    <row r="18" spans="1:3">
      <c r="A18" s="29" t="s">
        <v>113</v>
      </c>
      <c r="B18" s="31">
        <v>3751374157.6700001</v>
      </c>
      <c r="C18" s="31">
        <v>5090907526</v>
      </c>
    </row>
    <row r="19" spans="1:3">
      <c r="A19" s="32" t="s">
        <v>109</v>
      </c>
      <c r="B19" s="33">
        <f>SUM(B10:B18)</f>
        <v>23229602902.889999</v>
      </c>
      <c r="C19" s="33">
        <f>SUM(C10:C18)</f>
        <v>14886579472.91</v>
      </c>
    </row>
    <row r="22" spans="1:3">
      <c r="A22" s="29"/>
      <c r="B22" s="30">
        <v>2016</v>
      </c>
      <c r="C22" s="30">
        <v>2015</v>
      </c>
    </row>
    <row r="23" spans="1:3">
      <c r="A23" s="29" t="s">
        <v>117</v>
      </c>
      <c r="B23" s="31">
        <v>659317825</v>
      </c>
      <c r="C23" s="31">
        <v>2864984066</v>
      </c>
    </row>
    <row r="24" spans="1:3">
      <c r="A24" s="29" t="s">
        <v>118</v>
      </c>
      <c r="B24" s="31">
        <v>39404442</v>
      </c>
      <c r="C24" s="31">
        <v>24397821</v>
      </c>
    </row>
    <row r="25" spans="1:3">
      <c r="A25" s="29" t="s">
        <v>119</v>
      </c>
      <c r="B25" s="31">
        <f>130445642+175700000</f>
        <v>306145642</v>
      </c>
      <c r="C25" s="31">
        <v>472231458</v>
      </c>
    </row>
    <row r="26" spans="1:3">
      <c r="A26" s="29" t="s">
        <v>120</v>
      </c>
      <c r="B26" s="31">
        <v>211934248.50999999</v>
      </c>
      <c r="C26" s="31">
        <v>537435181</v>
      </c>
    </row>
    <row r="27" spans="1:3">
      <c r="A27" s="29" t="s">
        <v>121</v>
      </c>
      <c r="B27" s="31">
        <v>2195340000</v>
      </c>
      <c r="C27" s="31">
        <v>953913000</v>
      </c>
    </row>
    <row r="28" spans="1:3">
      <c r="A28" s="29" t="s">
        <v>122</v>
      </c>
      <c r="B28" s="31">
        <v>339232000</v>
      </c>
      <c r="C28" s="31">
        <v>237946000</v>
      </c>
    </row>
    <row r="29" spans="1:3">
      <c r="A29" s="32" t="s">
        <v>109</v>
      </c>
      <c r="B29" s="33">
        <f>SUM(B23:B28)</f>
        <v>3751374157.5100002</v>
      </c>
      <c r="C29" s="33">
        <f>SUM(C23:C28)</f>
        <v>5090907526</v>
      </c>
    </row>
    <row r="32" spans="1:3">
      <c r="A32" s="29"/>
      <c r="B32" s="30">
        <v>2016</v>
      </c>
      <c r="C32" s="30">
        <v>2015</v>
      </c>
    </row>
    <row r="33" spans="1:3">
      <c r="A33" s="34" t="s">
        <v>126</v>
      </c>
      <c r="B33" s="31"/>
      <c r="C33" s="31"/>
    </row>
    <row r="34" spans="1:3">
      <c r="A34" s="29" t="s">
        <v>123</v>
      </c>
      <c r="B34" s="31">
        <f>1110270963-B35</f>
        <v>1078972509</v>
      </c>
      <c r="C34" s="31">
        <v>4750636274.6400003</v>
      </c>
    </row>
    <row r="35" spans="1:3">
      <c r="A35" s="29" t="s">
        <v>124</v>
      </c>
      <c r="B35" s="31">
        <v>31298454</v>
      </c>
      <c r="C35" s="31">
        <v>0</v>
      </c>
    </row>
    <row r="36" spans="1:3">
      <c r="A36" s="32" t="s">
        <v>109</v>
      </c>
      <c r="B36" s="33">
        <f>SUM(B33:B35)</f>
        <v>1110270963</v>
      </c>
      <c r="C36" s="33">
        <f>SUM(C33:C35)</f>
        <v>4750636274.6400003</v>
      </c>
    </row>
    <row r="37" spans="1:3">
      <c r="A37" s="29"/>
      <c r="B37" s="31"/>
      <c r="C37" s="31"/>
    </row>
    <row r="38" spans="1:3">
      <c r="A38" s="34" t="s">
        <v>125</v>
      </c>
      <c r="B38" s="31"/>
      <c r="C38" s="31"/>
    </row>
    <row r="39" spans="1:3">
      <c r="A39" s="29" t="s">
        <v>123</v>
      </c>
      <c r="B39" s="31">
        <f>9319732061-B40</f>
        <v>8614664419</v>
      </c>
      <c r="C39" s="31">
        <v>0</v>
      </c>
    </row>
    <row r="40" spans="1:3">
      <c r="A40" s="29" t="s">
        <v>124</v>
      </c>
      <c r="B40" s="31">
        <f>736366096-31298454</f>
        <v>705067642</v>
      </c>
      <c r="C40" s="31">
        <v>329892985</v>
      </c>
    </row>
    <row r="41" spans="1:3">
      <c r="A41" s="32" t="s">
        <v>109</v>
      </c>
      <c r="B41" s="33">
        <f>SUM(B39:B40)</f>
        <v>9319732061</v>
      </c>
      <c r="C41" s="33">
        <f>+C40</f>
        <v>329892985</v>
      </c>
    </row>
    <row r="45" spans="1:3">
      <c r="A45" s="29"/>
      <c r="B45" s="30">
        <v>2016</v>
      </c>
      <c r="C45" s="30">
        <v>2015</v>
      </c>
    </row>
    <row r="46" spans="1:3">
      <c r="A46" s="29" t="s">
        <v>127</v>
      </c>
      <c r="B46" s="31">
        <v>1077146245</v>
      </c>
      <c r="C46" s="31">
        <v>1184746993</v>
      </c>
    </row>
    <row r="47" spans="1:3">
      <c r="A47" s="29" t="s">
        <v>128</v>
      </c>
      <c r="B47" s="31">
        <v>47259998</v>
      </c>
      <c r="C47" s="31">
        <v>0</v>
      </c>
    </row>
    <row r="48" spans="1:3">
      <c r="A48" s="29" t="s">
        <v>129</v>
      </c>
      <c r="B48" s="31">
        <v>-557154851</v>
      </c>
      <c r="C48" s="31">
        <v>-280162042</v>
      </c>
    </row>
    <row r="49" spans="1:3">
      <c r="A49" s="32" t="s">
        <v>109</v>
      </c>
      <c r="B49" s="33">
        <f>SUM(B46:B48)</f>
        <v>567251392</v>
      </c>
      <c r="C49" s="33">
        <f>SUM(C46:C48)</f>
        <v>904584951</v>
      </c>
    </row>
    <row r="52" spans="1:3">
      <c r="A52" s="29"/>
      <c r="B52" s="30">
        <v>2016</v>
      </c>
      <c r="C52" s="30">
        <v>2015</v>
      </c>
    </row>
    <row r="53" spans="1:3">
      <c r="A53" s="29" t="s">
        <v>130</v>
      </c>
      <c r="B53" s="31">
        <v>102012651</v>
      </c>
      <c r="C53" s="31">
        <v>268601976</v>
      </c>
    </row>
    <row r="54" spans="1:3">
      <c r="A54" s="29" t="s">
        <v>131</v>
      </c>
      <c r="B54" s="31">
        <f>248277832+206864368</f>
        <v>455142200</v>
      </c>
      <c r="C54" s="31">
        <v>11560066</v>
      </c>
    </row>
    <row r="55" spans="1:3">
      <c r="A55" s="32" t="s">
        <v>109</v>
      </c>
      <c r="B55" s="33">
        <f>SUM(B53:B54)</f>
        <v>557154851</v>
      </c>
      <c r="C55" s="33">
        <f>SUM(C53:C54)</f>
        <v>280162042</v>
      </c>
    </row>
    <row r="56" spans="1:3">
      <c r="B56" s="28"/>
      <c r="C56" s="28"/>
    </row>
    <row r="58" spans="1:3">
      <c r="A58" s="29"/>
      <c r="B58" s="30">
        <v>2016</v>
      </c>
      <c r="C58" s="30">
        <v>2015</v>
      </c>
    </row>
    <row r="59" spans="1:3">
      <c r="A59" s="29" t="s">
        <v>132</v>
      </c>
      <c r="B59" s="31">
        <v>23319085</v>
      </c>
      <c r="C59" s="31">
        <v>74084866</v>
      </c>
    </row>
    <row r="60" spans="1:3">
      <c r="A60" s="29" t="s">
        <v>133</v>
      </c>
      <c r="B60" s="31">
        <v>2629999.7999999998</v>
      </c>
      <c r="C60" s="31">
        <v>677581</v>
      </c>
    </row>
    <row r="61" spans="1:3">
      <c r="A61" s="29" t="s">
        <v>134</v>
      </c>
      <c r="B61" s="31">
        <v>4971224.96</v>
      </c>
      <c r="C61" s="31">
        <v>152551621</v>
      </c>
    </row>
    <row r="62" spans="1:3">
      <c r="A62" s="29" t="s">
        <v>135</v>
      </c>
      <c r="B62" s="31">
        <v>58993539.450000003</v>
      </c>
      <c r="C62" s="31">
        <v>113771190</v>
      </c>
    </row>
    <row r="63" spans="1:3">
      <c r="A63" s="29" t="s">
        <v>136</v>
      </c>
      <c r="B63" s="31">
        <v>93882955</v>
      </c>
      <c r="C63" s="31">
        <v>78093072</v>
      </c>
    </row>
    <row r="64" spans="1:3">
      <c r="A64" s="29" t="s">
        <v>140</v>
      </c>
      <c r="B64" s="31">
        <v>64275678</v>
      </c>
      <c r="C64" s="31">
        <v>6863882</v>
      </c>
    </row>
    <row r="65" spans="1:3">
      <c r="A65" s="29" t="s">
        <v>141</v>
      </c>
      <c r="B65" s="31">
        <v>3873951511</v>
      </c>
      <c r="C65" s="31">
        <v>7082911162</v>
      </c>
    </row>
    <row r="66" spans="1:3">
      <c r="A66" s="32" t="s">
        <v>109</v>
      </c>
      <c r="B66" s="33">
        <f>SUM(B59:B65)</f>
        <v>4122023993.21</v>
      </c>
      <c r="C66" s="33">
        <f>SUM(C59:C65)</f>
        <v>7508953374</v>
      </c>
    </row>
    <row r="67" spans="1:3">
      <c r="B67" s="28">
        <f>+B66-4122023993</f>
        <v>0.21000003814697266</v>
      </c>
    </row>
    <row r="70" spans="1:3">
      <c r="A70" s="29"/>
      <c r="B70" s="30">
        <v>2016</v>
      </c>
      <c r="C70" s="30">
        <v>2015</v>
      </c>
    </row>
    <row r="71" spans="1:3">
      <c r="A71" s="29" t="s">
        <v>76</v>
      </c>
      <c r="B71" s="31">
        <v>4531829</v>
      </c>
      <c r="C71" s="31">
        <v>27440710</v>
      </c>
    </row>
    <row r="72" spans="1:3">
      <c r="A72" s="29" t="s">
        <v>84</v>
      </c>
      <c r="B72" s="31">
        <v>0</v>
      </c>
      <c r="C72" s="31">
        <v>2124750</v>
      </c>
    </row>
    <row r="73" spans="1:3">
      <c r="A73" s="29" t="s">
        <v>137</v>
      </c>
      <c r="B73" s="31">
        <v>10829795</v>
      </c>
      <c r="C73" s="31">
        <v>43245723</v>
      </c>
    </row>
    <row r="74" spans="1:3">
      <c r="A74" s="29" t="s">
        <v>85</v>
      </c>
      <c r="B74" s="31">
        <v>338528655</v>
      </c>
      <c r="C74" s="31">
        <v>322050788</v>
      </c>
    </row>
    <row r="75" spans="1:3">
      <c r="A75" s="29" t="s">
        <v>138</v>
      </c>
      <c r="B75" s="31">
        <v>56952126</v>
      </c>
      <c r="C75" s="31">
        <v>3752298045.9099998</v>
      </c>
    </row>
    <row r="76" spans="1:3">
      <c r="A76" s="29" t="s">
        <v>139</v>
      </c>
      <c r="B76" s="31">
        <v>810025</v>
      </c>
      <c r="C76" s="31">
        <v>4790573</v>
      </c>
    </row>
    <row r="77" spans="1:3">
      <c r="A77" s="29" t="s">
        <v>86</v>
      </c>
      <c r="B77" s="31">
        <v>92128454</v>
      </c>
      <c r="C77" s="31">
        <f>2069300+599723</f>
        <v>2669023</v>
      </c>
    </row>
    <row r="78" spans="1:3">
      <c r="A78" s="32" t="s">
        <v>109</v>
      </c>
      <c r="B78" s="33">
        <f>SUM(B71:B77)</f>
        <v>503780884</v>
      </c>
      <c r="C78" s="33">
        <f>SUM(C71:C77)</f>
        <v>4154619612.9099998</v>
      </c>
    </row>
    <row r="79" spans="1:3">
      <c r="C79" s="28"/>
    </row>
    <row r="82" spans="1:10">
      <c r="A82" s="29"/>
      <c r="B82" s="30">
        <v>2016</v>
      </c>
      <c r="C82" s="30">
        <v>2015</v>
      </c>
    </row>
    <row r="83" spans="1:10">
      <c r="A83" s="29" t="s">
        <v>142</v>
      </c>
      <c r="B83" s="31">
        <v>204830182</v>
      </c>
      <c r="C83" s="31">
        <f>145304736-53540</f>
        <v>145251196</v>
      </c>
    </row>
    <row r="84" spans="1:10">
      <c r="A84" s="29" t="s">
        <v>143</v>
      </c>
      <c r="B84" s="31">
        <v>267757000</v>
      </c>
      <c r="C84" s="31">
        <v>561619000</v>
      </c>
    </row>
    <row r="85" spans="1:10">
      <c r="A85" s="32" t="s">
        <v>109</v>
      </c>
      <c r="B85" s="33">
        <f>SUM(B83:B84)</f>
        <v>472587182</v>
      </c>
      <c r="C85" s="33">
        <f>SUM(C83:C84)</f>
        <v>706870196</v>
      </c>
    </row>
    <row r="88" spans="1:10">
      <c r="A88" s="29"/>
      <c r="B88" s="30">
        <v>2016</v>
      </c>
      <c r="C88" s="30">
        <v>2015</v>
      </c>
    </row>
    <row r="89" spans="1:10">
      <c r="A89" s="29" t="s">
        <v>145</v>
      </c>
      <c r="B89" s="31">
        <v>1497889000</v>
      </c>
      <c r="C89" s="31">
        <v>1658899000</v>
      </c>
    </row>
    <row r="90" spans="1:10">
      <c r="A90" s="29" t="s">
        <v>135</v>
      </c>
      <c r="B90" s="31">
        <v>535956000</v>
      </c>
      <c r="C90" s="31">
        <v>863543000</v>
      </c>
    </row>
    <row r="91" spans="1:10">
      <c r="A91" s="29" t="s">
        <v>144</v>
      </c>
      <c r="B91" s="31">
        <v>10890935</v>
      </c>
      <c r="C91" s="31">
        <v>0</v>
      </c>
    </row>
    <row r="92" spans="1:10">
      <c r="A92" s="32" t="s">
        <v>109</v>
      </c>
      <c r="B92" s="33">
        <f>SUM(B89:B91)</f>
        <v>2044735935</v>
      </c>
      <c r="C92" s="33">
        <f>SUM(C89:C91)</f>
        <v>2522442000</v>
      </c>
    </row>
    <row r="93" spans="1:10">
      <c r="B93" s="28"/>
    </row>
    <row r="94" spans="1:10" ht="24">
      <c r="B94" s="28"/>
      <c r="G94" s="37" t="s">
        <v>150</v>
      </c>
      <c r="H94" s="38" t="s">
        <v>151</v>
      </c>
      <c r="I94" s="37" t="s">
        <v>152</v>
      </c>
      <c r="J94" s="37" t="s">
        <v>153</v>
      </c>
    </row>
    <row r="95" spans="1:10">
      <c r="A95" s="29"/>
      <c r="B95" s="30">
        <v>2016</v>
      </c>
      <c r="C95" s="30">
        <v>2015</v>
      </c>
      <c r="G95" s="39" t="s">
        <v>154</v>
      </c>
      <c r="H95" s="40">
        <v>0.52</v>
      </c>
      <c r="I95" s="41">
        <v>1144000</v>
      </c>
      <c r="J95" s="42" t="s">
        <v>155</v>
      </c>
    </row>
    <row r="96" spans="1:10">
      <c r="A96" s="29" t="s">
        <v>146</v>
      </c>
      <c r="B96" s="31">
        <v>2664495</v>
      </c>
      <c r="C96" s="31">
        <v>27854933.41</v>
      </c>
      <c r="G96" s="39" t="s">
        <v>156</v>
      </c>
      <c r="H96" s="40">
        <v>0.16</v>
      </c>
      <c r="I96" s="41">
        <v>352000</v>
      </c>
      <c r="J96" s="42" t="s">
        <v>155</v>
      </c>
    </row>
    <row r="97" spans="1:10">
      <c r="A97" s="29" t="s">
        <v>147</v>
      </c>
      <c r="B97" s="31">
        <v>283393882</v>
      </c>
      <c r="C97" s="31">
        <v>122940765</v>
      </c>
      <c r="G97" s="39" t="s">
        <v>156</v>
      </c>
      <c r="H97" s="40">
        <v>0.16</v>
      </c>
      <c r="I97" s="41">
        <v>352000</v>
      </c>
      <c r="J97" s="42" t="s">
        <v>155</v>
      </c>
    </row>
    <row r="98" spans="1:10">
      <c r="A98" s="29" t="s">
        <v>148</v>
      </c>
      <c r="B98" s="31">
        <v>27299548</v>
      </c>
      <c r="C98" s="31">
        <v>14145932</v>
      </c>
      <c r="G98" s="39" t="s">
        <v>156</v>
      </c>
      <c r="H98" s="40">
        <v>0.16</v>
      </c>
      <c r="I98" s="41">
        <v>352000</v>
      </c>
      <c r="J98" s="42" t="s">
        <v>155</v>
      </c>
    </row>
    <row r="99" spans="1:10">
      <c r="A99" s="29" t="s">
        <v>149</v>
      </c>
      <c r="B99" s="31">
        <v>139236635</v>
      </c>
      <c r="C99" s="31">
        <v>50001832</v>
      </c>
      <c r="G99" s="41">
        <v>2200000000</v>
      </c>
      <c r="H99" s="40">
        <v>1</v>
      </c>
      <c r="I99" s="41">
        <v>2200000</v>
      </c>
      <c r="J99" s="43"/>
    </row>
    <row r="100" spans="1:10">
      <c r="A100" s="32" t="s">
        <v>109</v>
      </c>
      <c r="B100" s="33">
        <f>SUM(B96:B99)</f>
        <v>452594560</v>
      </c>
      <c r="C100" s="33">
        <f>SUM(C96:C99)</f>
        <v>214943462.41</v>
      </c>
    </row>
    <row r="101" spans="1:10">
      <c r="A101" s="35"/>
      <c r="B101" s="33"/>
      <c r="C101" s="33"/>
    </row>
    <row r="102" spans="1:10">
      <c r="A102" s="35"/>
      <c r="B102" s="33"/>
      <c r="C102" s="33"/>
    </row>
    <row r="103" spans="1:10" ht="30" customHeight="1">
      <c r="A103" s="36"/>
      <c r="B103" s="30" t="s">
        <v>150</v>
      </c>
      <c r="C103" s="30" t="s">
        <v>151</v>
      </c>
      <c r="D103" s="30" t="s">
        <v>157</v>
      </c>
      <c r="E103" s="47" t="s">
        <v>153</v>
      </c>
    </row>
    <row r="104" spans="1:10">
      <c r="A104" s="29" t="s">
        <v>70</v>
      </c>
      <c r="B104" s="31">
        <v>1144000000</v>
      </c>
      <c r="C104" s="45">
        <v>0.52</v>
      </c>
      <c r="D104" s="31">
        <v>1144000</v>
      </c>
      <c r="E104" s="46">
        <v>1000</v>
      </c>
    </row>
    <row r="105" spans="1:10">
      <c r="A105" s="29" t="s">
        <v>71</v>
      </c>
      <c r="B105" s="31">
        <v>352000000</v>
      </c>
      <c r="C105" s="45">
        <v>0.16</v>
      </c>
      <c r="D105" s="31">
        <v>352000</v>
      </c>
      <c r="E105" s="46">
        <v>1000</v>
      </c>
    </row>
    <row r="106" spans="1:10">
      <c r="A106" s="29" t="s">
        <v>72</v>
      </c>
      <c r="B106" s="31">
        <v>352000000</v>
      </c>
      <c r="C106" s="45">
        <v>0.16</v>
      </c>
      <c r="D106" s="31">
        <v>352000</v>
      </c>
      <c r="E106" s="46">
        <v>1000</v>
      </c>
    </row>
    <row r="107" spans="1:10">
      <c r="A107" s="29" t="s">
        <v>73</v>
      </c>
      <c r="B107" s="31">
        <v>352000000</v>
      </c>
      <c r="C107" s="45">
        <v>0.16</v>
      </c>
      <c r="D107" s="31">
        <v>352000</v>
      </c>
      <c r="E107" s="46">
        <v>1000</v>
      </c>
    </row>
    <row r="108" spans="1:10">
      <c r="A108" s="32" t="s">
        <v>109</v>
      </c>
      <c r="B108" s="33">
        <f>SUM(B104:B107)</f>
        <v>2200000000</v>
      </c>
      <c r="C108" s="44">
        <f>SUM(C104:C107)</f>
        <v>1</v>
      </c>
      <c r="D108" s="33">
        <f>SUM(D104:D107)</f>
        <v>2200000</v>
      </c>
    </row>
    <row r="112" spans="1:10">
      <c r="A112" s="29"/>
      <c r="B112" s="30">
        <v>2016</v>
      </c>
      <c r="C112" s="30">
        <v>2015</v>
      </c>
    </row>
    <row r="113" spans="1:3">
      <c r="A113" s="29" t="s">
        <v>99</v>
      </c>
      <c r="B113" s="31">
        <v>3044890116</v>
      </c>
      <c r="C113" s="31">
        <v>22078785217</v>
      </c>
    </row>
    <row r="114" spans="1:3">
      <c r="A114" s="29" t="s">
        <v>74</v>
      </c>
      <c r="B114" s="31">
        <v>22474958892</v>
      </c>
      <c r="C114" s="31">
        <v>41818239174</v>
      </c>
    </row>
    <row r="115" spans="1:3">
      <c r="A115" s="29" t="s">
        <v>100</v>
      </c>
      <c r="B115" s="31">
        <v>1209197047</v>
      </c>
      <c r="C115" s="31">
        <v>0</v>
      </c>
    </row>
    <row r="116" spans="1:3">
      <c r="A116" s="29" t="s">
        <v>101</v>
      </c>
      <c r="B116" s="31">
        <v>10300000</v>
      </c>
      <c r="C116" s="31">
        <v>0</v>
      </c>
    </row>
    <row r="117" spans="1:3">
      <c r="A117" s="29" t="s">
        <v>75</v>
      </c>
      <c r="B117" s="31">
        <v>1557086678.8800001</v>
      </c>
      <c r="C117" s="31">
        <v>22012448315</v>
      </c>
    </row>
    <row r="118" spans="1:3">
      <c r="A118" s="29" t="s">
        <v>102</v>
      </c>
      <c r="B118" s="31">
        <v>-391127976</v>
      </c>
      <c r="C118" s="31">
        <v>0</v>
      </c>
    </row>
    <row r="119" spans="1:3">
      <c r="A119" s="32" t="s">
        <v>109</v>
      </c>
      <c r="B119" s="33">
        <f>SUM(B113:B118)</f>
        <v>27905304757.880001</v>
      </c>
      <c r="C119" s="33">
        <f>SUM(C113:C118)</f>
        <v>85909472706</v>
      </c>
    </row>
    <row r="122" spans="1:3">
      <c r="A122" s="29"/>
      <c r="B122" s="30">
        <v>2016</v>
      </c>
      <c r="C122" s="30">
        <v>2015</v>
      </c>
    </row>
    <row r="123" spans="1:3">
      <c r="A123" s="29" t="s">
        <v>103</v>
      </c>
      <c r="B123" s="31">
        <v>16510420</v>
      </c>
      <c r="C123" s="31">
        <v>0</v>
      </c>
    </row>
    <row r="124" spans="1:3">
      <c r="A124" s="29" t="s">
        <v>81</v>
      </c>
      <c r="B124" s="31">
        <v>1319095.57</v>
      </c>
      <c r="C124" s="31">
        <v>3069</v>
      </c>
    </row>
    <row r="125" spans="1:3">
      <c r="A125" s="29" t="s">
        <v>22</v>
      </c>
      <c r="B125" s="31">
        <v>3312754717.6199999</v>
      </c>
      <c r="C125" s="31">
        <v>3537746556</v>
      </c>
    </row>
    <row r="126" spans="1:3">
      <c r="A126" s="29" t="s">
        <v>104</v>
      </c>
      <c r="B126" s="31">
        <v>44017295</v>
      </c>
      <c r="C126" s="31">
        <v>0</v>
      </c>
    </row>
    <row r="127" spans="1:3">
      <c r="A127" s="29" t="s">
        <v>80</v>
      </c>
      <c r="B127" s="31">
        <v>56071</v>
      </c>
      <c r="C127" s="31">
        <v>11799</v>
      </c>
    </row>
    <row r="128" spans="1:3">
      <c r="A128" s="32" t="s">
        <v>109</v>
      </c>
      <c r="B128" s="33">
        <f>SUM(B123:B127)</f>
        <v>3374657599.1900001</v>
      </c>
      <c r="C128" s="33">
        <f>SUM(C123:C127)</f>
        <v>3537761424</v>
      </c>
    </row>
    <row r="130" spans="1:3">
      <c r="A130" s="29"/>
      <c r="B130" s="30">
        <v>2016</v>
      </c>
      <c r="C130" s="30">
        <v>2015</v>
      </c>
    </row>
    <row r="131" spans="1:3">
      <c r="A131" s="29" t="s">
        <v>81</v>
      </c>
      <c r="B131" s="31">
        <v>531854665.38</v>
      </c>
      <c r="C131" s="31">
        <v>683192406</v>
      </c>
    </row>
    <row r="132" spans="1:3">
      <c r="A132" s="29" t="s">
        <v>98</v>
      </c>
      <c r="B132" s="31">
        <v>367963.47</v>
      </c>
      <c r="C132" s="31">
        <v>493941341</v>
      </c>
    </row>
    <row r="133" spans="1:3">
      <c r="A133" s="29" t="s">
        <v>82</v>
      </c>
      <c r="B133" s="31">
        <v>590270275</v>
      </c>
      <c r="C133" s="31">
        <v>776738521</v>
      </c>
    </row>
    <row r="134" spans="1:3">
      <c r="A134" s="29" t="s">
        <v>80</v>
      </c>
      <c r="B134" s="31">
        <v>8096675.75</v>
      </c>
      <c r="C134" s="31">
        <v>1004680</v>
      </c>
    </row>
    <row r="135" spans="1:3">
      <c r="A135" s="32" t="s">
        <v>109</v>
      </c>
      <c r="B135" s="33">
        <f>SUM(B131:B134)</f>
        <v>1130589579.5999999</v>
      </c>
      <c r="C135" s="33">
        <f>SUM(C131:C134)</f>
        <v>1954876948</v>
      </c>
    </row>
    <row r="138" spans="1:3">
      <c r="A138" s="29"/>
      <c r="B138" s="30">
        <v>2016</v>
      </c>
      <c r="C138" s="30">
        <v>2015</v>
      </c>
    </row>
    <row r="139" spans="1:3">
      <c r="A139" s="29" t="s">
        <v>158</v>
      </c>
      <c r="B139" s="31">
        <v>138702467.30000001</v>
      </c>
      <c r="C139" s="31">
        <f>65141856.44+453200</f>
        <v>65595056.439999998</v>
      </c>
    </row>
    <row r="140" spans="1:3">
      <c r="A140" s="29" t="s">
        <v>159</v>
      </c>
      <c r="B140" s="31">
        <v>100833836</v>
      </c>
      <c r="C140" s="31">
        <v>63860610.979999997</v>
      </c>
    </row>
    <row r="141" spans="1:3">
      <c r="A141" s="29" t="s">
        <v>160</v>
      </c>
      <c r="B141" s="31">
        <f>180169207.21-80526307</f>
        <v>99642900.210000008</v>
      </c>
      <c r="C141" s="31">
        <f>264155200.2-C142</f>
        <v>237570792.19999999</v>
      </c>
    </row>
    <row r="142" spans="1:3">
      <c r="A142" s="29" t="s">
        <v>161</v>
      </c>
      <c r="B142" s="31">
        <v>80526307</v>
      </c>
      <c r="C142" s="31">
        <v>26584408</v>
      </c>
    </row>
    <row r="143" spans="1:3">
      <c r="A143" s="29" t="s">
        <v>162</v>
      </c>
      <c r="B143" s="31">
        <v>80328710.719999999</v>
      </c>
      <c r="C143" s="31">
        <v>0</v>
      </c>
    </row>
    <row r="144" spans="1:3">
      <c r="A144" s="29" t="s">
        <v>163</v>
      </c>
      <c r="B144" s="31">
        <v>31820444</v>
      </c>
      <c r="C144" s="31">
        <v>39581538</v>
      </c>
    </row>
    <row r="145" spans="1:3">
      <c r="A145" s="32" t="s">
        <v>109</v>
      </c>
      <c r="B145" s="33">
        <f>SUM(B139:B144)</f>
        <v>531854665.23000002</v>
      </c>
      <c r="C145" s="33">
        <f>SUM(C139:C144)</f>
        <v>433192405.62</v>
      </c>
    </row>
    <row r="146" spans="1:3">
      <c r="C146" s="28"/>
    </row>
    <row r="148" spans="1:3">
      <c r="A148" s="29"/>
      <c r="B148" s="30">
        <v>2016</v>
      </c>
      <c r="C148" s="30">
        <v>2015</v>
      </c>
    </row>
    <row r="149" spans="1:3">
      <c r="A149" s="34" t="s">
        <v>164</v>
      </c>
      <c r="B149" s="31"/>
      <c r="C149" s="31"/>
    </row>
    <row r="150" spans="1:3">
      <c r="A150" s="29" t="s">
        <v>87</v>
      </c>
      <c r="B150" s="31">
        <v>9327259537.2000008</v>
      </c>
      <c r="C150" s="31">
        <v>42298778220</v>
      </c>
    </row>
    <row r="151" spans="1:3">
      <c r="A151" s="29" t="s">
        <v>88</v>
      </c>
      <c r="B151" s="31">
        <v>1114582155</v>
      </c>
      <c r="C151" s="31">
        <v>2207744502</v>
      </c>
    </row>
    <row r="152" spans="1:3">
      <c r="A152" s="29" t="s">
        <v>89</v>
      </c>
      <c r="B152" s="31">
        <v>22443031</v>
      </c>
      <c r="C152" s="31">
        <v>13875701</v>
      </c>
    </row>
    <row r="153" spans="1:3">
      <c r="A153" s="29" t="s">
        <v>86</v>
      </c>
      <c r="B153" s="31">
        <v>18512330</v>
      </c>
      <c r="C153" s="31">
        <v>226576317</v>
      </c>
    </row>
    <row r="154" spans="1:3">
      <c r="A154" s="32" t="s">
        <v>109</v>
      </c>
      <c r="B154" s="33">
        <f>SUM(B150:B153)</f>
        <v>10482797053.200001</v>
      </c>
      <c r="C154" s="33">
        <f>SUM(C150:C153)</f>
        <v>44746974740</v>
      </c>
    </row>
    <row r="155" spans="1:3">
      <c r="A155" s="63"/>
      <c r="B155" s="64"/>
      <c r="C155" s="31"/>
    </row>
    <row r="156" spans="1:3">
      <c r="A156" s="34" t="s">
        <v>165</v>
      </c>
      <c r="B156" s="31"/>
      <c r="C156" s="31"/>
    </row>
    <row r="157" spans="1:3">
      <c r="A157" s="29" t="s">
        <v>90</v>
      </c>
      <c r="B157" s="31">
        <v>460716896</v>
      </c>
      <c r="C157" s="31">
        <v>1936824073.24</v>
      </c>
    </row>
    <row r="158" spans="1:3">
      <c r="A158" s="29" t="s">
        <v>91</v>
      </c>
      <c r="B158" s="31">
        <v>121867000</v>
      </c>
      <c r="C158" s="31">
        <v>260102096</v>
      </c>
    </row>
    <row r="159" spans="1:3">
      <c r="A159" s="29" t="s">
        <v>92</v>
      </c>
      <c r="B159" s="31">
        <v>7495142824.4700003</v>
      </c>
      <c r="C159" s="31">
        <v>21032773650.5</v>
      </c>
    </row>
    <row r="160" spans="1:3">
      <c r="A160" s="29" t="s">
        <v>93</v>
      </c>
      <c r="B160" s="31">
        <v>29592744</v>
      </c>
      <c r="C160" s="31">
        <v>238033682</v>
      </c>
    </row>
    <row r="161" spans="1:4">
      <c r="A161" s="32" t="s">
        <v>109</v>
      </c>
      <c r="B161" s="33">
        <f>SUM(B157:B160)</f>
        <v>8107319464.4700003</v>
      </c>
      <c r="C161" s="33">
        <f>SUM(C157:C160)</f>
        <v>23467733501.739998</v>
      </c>
    </row>
    <row r="162" spans="1:4">
      <c r="A162" s="36"/>
      <c r="B162" s="36"/>
      <c r="C162" s="36"/>
    </row>
    <row r="163" spans="1:4">
      <c r="A163" s="34" t="s">
        <v>131</v>
      </c>
      <c r="B163" s="31"/>
      <c r="C163" s="31"/>
    </row>
    <row r="164" spans="1:4">
      <c r="A164" s="29" t="s">
        <v>94</v>
      </c>
      <c r="B164" s="31">
        <v>2420063457.1799998</v>
      </c>
      <c r="C164" s="31">
        <v>8612536931</v>
      </c>
    </row>
    <row r="165" spans="1:4">
      <c r="A165" s="29" t="s">
        <v>167</v>
      </c>
      <c r="B165" s="62">
        <v>296078339</v>
      </c>
      <c r="C165" s="31">
        <v>121972252</v>
      </c>
    </row>
    <row r="166" spans="1:4">
      <c r="A166" s="29" t="s">
        <v>166</v>
      </c>
      <c r="B166" s="31">
        <f>611486672.91-B167</f>
        <v>116097591.23999995</v>
      </c>
      <c r="C166" s="31">
        <v>201024627</v>
      </c>
    </row>
    <row r="167" spans="1:4">
      <c r="A167" s="29" t="s">
        <v>95</v>
      </c>
      <c r="B167" s="62">
        <v>495389081.67000002</v>
      </c>
      <c r="C167" s="31">
        <v>592956699</v>
      </c>
    </row>
    <row r="168" spans="1:4">
      <c r="A168" s="29" t="s">
        <v>96</v>
      </c>
      <c r="B168" s="31">
        <v>273766421.87</v>
      </c>
      <c r="C168" s="31">
        <v>1197475040</v>
      </c>
    </row>
    <row r="169" spans="1:4">
      <c r="A169" s="29" t="s">
        <v>78</v>
      </c>
      <c r="B169" s="31">
        <f>161202830.01+4793829</f>
        <v>165996659.00999999</v>
      </c>
      <c r="C169" s="31">
        <v>1129021263</v>
      </c>
    </row>
    <row r="170" spans="1:4">
      <c r="A170" s="29" t="s">
        <v>77</v>
      </c>
      <c r="B170" s="31">
        <v>735798186</v>
      </c>
      <c r="C170" s="31">
        <v>1671619163</v>
      </c>
    </row>
    <row r="171" spans="1:4">
      <c r="A171" s="29" t="s">
        <v>86</v>
      </c>
      <c r="B171" s="31">
        <f>17212811+695491837-205772872+76448550-3</f>
        <v>583380323</v>
      </c>
      <c r="C171" s="70">
        <v>402295389</v>
      </c>
    </row>
    <row r="172" spans="1:4">
      <c r="A172" s="29" t="s">
        <v>79</v>
      </c>
      <c r="B172" s="31">
        <v>0</v>
      </c>
      <c r="C172" s="31">
        <v>42070090</v>
      </c>
    </row>
    <row r="173" spans="1:4">
      <c r="A173" s="29" t="s">
        <v>97</v>
      </c>
      <c r="B173" s="31">
        <v>454050707</v>
      </c>
      <c r="C173" s="31">
        <v>1560066</v>
      </c>
    </row>
    <row r="174" spans="1:4" ht="15.75" thickBot="1">
      <c r="A174" s="68" t="s">
        <v>109</v>
      </c>
      <c r="B174" s="69">
        <f>SUM(B164:B173)</f>
        <v>5540620765.9699993</v>
      </c>
      <c r="C174" s="69">
        <f>SUM(C164:C173)</f>
        <v>13972531520</v>
      </c>
      <c r="D174" s="28"/>
    </row>
    <row r="175" spans="1:4" ht="15.75" thickBot="1">
      <c r="A175" s="65" t="s">
        <v>168</v>
      </c>
      <c r="B175" s="66">
        <f>+B154+B161+B174</f>
        <v>24130737283.639999</v>
      </c>
      <c r="C175" s="67">
        <f>+C154+C161+C174</f>
        <v>82187239761.73999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906B-6ADF-4BD1-B23B-565C9D5AD2DF}">
  <dimension ref="B2:G49"/>
  <sheetViews>
    <sheetView workbookViewId="0">
      <selection activeCell="C28" sqref="C28"/>
    </sheetView>
  </sheetViews>
  <sheetFormatPr baseColWidth="10" defaultRowHeight="12.75"/>
  <cols>
    <col min="1" max="1" width="3.5703125" style="10" customWidth="1"/>
    <col min="2" max="2" width="32.140625" style="10" bestFit="1" customWidth="1"/>
    <col min="3" max="3" width="3.140625" style="10" customWidth="1"/>
    <col min="4" max="4" width="20.42578125" style="10" bestFit="1" customWidth="1"/>
    <col min="5" max="5" width="19.140625" style="10" customWidth="1"/>
    <col min="6" max="6" width="19.28515625" style="10" bestFit="1" customWidth="1"/>
    <col min="7" max="7" width="3.5703125" style="10" customWidth="1"/>
    <col min="8" max="16384" width="11.42578125" style="10"/>
  </cols>
  <sheetData>
    <row r="2" spans="2:7" ht="14.25" hidden="1">
      <c r="B2" s="143"/>
      <c r="C2" s="143"/>
      <c r="D2" s="143"/>
      <c r="E2" s="143"/>
      <c r="F2" s="143"/>
    </row>
    <row r="3" spans="2:7" ht="14.25">
      <c r="B3" s="143" t="s">
        <v>12</v>
      </c>
      <c r="C3" s="143"/>
      <c r="D3" s="143"/>
      <c r="E3" s="143"/>
      <c r="F3" s="143"/>
    </row>
    <row r="4" spans="2:7" ht="14.25">
      <c r="B4" s="144" t="s">
        <v>11</v>
      </c>
      <c r="C4" s="144"/>
      <c r="D4" s="144"/>
      <c r="E4" s="144"/>
      <c r="F4" s="144"/>
    </row>
    <row r="5" spans="2:7" ht="14.25">
      <c r="B5" s="143" t="s">
        <v>16</v>
      </c>
      <c r="C5" s="143"/>
      <c r="D5" s="143"/>
      <c r="E5" s="143"/>
      <c r="F5" s="143"/>
    </row>
    <row r="7" spans="2:7">
      <c r="D7" s="8" t="s">
        <v>2</v>
      </c>
      <c r="E7" s="8" t="s">
        <v>3</v>
      </c>
      <c r="F7" s="8" t="s">
        <v>2</v>
      </c>
    </row>
    <row r="8" spans="2:7" ht="15.75">
      <c r="B8" s="11" t="s">
        <v>1</v>
      </c>
      <c r="D8" s="8" t="s">
        <v>18</v>
      </c>
      <c r="E8" s="8">
        <v>2016</v>
      </c>
      <c r="F8" s="8" t="s">
        <v>17</v>
      </c>
    </row>
    <row r="10" spans="2:7">
      <c r="B10" s="7" t="s">
        <v>4</v>
      </c>
      <c r="C10" s="7"/>
      <c r="D10" s="18" t="e">
        <f>#REF!</f>
        <v>#REF!</v>
      </c>
      <c r="E10" s="18">
        <v>0</v>
      </c>
      <c r="F10" s="18" t="e">
        <f>+D10</f>
        <v>#REF!</v>
      </c>
    </row>
    <row r="11" spans="2:7">
      <c r="B11" s="7" t="s">
        <v>5</v>
      </c>
      <c r="C11" s="7"/>
      <c r="D11" s="18" t="e">
        <f>#REF!</f>
        <v>#REF!</v>
      </c>
      <c r="E11" s="18">
        <v>0</v>
      </c>
      <c r="F11" s="18" t="e">
        <f>+D11</f>
        <v>#REF!</v>
      </c>
    </row>
    <row r="12" spans="2:7">
      <c r="B12" s="7" t="s">
        <v>21</v>
      </c>
      <c r="C12" s="7"/>
      <c r="D12" s="18" t="e">
        <f>+#REF!</f>
        <v>#REF!</v>
      </c>
      <c r="E12" s="18">
        <v>0</v>
      </c>
      <c r="F12" s="18" t="e">
        <f>+D12</f>
        <v>#REF!</v>
      </c>
    </row>
    <row r="13" spans="2:7">
      <c r="B13" s="7" t="s">
        <v>6</v>
      </c>
      <c r="C13" s="7"/>
      <c r="D13" s="18" t="e">
        <f>#REF!</f>
        <v>#REF!</v>
      </c>
      <c r="E13" s="18" t="e">
        <f>#REF!</f>
        <v>#REF!</v>
      </c>
      <c r="F13" s="18" t="e">
        <f>+D13+E13</f>
        <v>#REF!</v>
      </c>
    </row>
    <row r="14" spans="2:7">
      <c r="B14" s="7" t="s">
        <v>7</v>
      </c>
      <c r="C14" s="7"/>
      <c r="D14" s="18" t="e">
        <f>#REF!</f>
        <v>#REF!</v>
      </c>
      <c r="E14" s="18" t="e">
        <f>#REF!</f>
        <v>#REF!</v>
      </c>
      <c r="F14" s="18" t="e">
        <f>+D14+E14</f>
        <v>#REF!</v>
      </c>
      <c r="G14" s="13"/>
    </row>
    <row r="15" spans="2:7">
      <c r="B15" s="7"/>
      <c r="C15" s="7"/>
      <c r="D15" s="18"/>
      <c r="E15" s="18"/>
      <c r="F15" s="18"/>
    </row>
    <row r="16" spans="2:7">
      <c r="B16" s="7"/>
      <c r="C16" s="7"/>
      <c r="D16" s="18"/>
      <c r="E16" s="18"/>
      <c r="F16" s="18"/>
    </row>
    <row r="17" spans="2:7">
      <c r="B17" s="9" t="s">
        <v>8</v>
      </c>
      <c r="C17" s="9"/>
      <c r="D17" s="19" t="e">
        <f>SUM(D10:D16)</f>
        <v>#REF!</v>
      </c>
      <c r="E17" s="19" t="e">
        <f>SUM(E10:E16)</f>
        <v>#REF!</v>
      </c>
      <c r="F17" s="19" t="e">
        <f>SUM(F10:F16)</f>
        <v>#REF!</v>
      </c>
      <c r="G17" s="12"/>
    </row>
    <row r="18" spans="2:7">
      <c r="D18" s="13"/>
      <c r="E18" s="13"/>
      <c r="F18" s="13"/>
    </row>
    <row r="19" spans="2:7" hidden="1">
      <c r="D19" s="13"/>
      <c r="E19" s="13"/>
      <c r="F19" s="13"/>
    </row>
    <row r="20" spans="2:7">
      <c r="D20" s="13"/>
      <c r="E20" s="13"/>
      <c r="F20" s="13"/>
    </row>
    <row r="21" spans="2:7">
      <c r="D21" s="13"/>
      <c r="E21" s="13"/>
      <c r="F21" s="13"/>
    </row>
    <row r="22" spans="2:7">
      <c r="D22" s="13"/>
      <c r="E22" s="13"/>
      <c r="F22" s="13"/>
    </row>
    <row r="23" spans="2:7">
      <c r="D23" s="13"/>
      <c r="E23" s="13"/>
      <c r="F23" s="13"/>
    </row>
    <row r="24" spans="2:7" s="16" customFormat="1">
      <c r="B24" s="17"/>
      <c r="C24" s="17"/>
      <c r="D24" s="17"/>
      <c r="E24" s="15"/>
      <c r="F24" s="14"/>
    </row>
    <row r="25" spans="2:7" s="16" customFormat="1" ht="15">
      <c r="B25" s="20" t="s">
        <v>13</v>
      </c>
      <c r="C25" s="5"/>
      <c r="D25" s="6"/>
      <c r="E25" s="22" t="s">
        <v>14</v>
      </c>
      <c r="F25" s="7"/>
    </row>
    <row r="26" spans="2:7" s="16" customFormat="1" ht="15">
      <c r="B26" s="2" t="s">
        <v>0</v>
      </c>
      <c r="C26" s="5"/>
      <c r="D26" s="6"/>
      <c r="E26" s="2" t="s">
        <v>9</v>
      </c>
      <c r="F26" s="7"/>
    </row>
    <row r="27" spans="2:7" s="16" customFormat="1" ht="15">
      <c r="B27" s="3"/>
      <c r="C27" s="5"/>
      <c r="D27" s="6"/>
      <c r="E27" s="2" t="s">
        <v>19</v>
      </c>
      <c r="F27" s="7"/>
    </row>
    <row r="28" spans="2:7" s="16" customFormat="1" ht="15">
      <c r="B28" s="3"/>
      <c r="C28" s="5"/>
      <c r="D28" s="6"/>
      <c r="F28" s="7"/>
    </row>
    <row r="29" spans="2:7" s="16" customFormat="1" ht="15">
      <c r="B29" s="3"/>
      <c r="C29" s="5"/>
      <c r="D29" s="6"/>
      <c r="E29" s="4"/>
      <c r="F29" s="7"/>
    </row>
    <row r="30" spans="2:7" s="16" customFormat="1" ht="15">
      <c r="B30" s="3"/>
      <c r="C30" s="5"/>
      <c r="D30" s="6"/>
      <c r="E30" s="2"/>
      <c r="F30" s="7"/>
    </row>
    <row r="31" spans="2:7" s="16" customFormat="1" ht="15">
      <c r="B31" s="3"/>
      <c r="C31" s="5"/>
      <c r="D31" s="6"/>
      <c r="E31" s="4"/>
      <c r="F31" s="7"/>
    </row>
    <row r="32" spans="2:7" s="16" customFormat="1" ht="15">
      <c r="B32" s="21" t="s">
        <v>15</v>
      </c>
      <c r="C32" s="5"/>
      <c r="D32" s="6"/>
      <c r="E32" s="2"/>
      <c r="F32" s="7"/>
    </row>
    <row r="33" spans="2:7" s="16" customFormat="1" ht="15">
      <c r="B33" s="2" t="s">
        <v>10</v>
      </c>
      <c r="C33" s="5"/>
      <c r="D33" s="6"/>
      <c r="E33" s="4"/>
      <c r="F33" s="7"/>
    </row>
    <row r="34" spans="2:7" s="16" customFormat="1">
      <c r="B34" s="2" t="s">
        <v>20</v>
      </c>
      <c r="C34" s="9"/>
      <c r="D34" s="9"/>
      <c r="E34" s="9"/>
      <c r="F34" s="7"/>
    </row>
    <row r="35" spans="2:7">
      <c r="B35" s="7"/>
      <c r="C35" s="7"/>
      <c r="D35" s="7"/>
      <c r="E35" s="7" t="s">
        <v>1</v>
      </c>
      <c r="F35" s="7"/>
    </row>
    <row r="36" spans="2:7">
      <c r="D36" s="13"/>
      <c r="E36" s="13"/>
      <c r="F36" s="13"/>
    </row>
    <row r="37" spans="2:7">
      <c r="D37" s="13"/>
      <c r="E37" s="13"/>
      <c r="F37" s="13"/>
    </row>
    <row r="38" spans="2:7">
      <c r="D38" s="13"/>
      <c r="E38" s="13"/>
      <c r="F38" s="13"/>
    </row>
    <row r="39" spans="2:7">
      <c r="D39" s="13"/>
      <c r="E39" s="13"/>
      <c r="F39" s="13"/>
    </row>
    <row r="40" spans="2:7">
      <c r="D40" s="13"/>
      <c r="E40" s="13"/>
      <c r="F40" s="13"/>
    </row>
    <row r="41" spans="2:7">
      <c r="D41" s="13"/>
      <c r="E41" s="13"/>
      <c r="F41" s="13"/>
    </row>
    <row r="42" spans="2:7">
      <c r="D42" s="13"/>
      <c r="E42" s="13"/>
      <c r="F42" s="13"/>
    </row>
    <row r="43" spans="2:7">
      <c r="D43" s="13"/>
      <c r="E43" s="13"/>
      <c r="F43" s="13"/>
    </row>
    <row r="44" spans="2:7">
      <c r="D44" s="13"/>
      <c r="E44" s="13"/>
      <c r="F44" s="13"/>
    </row>
    <row r="45" spans="2:7">
      <c r="D45" s="13"/>
      <c r="E45" s="13"/>
      <c r="F45" s="13"/>
    </row>
    <row r="46" spans="2:7">
      <c r="D46" s="13"/>
      <c r="E46" s="13"/>
      <c r="F46" s="13"/>
      <c r="G46" s="13"/>
    </row>
    <row r="47" spans="2:7">
      <c r="D47" s="13"/>
      <c r="E47" s="13"/>
      <c r="F47" s="13"/>
    </row>
    <row r="48" spans="2:7">
      <c r="D48" s="13"/>
      <c r="E48" s="13"/>
      <c r="F48" s="13"/>
    </row>
    <row r="49" spans="4:6">
      <c r="D49" s="13"/>
      <c r="E49" s="13"/>
      <c r="F49" s="13"/>
    </row>
  </sheetData>
  <mergeCells count="4">
    <mergeCell ref="B3:F3"/>
    <mergeCell ref="B2:F2"/>
    <mergeCell ref="B4:F4"/>
    <mergeCell ref="B5:F5"/>
  </mergeCells>
  <pageMargins left="0.7" right="0.7" top="1.3149999999999999" bottom="0.75" header="0.3" footer="0.3"/>
  <pageSetup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A422-8280-4A97-942B-44B27B55940A}">
  <dimension ref="B2:J73"/>
  <sheetViews>
    <sheetView tabSelected="1" workbookViewId="0">
      <selection activeCell="E27" sqref="E27"/>
    </sheetView>
  </sheetViews>
  <sheetFormatPr baseColWidth="10" defaultRowHeight="15"/>
  <cols>
    <col min="1" max="1" width="3" customWidth="1"/>
    <col min="3" max="3" width="5.85546875" customWidth="1"/>
    <col min="4" max="4" width="57.140625" customWidth="1"/>
    <col min="5" max="5" width="13.42578125" bestFit="1" customWidth="1"/>
    <col min="6" max="6" width="28.85546875" customWidth="1"/>
    <col min="7" max="7" width="31.5703125" customWidth="1"/>
    <col min="8" max="8" width="24.5703125" style="1" bestFit="1" customWidth="1"/>
    <col min="9" max="10" width="11.42578125" style="71" customWidth="1"/>
  </cols>
  <sheetData>
    <row r="2" spans="2:8">
      <c r="C2" s="148" t="s">
        <v>201</v>
      </c>
      <c r="D2" s="148"/>
      <c r="E2" s="148"/>
      <c r="F2" s="148"/>
      <c r="G2" s="148"/>
      <c r="H2" s="148"/>
    </row>
    <row r="4" spans="2:8" ht="15.75" thickBot="1">
      <c r="C4" s="83"/>
      <c r="D4" s="84" t="s">
        <v>169</v>
      </c>
      <c r="E4" s="84" t="s">
        <v>170</v>
      </c>
      <c r="F4" s="84" t="s">
        <v>171</v>
      </c>
      <c r="G4" s="84" t="s">
        <v>172</v>
      </c>
      <c r="H4" s="85" t="s">
        <v>183</v>
      </c>
    </row>
    <row r="5" spans="2:8" ht="25.5">
      <c r="B5" s="145" t="s">
        <v>185</v>
      </c>
      <c r="C5" s="86" t="s">
        <v>173</v>
      </c>
      <c r="D5" s="87" t="s">
        <v>174</v>
      </c>
      <c r="E5" s="88" t="s">
        <v>175</v>
      </c>
      <c r="F5" s="87" t="s">
        <v>176</v>
      </c>
      <c r="G5" s="89"/>
      <c r="H5" s="90"/>
    </row>
    <row r="6" spans="2:8" ht="38.25">
      <c r="B6" s="146"/>
      <c r="C6" s="76" t="s">
        <v>177</v>
      </c>
      <c r="D6" s="74" t="s">
        <v>182</v>
      </c>
      <c r="E6" s="75" t="s">
        <v>178</v>
      </c>
      <c r="F6" s="77" t="s">
        <v>179</v>
      </c>
      <c r="G6" s="78"/>
      <c r="H6" s="91"/>
    </row>
    <row r="7" spans="2:8" ht="39" thickBot="1">
      <c r="B7" s="147"/>
      <c r="C7" s="92">
        <v>3</v>
      </c>
      <c r="D7" s="93" t="s">
        <v>180</v>
      </c>
      <c r="E7" s="94" t="s">
        <v>181</v>
      </c>
      <c r="F7" s="93" t="s">
        <v>184</v>
      </c>
      <c r="G7" s="95"/>
      <c r="H7" s="96"/>
    </row>
    <row r="8" spans="2:8" ht="38.25">
      <c r="B8" s="149" t="s">
        <v>187</v>
      </c>
      <c r="C8" s="106">
        <v>4</v>
      </c>
      <c r="D8" s="97" t="s">
        <v>186</v>
      </c>
      <c r="E8" s="98" t="s">
        <v>188</v>
      </c>
      <c r="F8" s="97" t="s">
        <v>189</v>
      </c>
      <c r="G8" s="99"/>
      <c r="H8" s="100"/>
    </row>
    <row r="9" spans="2:8" ht="38.25">
      <c r="B9" s="150"/>
      <c r="C9" s="107">
        <v>5</v>
      </c>
      <c r="D9" s="79" t="s">
        <v>186</v>
      </c>
      <c r="E9" s="80" t="s">
        <v>188</v>
      </c>
      <c r="F9" s="79" t="s">
        <v>189</v>
      </c>
      <c r="G9" s="36"/>
      <c r="H9" s="101"/>
    </row>
    <row r="10" spans="2:8">
      <c r="B10" s="150"/>
      <c r="C10" s="107">
        <v>6</v>
      </c>
      <c r="D10" s="117" t="s">
        <v>190</v>
      </c>
      <c r="E10" s="118" t="s">
        <v>188</v>
      </c>
      <c r="F10" s="79" t="s">
        <v>189</v>
      </c>
      <c r="G10" s="36"/>
      <c r="H10" s="101"/>
    </row>
    <row r="11" spans="2:8" ht="25.5">
      <c r="B11" s="150"/>
      <c r="C11" s="107">
        <v>7</v>
      </c>
      <c r="D11" s="79" t="s">
        <v>191</v>
      </c>
      <c r="E11" s="80" t="s">
        <v>188</v>
      </c>
      <c r="F11" s="79" t="s">
        <v>189</v>
      </c>
      <c r="G11" s="36"/>
      <c r="H11" s="101"/>
    </row>
    <row r="12" spans="2:8">
      <c r="B12" s="150"/>
      <c r="C12" s="107">
        <v>8</v>
      </c>
      <c r="D12" s="79" t="s">
        <v>192</v>
      </c>
      <c r="E12" s="80" t="s">
        <v>188</v>
      </c>
      <c r="F12" s="79" t="s">
        <v>193</v>
      </c>
      <c r="G12" s="36"/>
      <c r="H12" s="101"/>
    </row>
    <row r="13" spans="2:8" ht="25.5">
      <c r="B13" s="150"/>
      <c r="C13" s="107">
        <v>9</v>
      </c>
      <c r="D13" s="79" t="s">
        <v>194</v>
      </c>
      <c r="E13" s="80" t="s">
        <v>188</v>
      </c>
      <c r="F13" s="79" t="s">
        <v>189</v>
      </c>
      <c r="G13" s="36"/>
      <c r="H13" s="101"/>
    </row>
    <row r="14" spans="2:8">
      <c r="B14" s="150"/>
      <c r="C14" s="107">
        <v>10</v>
      </c>
      <c r="D14" s="79" t="s">
        <v>195</v>
      </c>
      <c r="E14" s="80" t="s">
        <v>188</v>
      </c>
      <c r="F14" s="79" t="s">
        <v>189</v>
      </c>
      <c r="G14" s="36"/>
      <c r="H14" s="101"/>
    </row>
    <row r="15" spans="2:8">
      <c r="B15" s="150"/>
      <c r="C15" s="107">
        <v>11</v>
      </c>
      <c r="D15" s="79" t="s">
        <v>196</v>
      </c>
      <c r="E15" s="80" t="s">
        <v>188</v>
      </c>
      <c r="F15" s="79" t="s">
        <v>189</v>
      </c>
      <c r="G15" s="36"/>
      <c r="H15" s="101"/>
    </row>
    <row r="16" spans="2:8" ht="25.5">
      <c r="B16" s="150"/>
      <c r="C16" s="107">
        <v>12</v>
      </c>
      <c r="D16" s="79" t="s">
        <v>197</v>
      </c>
      <c r="E16" s="80" t="s">
        <v>198</v>
      </c>
      <c r="F16" s="79" t="s">
        <v>189</v>
      </c>
      <c r="G16" s="36"/>
      <c r="H16" s="101"/>
    </row>
    <row r="17" spans="2:8" ht="25.5">
      <c r="B17" s="150"/>
      <c r="C17" s="107">
        <v>13</v>
      </c>
      <c r="D17" s="79" t="s">
        <v>199</v>
      </c>
      <c r="E17" s="80" t="s">
        <v>188</v>
      </c>
      <c r="F17" s="79" t="s">
        <v>189</v>
      </c>
      <c r="G17" s="36"/>
      <c r="H17" s="101"/>
    </row>
    <row r="18" spans="2:8" ht="26.25" thickBot="1">
      <c r="B18" s="150"/>
      <c r="C18" s="108">
        <v>14</v>
      </c>
      <c r="D18" s="102" t="s">
        <v>200</v>
      </c>
      <c r="E18" s="103" t="s">
        <v>188</v>
      </c>
      <c r="F18" s="102" t="s">
        <v>189</v>
      </c>
      <c r="G18" s="104"/>
      <c r="H18" s="105"/>
    </row>
    <row r="19" spans="2:8" ht="42">
      <c r="B19" s="150"/>
      <c r="C19" s="109">
        <v>15</v>
      </c>
      <c r="D19" s="113" t="s">
        <v>203</v>
      </c>
      <c r="E19" s="98" t="s">
        <v>202</v>
      </c>
      <c r="F19" s="97" t="s">
        <v>189</v>
      </c>
      <c r="G19" s="99"/>
      <c r="H19" s="100"/>
    </row>
    <row r="20" spans="2:8">
      <c r="B20" s="150"/>
      <c r="C20" s="110">
        <v>16</v>
      </c>
      <c r="D20" s="79" t="s">
        <v>204</v>
      </c>
      <c r="E20" s="80" t="s">
        <v>202</v>
      </c>
      <c r="F20" s="79" t="s">
        <v>189</v>
      </c>
      <c r="G20" s="36"/>
      <c r="H20" s="101"/>
    </row>
    <row r="21" spans="2:8" ht="38.25">
      <c r="B21" s="150"/>
      <c r="C21" s="110">
        <v>17</v>
      </c>
      <c r="D21" s="79" t="s">
        <v>205</v>
      </c>
      <c r="E21" s="80" t="s">
        <v>202</v>
      </c>
      <c r="F21" s="79" t="s">
        <v>189</v>
      </c>
      <c r="G21" s="36"/>
      <c r="H21" s="101"/>
    </row>
    <row r="22" spans="2:8">
      <c r="B22" s="150"/>
      <c r="C22" s="110">
        <v>18</v>
      </c>
      <c r="D22" s="79" t="s">
        <v>206</v>
      </c>
      <c r="E22" s="80" t="s">
        <v>202</v>
      </c>
      <c r="F22" s="79" t="s">
        <v>189</v>
      </c>
      <c r="G22" s="36"/>
      <c r="H22" s="101"/>
    </row>
    <row r="23" spans="2:8">
      <c r="B23" s="150"/>
      <c r="C23" s="110">
        <v>19</v>
      </c>
      <c r="D23" s="79" t="s">
        <v>207</v>
      </c>
      <c r="E23" s="80" t="s">
        <v>202</v>
      </c>
      <c r="F23" s="79" t="s">
        <v>189</v>
      </c>
      <c r="G23" s="36"/>
      <c r="H23" s="101"/>
    </row>
    <row r="24" spans="2:8" ht="15.75" thickBot="1">
      <c r="B24" s="150"/>
      <c r="C24" s="111">
        <v>20</v>
      </c>
      <c r="D24" s="102" t="s">
        <v>208</v>
      </c>
      <c r="E24" s="103" t="s">
        <v>202</v>
      </c>
      <c r="F24" s="102" t="s">
        <v>189</v>
      </c>
      <c r="G24" s="104"/>
      <c r="H24" s="105"/>
    </row>
    <row r="25" spans="2:8" ht="38.25">
      <c r="B25" s="150"/>
      <c r="C25" s="112">
        <v>21</v>
      </c>
      <c r="D25" s="97" t="s">
        <v>209</v>
      </c>
      <c r="E25" s="98" t="s">
        <v>202</v>
      </c>
      <c r="F25" s="97" t="s">
        <v>189</v>
      </c>
      <c r="G25" s="99"/>
      <c r="H25" s="100"/>
    </row>
    <row r="26" spans="2:8" ht="38.25">
      <c r="B26" s="150"/>
      <c r="C26" s="110">
        <v>22</v>
      </c>
      <c r="D26" s="79" t="s">
        <v>210</v>
      </c>
      <c r="E26" s="80" t="s">
        <v>202</v>
      </c>
      <c r="F26" s="79" t="s">
        <v>189</v>
      </c>
      <c r="G26" s="36"/>
      <c r="H26" s="101"/>
    </row>
    <row r="27" spans="2:8" ht="38.25">
      <c r="B27" s="150"/>
      <c r="C27" s="110">
        <v>23</v>
      </c>
      <c r="D27" s="79" t="s">
        <v>205</v>
      </c>
      <c r="E27" s="80" t="s">
        <v>202</v>
      </c>
      <c r="F27" s="79" t="s">
        <v>189</v>
      </c>
      <c r="G27" s="36"/>
      <c r="H27" s="101"/>
    </row>
    <row r="28" spans="2:8" ht="25.5">
      <c r="B28" s="150"/>
      <c r="C28" s="110">
        <v>24</v>
      </c>
      <c r="D28" s="79" t="s">
        <v>211</v>
      </c>
      <c r="E28" s="80" t="s">
        <v>202</v>
      </c>
      <c r="F28" s="79" t="s">
        <v>189</v>
      </c>
      <c r="G28" s="36"/>
      <c r="H28" s="101"/>
    </row>
    <row r="29" spans="2:8" ht="26.25" thickBot="1">
      <c r="B29" s="151"/>
      <c r="C29" s="111">
        <v>25</v>
      </c>
      <c r="D29" s="102" t="s">
        <v>212</v>
      </c>
      <c r="E29" s="103" t="s">
        <v>202</v>
      </c>
      <c r="F29" s="102" t="s">
        <v>189</v>
      </c>
      <c r="G29" s="104"/>
      <c r="H29" s="105"/>
    </row>
    <row r="44" spans="4:4">
      <c r="D44" t="s">
        <v>213</v>
      </c>
    </row>
    <row r="46" spans="4:4">
      <c r="D46" s="116" t="s">
        <v>214</v>
      </c>
    </row>
    <row r="47" spans="4:4">
      <c r="D47" s="115" t="s">
        <v>215</v>
      </c>
    </row>
    <row r="48" spans="4:4">
      <c r="D48" s="114" t="s">
        <v>216</v>
      </c>
    </row>
    <row r="58" spans="4:4">
      <c r="D58" t="s">
        <v>217</v>
      </c>
    </row>
    <row r="60" spans="4:4">
      <c r="D60" s="115" t="s">
        <v>218</v>
      </c>
    </row>
    <row r="61" spans="4:4">
      <c r="D61" s="116" t="s">
        <v>219</v>
      </c>
    </row>
    <row r="62" spans="4:4">
      <c r="D62" s="114" t="s">
        <v>220</v>
      </c>
    </row>
    <row r="68" spans="4:6">
      <c r="D68" s="152" t="s">
        <v>221</v>
      </c>
      <c r="E68" s="152"/>
      <c r="F68" s="152"/>
    </row>
    <row r="69" spans="4:6">
      <c r="D69" s="152"/>
      <c r="E69" s="152"/>
      <c r="F69" s="152"/>
    </row>
    <row r="70" spans="4:6">
      <c r="D70" s="152"/>
      <c r="E70" s="152"/>
      <c r="F70" s="152"/>
    </row>
    <row r="71" spans="4:6">
      <c r="D71" s="152"/>
      <c r="E71" s="152"/>
      <c r="F71" s="152"/>
    </row>
    <row r="72" spans="4:6">
      <c r="D72" s="152"/>
      <c r="E72" s="152"/>
      <c r="F72" s="152"/>
    </row>
    <row r="73" spans="4:6">
      <c r="D73" s="152"/>
      <c r="E73" s="152"/>
      <c r="F73" s="152"/>
    </row>
  </sheetData>
  <mergeCells count="4">
    <mergeCell ref="B5:B7"/>
    <mergeCell ref="C2:H2"/>
    <mergeCell ref="B8:B29"/>
    <mergeCell ref="D68:F7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73AB-8F3B-4CE1-A62C-37FBD98D502E}">
  <dimension ref="B1:C56"/>
  <sheetViews>
    <sheetView topLeftCell="A37" workbookViewId="0">
      <selection activeCell="F57" sqref="F57"/>
    </sheetView>
  </sheetViews>
  <sheetFormatPr baseColWidth="10" defaultRowHeight="15"/>
  <cols>
    <col min="2" max="2" width="45.85546875" bestFit="1" customWidth="1"/>
  </cols>
  <sheetData>
    <row r="1" spans="2:3" ht="15.75" thickBot="1"/>
    <row r="2" spans="2:3">
      <c r="B2" s="153" t="s">
        <v>23</v>
      </c>
      <c r="C2" s="154"/>
    </row>
    <row r="3" spans="2:3" ht="15.75" thickBot="1">
      <c r="B3" s="155"/>
      <c r="C3" s="156"/>
    </row>
    <row r="4" spans="2:3">
      <c r="B4" s="81" t="s">
        <v>24</v>
      </c>
      <c r="C4" s="159"/>
    </row>
    <row r="5" spans="2:3" ht="15.75" thickBot="1">
      <c r="B5" s="82" t="s">
        <v>25</v>
      </c>
      <c r="C5" s="160"/>
    </row>
    <row r="6" spans="2:3">
      <c r="B6" s="81" t="s">
        <v>26</v>
      </c>
      <c r="C6" s="159"/>
    </row>
    <row r="7" spans="2:3" ht="15.75" thickBot="1">
      <c r="B7" s="82" t="s">
        <v>27</v>
      </c>
      <c r="C7" s="160"/>
    </row>
    <row r="8" spans="2:3">
      <c r="B8" s="25"/>
      <c r="C8" s="24"/>
    </row>
    <row r="9" spans="2:3" ht="15.75" thickBot="1">
      <c r="B9" s="25"/>
      <c r="C9" s="24"/>
    </row>
    <row r="10" spans="2:3">
      <c r="B10" s="153" t="s">
        <v>28</v>
      </c>
      <c r="C10" s="154"/>
    </row>
    <row r="11" spans="2:3" ht="15.75" thickBot="1">
      <c r="B11" s="157"/>
      <c r="C11" s="158"/>
    </row>
    <row r="12" spans="2:3">
      <c r="B12" s="81" t="s">
        <v>29</v>
      </c>
      <c r="C12" s="159"/>
    </row>
    <row r="13" spans="2:3" ht="15.75" thickBot="1">
      <c r="B13" s="82" t="s">
        <v>30</v>
      </c>
      <c r="C13" s="160"/>
    </row>
    <row r="14" spans="2:3">
      <c r="B14" s="81" t="s">
        <v>31</v>
      </c>
      <c r="C14" s="159"/>
    </row>
    <row r="15" spans="2:3" ht="15.75" thickBot="1">
      <c r="B15" s="82" t="s">
        <v>32</v>
      </c>
      <c r="C15" s="160"/>
    </row>
    <row r="16" spans="2:3">
      <c r="B16" s="81" t="s">
        <v>33</v>
      </c>
      <c r="C16" s="159"/>
    </row>
    <row r="17" spans="2:3" ht="15.75" thickBot="1">
      <c r="B17" s="82" t="s">
        <v>34</v>
      </c>
      <c r="C17" s="160"/>
    </row>
    <row r="18" spans="2:3">
      <c r="B18" s="81" t="s">
        <v>35</v>
      </c>
      <c r="C18" s="159"/>
    </row>
    <row r="19" spans="2:3" ht="15.75" thickBot="1">
      <c r="B19" s="82" t="s">
        <v>36</v>
      </c>
      <c r="C19" s="160"/>
    </row>
    <row r="20" spans="2:3">
      <c r="B20" s="81" t="s">
        <v>37</v>
      </c>
      <c r="C20" s="159"/>
    </row>
    <row r="21" spans="2:3" ht="15.75" thickBot="1">
      <c r="B21" s="82" t="s">
        <v>38</v>
      </c>
      <c r="C21" s="160"/>
    </row>
    <row r="22" spans="2:3">
      <c r="B22" s="81" t="s">
        <v>39</v>
      </c>
      <c r="C22" s="159"/>
    </row>
    <row r="23" spans="2:3" ht="15.75" thickBot="1">
      <c r="B23" s="82" t="s">
        <v>40</v>
      </c>
      <c r="C23" s="160"/>
    </row>
    <row r="24" spans="2:3">
      <c r="B24" s="81" t="s">
        <v>41</v>
      </c>
      <c r="C24" s="159"/>
    </row>
    <row r="25" spans="2:3" ht="15.75" thickBot="1">
      <c r="B25" s="82" t="s">
        <v>42</v>
      </c>
      <c r="C25" s="160"/>
    </row>
    <row r="26" spans="2:3" ht="15.75" thickBot="1">
      <c r="B26" s="26"/>
      <c r="C26" s="23"/>
    </row>
    <row r="27" spans="2:3">
      <c r="B27" s="153" t="s">
        <v>43</v>
      </c>
      <c r="C27" s="154"/>
    </row>
    <row r="28" spans="2:3" ht="15.75" thickBot="1">
      <c r="B28" s="157"/>
      <c r="C28" s="158"/>
    </row>
    <row r="29" spans="2:3">
      <c r="B29" s="81" t="s">
        <v>44</v>
      </c>
      <c r="C29" s="159"/>
    </row>
    <row r="30" spans="2:3" ht="15.75" thickBot="1">
      <c r="B30" s="82" t="s">
        <v>45</v>
      </c>
      <c r="C30" s="160"/>
    </row>
    <row r="31" spans="2:3">
      <c r="B31" s="81" t="s">
        <v>46</v>
      </c>
      <c r="C31" s="159"/>
    </row>
    <row r="32" spans="2:3" ht="15.75" thickBot="1">
      <c r="B32" s="82" t="s">
        <v>47</v>
      </c>
      <c r="C32" s="160"/>
    </row>
    <row r="33" spans="2:3">
      <c r="B33" s="81" t="s">
        <v>48</v>
      </c>
      <c r="C33" s="159"/>
    </row>
    <row r="34" spans="2:3" ht="15.75" thickBot="1">
      <c r="B34" s="82" t="s">
        <v>49</v>
      </c>
      <c r="C34" s="160"/>
    </row>
    <row r="35" spans="2:3">
      <c r="B35" s="81" t="s">
        <v>50</v>
      </c>
      <c r="C35" s="159"/>
    </row>
    <row r="36" spans="2:3" ht="15.75" thickBot="1">
      <c r="B36" s="82" t="s">
        <v>51</v>
      </c>
      <c r="C36" s="160"/>
    </row>
    <row r="37" spans="2:3">
      <c r="B37" s="81" t="s">
        <v>52</v>
      </c>
      <c r="C37" s="159"/>
    </row>
    <row r="38" spans="2:3" ht="15.75" thickBot="1">
      <c r="B38" s="82" t="s">
        <v>53</v>
      </c>
      <c r="C38" s="160"/>
    </row>
    <row r="39" spans="2:3">
      <c r="B39" s="81" t="s">
        <v>54</v>
      </c>
      <c r="C39" s="159"/>
    </row>
    <row r="40" spans="2:3" ht="15.75" thickBot="1">
      <c r="B40" s="82" t="s">
        <v>55</v>
      </c>
      <c r="C40" s="160"/>
    </row>
    <row r="41" spans="2:3">
      <c r="B41" s="81" t="s">
        <v>56</v>
      </c>
      <c r="C41" s="159"/>
    </row>
    <row r="42" spans="2:3" ht="15.75" thickBot="1">
      <c r="B42" s="82" t="s">
        <v>57</v>
      </c>
      <c r="C42" s="160"/>
    </row>
    <row r="43" spans="2:3">
      <c r="B43" s="72"/>
      <c r="C43" s="73"/>
    </row>
    <row r="44" spans="2:3" ht="15.75" thickBot="1">
      <c r="B44" s="27"/>
      <c r="C44" s="23"/>
    </row>
    <row r="45" spans="2:3">
      <c r="B45" s="153" t="s">
        <v>58</v>
      </c>
      <c r="C45" s="154"/>
    </row>
    <row r="46" spans="2:3" ht="15.75" thickBot="1">
      <c r="B46" s="157"/>
      <c r="C46" s="158"/>
    </row>
    <row r="47" spans="2:3">
      <c r="B47" s="81" t="s">
        <v>59</v>
      </c>
      <c r="C47" s="159"/>
    </row>
    <row r="48" spans="2:3" ht="15.75" thickBot="1">
      <c r="B48" s="82" t="s">
        <v>60</v>
      </c>
      <c r="C48" s="160"/>
    </row>
    <row r="49" spans="2:3">
      <c r="B49" s="81" t="s">
        <v>61</v>
      </c>
      <c r="C49" s="159"/>
    </row>
    <row r="50" spans="2:3" ht="15.75" thickBot="1">
      <c r="B50" s="82" t="s">
        <v>62</v>
      </c>
      <c r="C50" s="160"/>
    </row>
    <row r="51" spans="2:3">
      <c r="B51" s="81" t="s">
        <v>63</v>
      </c>
      <c r="C51" s="159"/>
    </row>
    <row r="52" spans="2:3" ht="15.75" thickBot="1">
      <c r="B52" s="82" t="s">
        <v>64</v>
      </c>
      <c r="C52" s="160"/>
    </row>
    <row r="53" spans="2:3">
      <c r="B53" s="81" t="s">
        <v>65</v>
      </c>
      <c r="C53" s="159"/>
    </row>
    <row r="54" spans="2:3" ht="15.75" thickBot="1">
      <c r="B54" s="82" t="s">
        <v>66</v>
      </c>
      <c r="C54" s="160"/>
    </row>
    <row r="55" spans="2:3">
      <c r="B55" s="81" t="s">
        <v>67</v>
      </c>
      <c r="C55" s="159"/>
    </row>
    <row r="56" spans="2:3" ht="15.75" thickBot="1">
      <c r="B56" s="82" t="s">
        <v>68</v>
      </c>
      <c r="C56" s="160"/>
    </row>
  </sheetData>
  <mergeCells count="25">
    <mergeCell ref="C37:C38"/>
    <mergeCell ref="C39:C40"/>
    <mergeCell ref="C55:C56"/>
    <mergeCell ref="C41:C42"/>
    <mergeCell ref="B45:C46"/>
    <mergeCell ref="C47:C48"/>
    <mergeCell ref="C49:C50"/>
    <mergeCell ref="C51:C52"/>
    <mergeCell ref="C53:C54"/>
    <mergeCell ref="C22:C23"/>
    <mergeCell ref="C24:C25"/>
    <mergeCell ref="C29:C30"/>
    <mergeCell ref="C31:C32"/>
    <mergeCell ref="C33:C34"/>
    <mergeCell ref="C35:C36"/>
    <mergeCell ref="B2:C3"/>
    <mergeCell ref="B10:C11"/>
    <mergeCell ref="B27:C28"/>
    <mergeCell ref="C4:C5"/>
    <mergeCell ref="C6:C7"/>
    <mergeCell ref="C12:C13"/>
    <mergeCell ref="C14:C15"/>
    <mergeCell ref="C16:C17"/>
    <mergeCell ref="C18:C19"/>
    <mergeCell ref="C20:C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F92B-6541-4C14-AE91-A19C3817D20E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5EB5-B215-4293-A4B4-9415C599B4C6}">
  <dimension ref="B2:N50"/>
  <sheetViews>
    <sheetView workbookViewId="0">
      <selection activeCell="C4" sqref="C4"/>
    </sheetView>
  </sheetViews>
  <sheetFormatPr baseColWidth="10" defaultRowHeight="15"/>
  <cols>
    <col min="1" max="3" width="11.42578125" style="119"/>
    <col min="4" max="4" width="17.42578125" style="119" customWidth="1"/>
    <col min="5" max="5" width="17.85546875" style="119" customWidth="1"/>
    <col min="6" max="6" width="13.140625" style="119" bestFit="1" customWidth="1"/>
    <col min="7" max="7" width="11.42578125" style="119"/>
    <col min="8" max="8" width="15.85546875" style="119" customWidth="1"/>
    <col min="9" max="9" width="14.85546875" style="119" bestFit="1" customWidth="1"/>
    <col min="10" max="10" width="21.85546875" style="119" customWidth="1"/>
    <col min="11" max="11" width="11.42578125" style="119"/>
    <col min="12" max="12" width="14.28515625" style="119" bestFit="1" customWidth="1"/>
    <col min="13" max="16384" width="11.42578125" style="119"/>
  </cols>
  <sheetData>
    <row r="2" spans="3:14">
      <c r="C2" s="161" t="s">
        <v>222</v>
      </c>
      <c r="D2" s="161"/>
      <c r="E2" s="161"/>
      <c r="F2" s="161"/>
      <c r="G2" s="161"/>
      <c r="H2" s="161"/>
      <c r="I2" s="161"/>
      <c r="J2" s="161"/>
      <c r="K2" s="161"/>
      <c r="L2" s="161"/>
    </row>
    <row r="4" spans="3:14" ht="30">
      <c r="C4" s="120" t="s">
        <v>223</v>
      </c>
      <c r="D4" s="120" t="s">
        <v>224</v>
      </c>
      <c r="E4" s="120" t="s">
        <v>225</v>
      </c>
      <c r="F4" s="120" t="s">
        <v>226</v>
      </c>
      <c r="G4" s="120" t="s">
        <v>227</v>
      </c>
      <c r="H4" s="120" t="s">
        <v>228</v>
      </c>
      <c r="I4" s="120" t="s">
        <v>229</v>
      </c>
      <c r="J4" s="121" t="s">
        <v>230</v>
      </c>
      <c r="K4" s="120" t="s">
        <v>231</v>
      </c>
      <c r="L4" s="120" t="s">
        <v>232</v>
      </c>
    </row>
    <row r="5" spans="3:14">
      <c r="C5" s="122" t="s">
        <v>233</v>
      </c>
      <c r="D5" s="122">
        <v>10</v>
      </c>
      <c r="E5" s="123">
        <v>3000</v>
      </c>
      <c r="F5" s="123">
        <f>+D5*E5</f>
        <v>30000</v>
      </c>
      <c r="G5" s="123">
        <f>+F5*(1+33%)</f>
        <v>39900</v>
      </c>
      <c r="H5" s="123">
        <f>+D5*G5</f>
        <v>399000</v>
      </c>
      <c r="I5" s="124">
        <f>+H5/$H$9</f>
        <v>0.50320334964435254</v>
      </c>
      <c r="J5" s="123">
        <f>+$K$13*I5</f>
        <v>17612.117237552338</v>
      </c>
      <c r="K5" s="125">
        <f>+G5-J5</f>
        <v>22287.882762447662</v>
      </c>
      <c r="L5" s="125">
        <f>+K5-E5</f>
        <v>19287.882762447662</v>
      </c>
    </row>
    <row r="6" spans="3:14">
      <c r="C6" s="122" t="s">
        <v>234</v>
      </c>
      <c r="D6" s="122">
        <v>14</v>
      </c>
      <c r="E6" s="123">
        <v>1000</v>
      </c>
      <c r="F6" s="123">
        <f>+D6*E6</f>
        <v>14000</v>
      </c>
      <c r="G6" s="123">
        <f>+F6*(1+33%)</f>
        <v>18620</v>
      </c>
      <c r="H6" s="123">
        <f>+D6*G6</f>
        <v>260680</v>
      </c>
      <c r="I6" s="124">
        <f>+H6/$H$9</f>
        <v>0.32875952176764367</v>
      </c>
      <c r="J6" s="123">
        <f>+$K$13*I6</f>
        <v>11506.583261867529</v>
      </c>
      <c r="K6" s="125">
        <f>+G6-J6</f>
        <v>7113.4167381324714</v>
      </c>
      <c r="L6" s="125">
        <f>+K6-E6</f>
        <v>6113.4167381324714</v>
      </c>
    </row>
    <row r="7" spans="3:14">
      <c r="C7" s="126" t="s">
        <v>235</v>
      </c>
      <c r="D7" s="126">
        <v>8</v>
      </c>
      <c r="E7" s="127">
        <v>9000</v>
      </c>
      <c r="F7" s="127">
        <f>+D7*E7</f>
        <v>72000</v>
      </c>
      <c r="G7" s="127">
        <v>12000</v>
      </c>
      <c r="H7" s="127">
        <f>+D7*G7</f>
        <v>96000</v>
      </c>
      <c r="I7" s="128">
        <f>+H7/$H$9</f>
        <v>0.1210714826211976</v>
      </c>
      <c r="J7" s="127">
        <f>+$K$13*I7</f>
        <v>4237.5018917419156</v>
      </c>
      <c r="K7" s="129">
        <f>+G7-J7</f>
        <v>7762.4981082580844</v>
      </c>
      <c r="L7" s="129">
        <f>+K7-E7</f>
        <v>-1237.5018917419156</v>
      </c>
      <c r="M7" s="119" t="s">
        <v>236</v>
      </c>
      <c r="N7" s="119">
        <v>1238</v>
      </c>
    </row>
    <row r="8" spans="3:14">
      <c r="C8" s="122" t="s">
        <v>237</v>
      </c>
      <c r="D8" s="122">
        <v>2</v>
      </c>
      <c r="E8" s="123">
        <v>7000</v>
      </c>
      <c r="F8" s="123">
        <f>+D8*E8</f>
        <v>14000</v>
      </c>
      <c r="G8" s="123">
        <f>+F8*(1+33%)</f>
        <v>18620</v>
      </c>
      <c r="H8" s="123">
        <f>+D8*G8</f>
        <v>37240</v>
      </c>
      <c r="I8" s="124">
        <f>+H8/$H$9</f>
        <v>4.6965645966806233E-2</v>
      </c>
      <c r="J8" s="123">
        <f>+$K$13*I8</f>
        <v>1643.7976088382181</v>
      </c>
      <c r="K8" s="125">
        <f>+G8-J8</f>
        <v>16976.202391161783</v>
      </c>
      <c r="L8" s="125">
        <f>+K8-E8</f>
        <v>9976.2023911617835</v>
      </c>
    </row>
    <row r="9" spans="3:14">
      <c r="E9" s="130"/>
      <c r="F9" s="130"/>
      <c r="G9" s="131">
        <f>SUM(G5:G8)</f>
        <v>89140</v>
      </c>
      <c r="H9" s="131">
        <f>SUM(H5:H8)</f>
        <v>792920</v>
      </c>
      <c r="I9" s="132">
        <f>+H9/$H$9</f>
        <v>1</v>
      </c>
      <c r="J9" s="133">
        <f>SUM(J5:J8)</f>
        <v>35000</v>
      </c>
      <c r="K9" s="131">
        <f>+G9-J9</f>
        <v>54140</v>
      </c>
    </row>
    <row r="13" spans="3:14">
      <c r="C13" s="119" t="s">
        <v>238</v>
      </c>
      <c r="K13" s="130">
        <v>35000</v>
      </c>
      <c r="L13" s="119" t="s">
        <v>239</v>
      </c>
    </row>
    <row r="16" spans="3:14">
      <c r="G16" s="134"/>
    </row>
    <row r="17" spans="2:7">
      <c r="G17" s="134"/>
    </row>
    <row r="21" spans="2:7">
      <c r="B21" s="119" t="s">
        <v>240</v>
      </c>
    </row>
    <row r="27" spans="2:7">
      <c r="D27" s="119" t="s">
        <v>241</v>
      </c>
    </row>
    <row r="30" spans="2:7">
      <c r="F30" s="119" t="s">
        <v>242</v>
      </c>
    </row>
    <row r="40" spans="6:8">
      <c r="F40" s="119" t="s">
        <v>243</v>
      </c>
    </row>
    <row r="43" spans="6:8">
      <c r="G43" s="119" t="s">
        <v>244</v>
      </c>
      <c r="H43" s="119" t="s">
        <v>245</v>
      </c>
    </row>
    <row r="44" spans="6:8">
      <c r="F44" s="119" t="s">
        <v>246</v>
      </c>
      <c r="G44" s="119">
        <v>100</v>
      </c>
      <c r="H44" s="119">
        <v>100</v>
      </c>
    </row>
    <row r="45" spans="6:8">
      <c r="F45" s="119" t="s">
        <v>247</v>
      </c>
      <c r="G45" s="119">
        <v>15</v>
      </c>
      <c r="H45" s="119">
        <v>0</v>
      </c>
    </row>
    <row r="46" spans="6:8">
      <c r="F46" s="119" t="s">
        <v>248</v>
      </c>
      <c r="G46" s="119">
        <v>50</v>
      </c>
      <c r="H46" s="119">
        <v>50</v>
      </c>
    </row>
    <row r="47" spans="6:8">
      <c r="F47" s="119" t="s">
        <v>249</v>
      </c>
      <c r="G47" s="119">
        <f>+G44-G46-G45</f>
        <v>35</v>
      </c>
      <c r="H47" s="119">
        <f>+H44-H46</f>
        <v>50</v>
      </c>
    </row>
    <row r="48" spans="6:8">
      <c r="F48" s="119" t="s">
        <v>250</v>
      </c>
      <c r="G48" s="119">
        <f>+G47*31%</f>
        <v>10.85</v>
      </c>
      <c r="H48" s="119">
        <f>+H47*31%</f>
        <v>15.5</v>
      </c>
    </row>
    <row r="49" spans="7:8">
      <c r="G49" s="119" t="s">
        <v>251</v>
      </c>
      <c r="H49" s="119">
        <f>+G45/2</f>
        <v>7.5</v>
      </c>
    </row>
    <row r="50" spans="7:8">
      <c r="G50" s="119" t="s">
        <v>252</v>
      </c>
      <c r="H50" s="119">
        <f>+H48-H49</f>
        <v>8</v>
      </c>
    </row>
  </sheetData>
  <mergeCells count="1">
    <mergeCell ref="C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97D9-0C4B-4A6B-BCC9-1472E519B5A9}">
  <dimension ref="B7:I193"/>
  <sheetViews>
    <sheetView workbookViewId="0">
      <selection activeCell="D25" sqref="D25"/>
    </sheetView>
  </sheetViews>
  <sheetFormatPr baseColWidth="10" defaultRowHeight="15"/>
  <cols>
    <col min="1" max="1" width="11.42578125" style="119"/>
    <col min="2" max="2" width="37.85546875" style="130" bestFit="1" customWidth="1"/>
    <col min="3" max="3" width="15.5703125" style="130" bestFit="1" customWidth="1"/>
    <col min="4" max="4" width="22.140625" style="119" customWidth="1"/>
    <col min="5" max="5" width="21.7109375" style="130" bestFit="1" customWidth="1"/>
    <col min="6" max="6" width="15.5703125" style="119" customWidth="1"/>
    <col min="7" max="7" width="14" style="130" bestFit="1" customWidth="1"/>
    <col min="8" max="8" width="14.140625" style="119" bestFit="1" customWidth="1"/>
    <col min="9" max="9" width="14" style="119" bestFit="1" customWidth="1"/>
    <col min="10" max="16384" width="11.42578125" style="119"/>
  </cols>
  <sheetData>
    <row r="7" spans="2:4">
      <c r="D7" s="130"/>
    </row>
    <row r="8" spans="2:4">
      <c r="D8" s="130"/>
    </row>
    <row r="10" spans="2:4">
      <c r="B10" s="162" t="s">
        <v>253</v>
      </c>
      <c r="C10" s="162"/>
      <c r="D10" s="162"/>
    </row>
    <row r="11" spans="2:4">
      <c r="B11" s="130" t="s">
        <v>254</v>
      </c>
    </row>
    <row r="12" spans="2:4">
      <c r="B12" s="135" t="s">
        <v>255</v>
      </c>
      <c r="C12" s="135">
        <v>100000000</v>
      </c>
    </row>
    <row r="13" spans="2:4">
      <c r="B13" s="130" t="s">
        <v>256</v>
      </c>
      <c r="D13" s="136">
        <v>100000000</v>
      </c>
    </row>
    <row r="16" spans="2:4">
      <c r="B16" s="162" t="s">
        <v>257</v>
      </c>
      <c r="C16" s="162"/>
    </row>
    <row r="17" spans="2:8">
      <c r="B17" s="130" t="s">
        <v>258</v>
      </c>
      <c r="C17" s="130">
        <v>200000000</v>
      </c>
      <c r="D17" s="131"/>
    </row>
    <row r="18" spans="2:8">
      <c r="B18" s="130" t="s">
        <v>259</v>
      </c>
      <c r="C18" s="130">
        <v>150000000</v>
      </c>
    </row>
    <row r="19" spans="2:8">
      <c r="B19" s="135" t="s">
        <v>260</v>
      </c>
      <c r="C19" s="135">
        <f>+C17-C18</f>
        <v>50000000</v>
      </c>
    </row>
    <row r="23" spans="2:8">
      <c r="D23" s="130"/>
    </row>
    <row r="24" spans="2:8">
      <c r="H24" s="131"/>
    </row>
    <row r="25" spans="2:8">
      <c r="B25" s="130" t="s">
        <v>261</v>
      </c>
      <c r="D25" s="130"/>
    </row>
    <row r="26" spans="2:8">
      <c r="B26" s="130" t="s">
        <v>262</v>
      </c>
      <c r="C26" s="137">
        <v>0.35</v>
      </c>
      <c r="D26" s="130">
        <f>+C19*C26</f>
        <v>17500000</v>
      </c>
    </row>
    <row r="27" spans="2:8">
      <c r="B27" s="130" t="s">
        <v>263</v>
      </c>
      <c r="C27" s="137">
        <v>0.65</v>
      </c>
      <c r="D27" s="130">
        <f>+C27*C19</f>
        <v>32500000</v>
      </c>
    </row>
    <row r="28" spans="2:8">
      <c r="D28" s="130"/>
    </row>
    <row r="31" spans="2:8">
      <c r="C31" s="130">
        <v>23</v>
      </c>
      <c r="D31" s="119" t="s">
        <v>264</v>
      </c>
      <c r="E31" s="130">
        <f>+D13*C27</f>
        <v>65000000</v>
      </c>
    </row>
    <row r="32" spans="2:8">
      <c r="C32" s="130">
        <v>23</v>
      </c>
      <c r="D32" s="119" t="s">
        <v>264</v>
      </c>
      <c r="E32" s="130">
        <f>+D13*C26</f>
        <v>35000000</v>
      </c>
    </row>
    <row r="33" spans="3:6">
      <c r="C33" s="130">
        <v>11</v>
      </c>
      <c r="D33" s="119" t="s">
        <v>265</v>
      </c>
      <c r="F33" s="131">
        <f>+E31+E32</f>
        <v>100000000</v>
      </c>
    </row>
    <row r="37" spans="3:6">
      <c r="D37" s="131"/>
    </row>
    <row r="40" spans="3:6">
      <c r="D40" s="119">
        <v>13</v>
      </c>
      <c r="E40" s="130" t="s">
        <v>266</v>
      </c>
    </row>
    <row r="42" spans="3:6">
      <c r="E42" s="130" t="s">
        <v>267</v>
      </c>
    </row>
    <row r="43" spans="3:6">
      <c r="D43" s="119">
        <v>41</v>
      </c>
      <c r="E43" s="130">
        <v>100</v>
      </c>
    </row>
    <row r="44" spans="3:6">
      <c r="D44" s="119">
        <v>61</v>
      </c>
      <c r="E44" s="130">
        <v>20</v>
      </c>
    </row>
    <row r="45" spans="3:6">
      <c r="D45" s="119">
        <v>51</v>
      </c>
      <c r="E45" s="130">
        <v>10</v>
      </c>
    </row>
    <row r="46" spans="3:6">
      <c r="D46" s="119">
        <v>13</v>
      </c>
      <c r="E46" s="130">
        <f>+E43-E44-E45</f>
        <v>70</v>
      </c>
    </row>
    <row r="47" spans="3:6">
      <c r="D47" s="119" t="s">
        <v>268</v>
      </c>
      <c r="E47" s="130">
        <v>2000000</v>
      </c>
    </row>
    <row r="48" spans="3:6">
      <c r="D48" s="122" t="s">
        <v>233</v>
      </c>
      <c r="E48" s="123">
        <v>20000000</v>
      </c>
      <c r="F48" s="122"/>
    </row>
    <row r="49" spans="3:8">
      <c r="D49" s="122" t="s">
        <v>269</v>
      </c>
      <c r="E49" s="123">
        <v>20000000</v>
      </c>
      <c r="F49" s="122"/>
    </row>
    <row r="50" spans="3:8">
      <c r="D50" s="122" t="s">
        <v>270</v>
      </c>
      <c r="E50" s="123">
        <v>25000000</v>
      </c>
      <c r="F50" s="122"/>
    </row>
    <row r="51" spans="3:8">
      <c r="D51" s="122">
        <v>13</v>
      </c>
      <c r="E51" s="123"/>
      <c r="F51" s="125">
        <f>+E31</f>
        <v>65000000</v>
      </c>
    </row>
    <row r="56" spans="3:8">
      <c r="D56" s="119" t="s">
        <v>271</v>
      </c>
      <c r="F56" s="119">
        <v>20000000</v>
      </c>
    </row>
    <row r="57" spans="3:8">
      <c r="D57" s="119" t="s">
        <v>272</v>
      </c>
      <c r="E57" s="130">
        <f>+F56</f>
        <v>20000000</v>
      </c>
    </row>
    <row r="64" spans="3:8">
      <c r="C64" s="130" t="s">
        <v>273</v>
      </c>
      <c r="F64" s="163" t="s">
        <v>274</v>
      </c>
      <c r="G64" s="163"/>
      <c r="H64" s="163"/>
    </row>
    <row r="65" spans="2:9">
      <c r="C65" s="138">
        <v>44561</v>
      </c>
      <c r="F65" s="139">
        <v>11597</v>
      </c>
    </row>
    <row r="66" spans="2:9">
      <c r="F66" s="119" t="s">
        <v>275</v>
      </c>
    </row>
    <row r="67" spans="2:9">
      <c r="F67" s="140" t="s">
        <v>276</v>
      </c>
      <c r="G67" s="135"/>
      <c r="H67" s="136">
        <f>50000000</f>
        <v>50000000</v>
      </c>
    </row>
    <row r="68" spans="2:9">
      <c r="B68" s="135" t="s">
        <v>277</v>
      </c>
      <c r="C68" s="135">
        <v>100000000</v>
      </c>
      <c r="F68" s="140"/>
      <c r="G68" s="135"/>
      <c r="H68" s="140"/>
    </row>
    <row r="69" spans="2:9">
      <c r="B69" s="130" t="s">
        <v>278</v>
      </c>
      <c r="C69" s="130">
        <v>100000000</v>
      </c>
      <c r="F69" s="140"/>
      <c r="G69" s="135"/>
      <c r="H69" s="140"/>
    </row>
    <row r="70" spans="2:9">
      <c r="B70" s="135" t="s">
        <v>279</v>
      </c>
      <c r="C70" s="135"/>
      <c r="D70" s="136">
        <f>+C68+C69</f>
        <v>200000000</v>
      </c>
      <c r="F70" s="136" t="s">
        <v>280</v>
      </c>
      <c r="G70" s="135"/>
      <c r="H70" s="135">
        <v>200000000</v>
      </c>
      <c r="I70" s="130"/>
    </row>
    <row r="71" spans="2:9">
      <c r="F71" s="119" t="s">
        <v>279</v>
      </c>
      <c r="H71" s="130"/>
      <c r="I71" s="130">
        <v>200000000</v>
      </c>
    </row>
    <row r="72" spans="2:9">
      <c r="H72" s="130"/>
      <c r="I72" s="130"/>
    </row>
    <row r="73" spans="2:9">
      <c r="B73" s="119" t="s">
        <v>281</v>
      </c>
      <c r="G73" s="130" t="s">
        <v>282</v>
      </c>
      <c r="I73" s="130">
        <v>-20000000</v>
      </c>
    </row>
    <row r="76" spans="2:9">
      <c r="C76" s="130" t="s">
        <v>283</v>
      </c>
      <c r="F76" s="119" t="s">
        <v>284</v>
      </c>
    </row>
    <row r="77" spans="2:9">
      <c r="C77" s="138">
        <v>44561</v>
      </c>
      <c r="G77" s="130">
        <v>44561</v>
      </c>
    </row>
    <row r="78" spans="2:9">
      <c r="B78" s="130" t="s">
        <v>258</v>
      </c>
      <c r="C78" s="130">
        <v>500000000</v>
      </c>
      <c r="E78" s="119"/>
      <c r="F78" s="130" t="s">
        <v>258</v>
      </c>
      <c r="G78" s="130">
        <v>500000000</v>
      </c>
    </row>
    <row r="79" spans="2:9">
      <c r="B79" s="130" t="s">
        <v>248</v>
      </c>
      <c r="C79" s="130">
        <v>300000000</v>
      </c>
      <c r="E79" s="119"/>
      <c r="F79" s="130" t="s">
        <v>248</v>
      </c>
      <c r="G79" s="130">
        <v>300000000</v>
      </c>
    </row>
    <row r="80" spans="2:9">
      <c r="B80" s="130" t="s">
        <v>285</v>
      </c>
      <c r="C80" s="130">
        <v>100000000</v>
      </c>
      <c r="E80" s="119"/>
      <c r="F80" s="130" t="s">
        <v>285</v>
      </c>
      <c r="G80" s="130">
        <v>100000000</v>
      </c>
    </row>
    <row r="81" spans="2:7">
      <c r="B81" s="123" t="s">
        <v>260</v>
      </c>
      <c r="C81" s="123">
        <f>+C78-C79-C80</f>
        <v>100000000</v>
      </c>
      <c r="D81" s="119">
        <v>1305</v>
      </c>
      <c r="E81" s="119"/>
      <c r="F81" s="123" t="s">
        <v>260</v>
      </c>
      <c r="G81" s="123">
        <f>+G78-G79-G80</f>
        <v>100000000</v>
      </c>
    </row>
    <row r="85" spans="2:7">
      <c r="B85" s="130" t="s">
        <v>286</v>
      </c>
      <c r="C85" s="130">
        <v>100000000</v>
      </c>
      <c r="F85" s="119" t="s">
        <v>287</v>
      </c>
    </row>
    <row r="87" spans="2:7">
      <c r="B87" s="130" t="s">
        <v>279</v>
      </c>
      <c r="D87" s="130">
        <v>50000000</v>
      </c>
    </row>
    <row r="88" spans="2:7">
      <c r="D88" s="130"/>
      <c r="F88" s="119" t="s">
        <v>288</v>
      </c>
    </row>
    <row r="89" spans="2:7">
      <c r="B89" s="130" t="s">
        <v>289</v>
      </c>
      <c r="D89" s="130">
        <f>+D87</f>
        <v>50000000</v>
      </c>
    </row>
    <row r="91" spans="2:7">
      <c r="F91" s="119" t="s">
        <v>290</v>
      </c>
    </row>
    <row r="93" spans="2:7">
      <c r="F93" s="119" t="s">
        <v>291</v>
      </c>
    </row>
    <row r="94" spans="2:7">
      <c r="B94" s="141"/>
    </row>
    <row r="95" spans="2:7">
      <c r="B95" s="142">
        <v>135515</v>
      </c>
      <c r="D95" s="130">
        <v>10000000</v>
      </c>
    </row>
    <row r="96" spans="2:7">
      <c r="B96" s="142"/>
    </row>
    <row r="97" spans="2:7">
      <c r="B97" s="142" t="s">
        <v>292</v>
      </c>
      <c r="C97" s="130">
        <v>10000000</v>
      </c>
    </row>
    <row r="98" spans="2:7">
      <c r="B98" s="141"/>
    </row>
    <row r="107" spans="2:7">
      <c r="F107" s="119" t="s">
        <v>293</v>
      </c>
      <c r="G107" s="130" t="s">
        <v>294</v>
      </c>
    </row>
    <row r="108" spans="2:7">
      <c r="F108" s="130">
        <v>50000</v>
      </c>
    </row>
    <row r="109" spans="2:7">
      <c r="F109" s="130"/>
      <c r="G109" s="130">
        <v>50000</v>
      </c>
    </row>
    <row r="113" spans="6:7">
      <c r="F113" s="119" t="s">
        <v>293</v>
      </c>
      <c r="G113" s="130" t="s">
        <v>294</v>
      </c>
    </row>
    <row r="114" spans="6:7">
      <c r="F114" s="135">
        <v>100000</v>
      </c>
      <c r="G114" s="135"/>
    </row>
    <row r="115" spans="6:7">
      <c r="F115" s="135"/>
      <c r="G115" s="135">
        <v>100000</v>
      </c>
    </row>
    <row r="116" spans="6:7">
      <c r="F116" s="140"/>
      <c r="G116" s="135"/>
    </row>
    <row r="129" spans="3:9">
      <c r="D129" s="130"/>
      <c r="F129" s="130"/>
      <c r="H129" s="130"/>
      <c r="I129" s="130"/>
    </row>
    <row r="130" spans="3:9">
      <c r="D130" s="130"/>
      <c r="F130" s="130"/>
      <c r="G130" s="130" t="s">
        <v>295</v>
      </c>
      <c r="H130" s="130"/>
      <c r="I130" s="130"/>
    </row>
    <row r="131" spans="3:9">
      <c r="D131" s="130"/>
      <c r="F131" s="130"/>
      <c r="G131" s="130">
        <f>+D132*20%</f>
        <v>200000</v>
      </c>
      <c r="H131" s="130"/>
      <c r="I131" s="130"/>
    </row>
    <row r="132" spans="3:9">
      <c r="D132" s="130">
        <v>1000000</v>
      </c>
      <c r="F132" s="130"/>
      <c r="G132" s="130">
        <f>+G131*19%</f>
        <v>38000</v>
      </c>
      <c r="H132" s="130"/>
      <c r="I132" s="130"/>
    </row>
    <row r="133" spans="3:9">
      <c r="D133" s="130">
        <f>+D132*19%</f>
        <v>190000</v>
      </c>
      <c r="F133" s="130"/>
      <c r="H133" s="130"/>
      <c r="I133" s="130"/>
    </row>
    <row r="134" spans="3:9">
      <c r="D134" s="130"/>
      <c r="F134" s="130"/>
      <c r="H134" s="130"/>
      <c r="I134" s="130"/>
    </row>
    <row r="135" spans="3:9">
      <c r="D135" s="130"/>
      <c r="E135" s="130" t="s">
        <v>296</v>
      </c>
      <c r="F135" s="130"/>
      <c r="H135" s="130"/>
      <c r="I135" s="130"/>
    </row>
    <row r="136" spans="3:9">
      <c r="C136" s="130" t="s">
        <v>297</v>
      </c>
      <c r="D136" s="130"/>
      <c r="E136" s="130" t="s">
        <v>298</v>
      </c>
      <c r="F136" s="130"/>
      <c r="H136" s="130" t="s">
        <v>299</v>
      </c>
      <c r="I136" s="130"/>
    </row>
    <row r="137" spans="3:9">
      <c r="D137" s="130"/>
      <c r="F137" s="130"/>
      <c r="H137" s="130"/>
      <c r="I137" s="130"/>
    </row>
    <row r="138" spans="3:9">
      <c r="D138" s="130"/>
      <c r="F138" s="130"/>
      <c r="H138" s="130"/>
      <c r="I138" s="130"/>
    </row>
    <row r="139" spans="3:9">
      <c r="D139" s="130">
        <v>800000</v>
      </c>
      <c r="F139" s="130"/>
      <c r="G139" s="130">
        <v>1000000</v>
      </c>
      <c r="H139" s="130" t="s">
        <v>300</v>
      </c>
      <c r="I139" s="130"/>
    </row>
    <row r="140" spans="3:9">
      <c r="D140" s="130">
        <f>+D139*19%</f>
        <v>152000</v>
      </c>
      <c r="F140" s="130"/>
      <c r="G140" s="130">
        <f>+G139*19%</f>
        <v>190000</v>
      </c>
      <c r="H140" s="130" t="s">
        <v>301</v>
      </c>
      <c r="I140" s="130"/>
    </row>
    <row r="141" spans="3:9">
      <c r="D141" s="130"/>
      <c r="F141" s="130"/>
      <c r="H141" s="130"/>
      <c r="I141" s="130"/>
    </row>
    <row r="142" spans="3:9">
      <c r="D142" s="130"/>
      <c r="F142" s="130"/>
      <c r="H142" s="130"/>
      <c r="I142" s="130"/>
    </row>
    <row r="143" spans="3:9">
      <c r="D143" s="130" t="s">
        <v>302</v>
      </c>
      <c r="F143" s="130" t="s">
        <v>260</v>
      </c>
      <c r="H143" s="130"/>
      <c r="I143" s="130"/>
    </row>
    <row r="144" spans="3:9">
      <c r="D144" s="130">
        <f>+G140-D140</f>
        <v>38000</v>
      </c>
      <c r="F144" s="130">
        <f>+G139-D139</f>
        <v>200000</v>
      </c>
      <c r="G144" s="130">
        <f>+F144*31%</f>
        <v>62000</v>
      </c>
      <c r="H144" s="130"/>
      <c r="I144" s="130"/>
    </row>
    <row r="145" spans="4:9">
      <c r="D145" s="130"/>
      <c r="F145" s="130"/>
      <c r="H145" s="130"/>
      <c r="I145" s="130"/>
    </row>
    <row r="146" spans="4:9">
      <c r="D146" s="130"/>
      <c r="F146" s="130"/>
      <c r="H146" s="130"/>
      <c r="I146" s="130" t="s">
        <v>303</v>
      </c>
    </row>
    <row r="147" spans="4:9">
      <c r="D147" s="130"/>
      <c r="F147" s="130"/>
      <c r="H147" s="130"/>
      <c r="I147" s="130" t="s">
        <v>304</v>
      </c>
    </row>
    <row r="148" spans="4:9">
      <c r="D148" s="130">
        <f>+D144</f>
        <v>38000</v>
      </c>
      <c r="F148" s="130">
        <f>+G131</f>
        <v>200000</v>
      </c>
      <c r="G148" s="130">
        <f>+F148*31%</f>
        <v>62000</v>
      </c>
      <c r="H148" s="130"/>
      <c r="I148" s="130"/>
    </row>
    <row r="149" spans="4:9">
      <c r="D149" s="130"/>
      <c r="F149" s="130"/>
      <c r="H149" s="130"/>
      <c r="I149" s="130"/>
    </row>
    <row r="150" spans="4:9">
      <c r="D150" s="130"/>
      <c r="F150" s="130"/>
      <c r="H150" s="130"/>
      <c r="I150" s="130"/>
    </row>
    <row r="158" spans="4:9">
      <c r="D158" s="130" t="s">
        <v>305</v>
      </c>
      <c r="E158" s="130">
        <v>1000000</v>
      </c>
      <c r="F158" s="130"/>
      <c r="H158" s="130"/>
      <c r="I158" s="130"/>
    </row>
    <row r="159" spans="4:9">
      <c r="D159" s="130" t="s">
        <v>306</v>
      </c>
      <c r="E159" s="130">
        <f>+E158*5%</f>
        <v>50000</v>
      </c>
      <c r="F159" s="130"/>
      <c r="H159" s="130"/>
      <c r="I159" s="130"/>
    </row>
    <row r="160" spans="4:9">
      <c r="D160" s="130" t="s">
        <v>307</v>
      </c>
      <c r="E160" s="130">
        <f>+E159</f>
        <v>50000</v>
      </c>
      <c r="F160" s="130"/>
      <c r="H160" s="130"/>
      <c r="I160" s="130"/>
    </row>
    <row r="161" spans="4:9">
      <c r="D161" s="130" t="s">
        <v>308</v>
      </c>
      <c r="E161" s="130">
        <f>+E160</f>
        <v>50000</v>
      </c>
      <c r="F161" s="130"/>
      <c r="H161" s="130"/>
      <c r="I161" s="130"/>
    </row>
    <row r="162" spans="4:9">
      <c r="D162" s="130"/>
      <c r="F162" s="130"/>
      <c r="H162" s="130"/>
      <c r="I162" s="130"/>
    </row>
    <row r="163" spans="4:9">
      <c r="D163" s="135" t="s">
        <v>302</v>
      </c>
      <c r="E163" s="135">
        <f>+E160*19%</f>
        <v>9500</v>
      </c>
      <c r="F163" s="130"/>
      <c r="H163" s="130"/>
      <c r="I163" s="130"/>
    </row>
    <row r="164" spans="4:9">
      <c r="D164" s="130"/>
      <c r="F164" s="130"/>
      <c r="H164" s="130"/>
      <c r="I164" s="130"/>
    </row>
    <row r="165" spans="4:9">
      <c r="D165" s="130"/>
      <c r="F165" s="130"/>
      <c r="H165" s="130"/>
      <c r="I165" s="130"/>
    </row>
    <row r="166" spans="4:9">
      <c r="D166" s="130"/>
      <c r="F166" s="130"/>
      <c r="H166" s="130"/>
      <c r="I166" s="130"/>
    </row>
    <row r="167" spans="4:9">
      <c r="D167" s="130"/>
      <c r="F167" s="130"/>
      <c r="H167" s="130"/>
      <c r="I167" s="130"/>
    </row>
    <row r="168" spans="4:9">
      <c r="F168" s="130"/>
      <c r="H168" s="130"/>
      <c r="I168" s="130"/>
    </row>
    <row r="169" spans="4:9">
      <c r="D169" s="130" t="s">
        <v>309</v>
      </c>
      <c r="E169" s="130">
        <v>300</v>
      </c>
      <c r="F169" s="130"/>
      <c r="H169" s="130"/>
      <c r="I169" s="130"/>
    </row>
    <row r="170" spans="4:9">
      <c r="D170" s="130"/>
      <c r="F170" s="130"/>
      <c r="H170" s="130"/>
      <c r="I170" s="130"/>
    </row>
    <row r="171" spans="4:9">
      <c r="D171" s="130" t="s">
        <v>310</v>
      </c>
      <c r="E171" s="130">
        <v>300</v>
      </c>
      <c r="F171" s="130"/>
      <c r="H171" s="130"/>
      <c r="I171" s="130"/>
    </row>
    <row r="172" spans="4:9">
      <c r="D172" s="130"/>
      <c r="F172" s="130"/>
      <c r="H172" s="130"/>
      <c r="I172" s="130"/>
    </row>
    <row r="173" spans="4:9">
      <c r="D173" s="130"/>
      <c r="F173" s="130"/>
      <c r="H173" s="130"/>
      <c r="I173" s="130"/>
    </row>
    <row r="174" spans="4:9">
      <c r="D174" s="130"/>
      <c r="F174" s="130"/>
      <c r="H174" s="130"/>
      <c r="I174" s="130"/>
    </row>
    <row r="175" spans="4:9">
      <c r="D175" s="130"/>
      <c r="F175" s="130"/>
      <c r="H175" s="130"/>
      <c r="I175" s="130"/>
    </row>
    <row r="176" spans="4:9">
      <c r="D176" s="119">
        <v>300</v>
      </c>
    </row>
    <row r="177" spans="4:5">
      <c r="D177" s="119" t="s">
        <v>311</v>
      </c>
      <c r="E177" s="130">
        <v>300000</v>
      </c>
    </row>
    <row r="180" spans="4:5">
      <c r="D180" s="140" t="s">
        <v>312</v>
      </c>
    </row>
    <row r="181" spans="4:5">
      <c r="D181" s="140" t="s">
        <v>313</v>
      </c>
      <c r="E181" s="130" t="s">
        <v>314</v>
      </c>
    </row>
    <row r="182" spans="4:5">
      <c r="D182" s="140" t="s">
        <v>315</v>
      </c>
    </row>
    <row r="193" spans="4:5">
      <c r="D193" s="119" t="s">
        <v>316</v>
      </c>
      <c r="E193" s="130">
        <f>+E177*19%</f>
        <v>57000</v>
      </c>
    </row>
  </sheetData>
  <mergeCells count="3">
    <mergeCell ref="B10:D10"/>
    <mergeCell ref="B16:C16"/>
    <mergeCell ref="F64:H64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3745-33DF-4C10-85CD-556FD237BC75}">
  <dimension ref="A2:F23"/>
  <sheetViews>
    <sheetView workbookViewId="0">
      <selection sqref="A1:IV6"/>
    </sheetView>
  </sheetViews>
  <sheetFormatPr baseColWidth="10" defaultRowHeight="15"/>
  <cols>
    <col min="1" max="1" width="22.140625" customWidth="1"/>
    <col min="2" max="2" width="17.140625" customWidth="1"/>
    <col min="3" max="3" width="14.140625" customWidth="1"/>
    <col min="4" max="4" width="17.28515625" customWidth="1"/>
    <col min="5" max="5" width="15" customWidth="1"/>
    <col min="6" max="6" width="12.42578125" customWidth="1"/>
  </cols>
  <sheetData>
    <row r="2" spans="1:6" ht="18.75">
      <c r="A2" s="164" t="str">
        <f>[1]Hoja1!A19</f>
        <v>10.Propiedades,planta y equipo</v>
      </c>
      <c r="B2" s="164"/>
      <c r="C2" s="164"/>
      <c r="D2" s="164"/>
      <c r="E2" s="164"/>
      <c r="F2" s="164"/>
    </row>
    <row r="3" spans="1:6" ht="18.75">
      <c r="A3" s="48"/>
    </row>
    <row r="4" spans="1:6">
      <c r="A4" s="165" t="str">
        <f>[1]Hoja1!A21</f>
        <v>El movimiento de las propiedades,planta y equipo para el año 2016 es el siguiente:</v>
      </c>
      <c r="B4" s="165"/>
      <c r="C4" s="165"/>
      <c r="D4" s="165"/>
      <c r="E4" s="165"/>
      <c r="F4" s="165"/>
    </row>
    <row r="6" spans="1:6">
      <c r="A6" s="166" t="str">
        <f>[1]Hoja1!A23</f>
        <v>COSTO BRUTO</v>
      </c>
      <c r="B6" s="167"/>
      <c r="C6" s="167"/>
      <c r="D6" s="167"/>
      <c r="E6" s="167"/>
      <c r="F6" s="168"/>
    </row>
    <row r="7" spans="1:6" ht="31.5" customHeight="1">
      <c r="A7" s="49"/>
      <c r="B7" s="50" t="str">
        <f>[1]Hoja1!D24</f>
        <v>Maquinaria y equipo</v>
      </c>
      <c r="C7" s="51" t="str">
        <f>[1]Hoja1!E24</f>
        <v xml:space="preserve">Flota y equipo
 de transporte </v>
      </c>
      <c r="D7" s="51" t="str">
        <f>[1]Hoja1!F24</f>
        <v xml:space="preserve">Equipos de computo
y comunicacion </v>
      </c>
      <c r="E7" s="50" t="str">
        <f>[1]Hoja1!G24</f>
        <v xml:space="preserve">Equipos de oficina </v>
      </c>
      <c r="F7" s="50" t="str">
        <f>[1]Hoja1!H24</f>
        <v>Total</v>
      </c>
    </row>
    <row r="8" spans="1:6">
      <c r="A8" s="52" t="str">
        <f>[1]Hoja1!A25</f>
        <v>Saldo 1/1/2016</v>
      </c>
      <c r="B8" s="53">
        <f>[1]Hoja1!D25</f>
        <v>249500902</v>
      </c>
      <c r="C8" s="53">
        <f>[1]Hoja1!E25</f>
        <v>150026391</v>
      </c>
      <c r="D8" s="53">
        <f>[1]Hoja1!F25</f>
        <v>146699646</v>
      </c>
      <c r="E8" s="53">
        <f>[1]Hoja1!G25</f>
        <v>4943034</v>
      </c>
      <c r="F8" s="53">
        <f>[1]Hoja1!H25</f>
        <v>551169973</v>
      </c>
    </row>
    <row r="9" spans="1:6">
      <c r="A9" s="52" t="str">
        <f>[1]Hoja1!A26</f>
        <v>Traslado</v>
      </c>
      <c r="B9" s="53">
        <f>[1]Hoja1!D26</f>
        <v>769215362</v>
      </c>
      <c r="C9" s="53">
        <f>[1]Hoja1!E26</f>
        <v>411973609</v>
      </c>
      <c r="D9" s="53">
        <f>[1]Hoja1!F26</f>
        <v>0</v>
      </c>
      <c r="E9" s="53">
        <f>[1]Hoja1!G26</f>
        <v>499366</v>
      </c>
      <c r="F9" s="53">
        <f>[1]Hoja1!H26</f>
        <v>1181688337</v>
      </c>
    </row>
    <row r="10" spans="1:6">
      <c r="A10" s="52" t="str">
        <f>[1]Hoja1!A27</f>
        <v>Compras</v>
      </c>
      <c r="B10" s="53">
        <f>[1]Hoja1!D27</f>
        <v>9000000</v>
      </c>
      <c r="C10" s="53">
        <f>[1]Hoja1!E27</f>
        <v>0</v>
      </c>
      <c r="D10" s="53">
        <f>[1]Hoja1!F27</f>
        <v>2400000</v>
      </c>
      <c r="E10" s="53">
        <f>[1]Hoja1!G27</f>
        <v>0</v>
      </c>
      <c r="F10" s="53">
        <f>[1]Hoja1!H27</f>
        <v>11400000</v>
      </c>
    </row>
    <row r="11" spans="1:6">
      <c r="A11" s="52" t="str">
        <f>[1]Hoja1!A28</f>
        <v xml:space="preserve">Retiros </v>
      </c>
      <c r="B11" s="53">
        <f>[1]Hoja1!D28</f>
        <v>0</v>
      </c>
      <c r="C11" s="53">
        <f>[1]Hoja1!E28</f>
        <v>0</v>
      </c>
      <c r="D11" s="53">
        <f>[1]Hoja1!F28</f>
        <v>-22915561</v>
      </c>
      <c r="E11" s="53">
        <f>[1]Hoja1!G28</f>
        <v>0</v>
      </c>
      <c r="F11" s="53">
        <f>[1]Hoja1!H28</f>
        <v>-22915561</v>
      </c>
    </row>
    <row r="12" spans="1:6" ht="15.75" thickBot="1">
      <c r="A12" s="49" t="str">
        <f>[1]Hoja1!A29</f>
        <v>Saldo final 31/12/2016</v>
      </c>
      <c r="B12" s="54">
        <f>[1]Hoja1!D29</f>
        <v>1027716264</v>
      </c>
      <c r="C12" s="55">
        <f>[1]Hoja1!E29</f>
        <v>562000000</v>
      </c>
      <c r="D12" s="55">
        <f>[1]Hoja1!F29</f>
        <v>126184085</v>
      </c>
      <c r="E12" s="55">
        <f>[1]Hoja1!G29</f>
        <v>5442400</v>
      </c>
      <c r="F12" s="55">
        <f>[1]Hoja1!H29</f>
        <v>1721342749</v>
      </c>
    </row>
    <row r="13" spans="1:6" ht="15.75" thickTop="1">
      <c r="A13" s="56"/>
      <c r="B13" s="56"/>
      <c r="C13" s="56"/>
      <c r="D13" s="56"/>
      <c r="E13" s="56"/>
      <c r="F13" s="56"/>
    </row>
    <row r="14" spans="1:6">
      <c r="A14" s="166" t="str">
        <f>[1]Hoja1!A31</f>
        <v>DEPRECIACION ACUMULADA</v>
      </c>
      <c r="B14" s="167"/>
      <c r="C14" s="167"/>
      <c r="D14" s="167"/>
      <c r="E14" s="167"/>
      <c r="F14" s="168"/>
    </row>
    <row r="15" spans="1:6" ht="45" customHeight="1">
      <c r="A15" s="49"/>
      <c r="B15" s="50" t="str">
        <f>[1]Hoja1!D32</f>
        <v>Maquinaria y equipo</v>
      </c>
      <c r="C15" s="51" t="str">
        <f>[1]Hoja1!E32</f>
        <v xml:space="preserve">Flota y equipo
 de transporte </v>
      </c>
      <c r="D15" s="51" t="str">
        <f>[1]Hoja1!F32</f>
        <v xml:space="preserve">Equipos de computo
y comunicacion </v>
      </c>
      <c r="E15" s="50" t="str">
        <f>[1]Hoja1!G32</f>
        <v xml:space="preserve">Equipos de oficina </v>
      </c>
      <c r="F15" s="50" t="str">
        <f>[1]Hoja1!H32</f>
        <v>Total</v>
      </c>
    </row>
    <row r="16" spans="1:6">
      <c r="A16" s="52" t="str">
        <f>[1]Hoja1!A33</f>
        <v>Saldo 1/1/2016</v>
      </c>
      <c r="B16" s="53">
        <f>[1]Hoja1!D33</f>
        <v>86226620</v>
      </c>
      <c r="C16" s="53">
        <f>[1]Hoja1!E33</f>
        <v>130993937</v>
      </c>
      <c r="D16" s="53">
        <f>[1]Hoja1!F33</f>
        <v>56312683</v>
      </c>
      <c r="E16" s="53">
        <f>[1]Hoja1!G33</f>
        <v>2225147</v>
      </c>
      <c r="F16" s="53">
        <f>[1]Hoja1!H33</f>
        <v>275758387</v>
      </c>
    </row>
    <row r="17" spans="1:6">
      <c r="A17" s="52" t="str">
        <f>[1]Hoja1!A34</f>
        <v>Traslado</v>
      </c>
      <c r="B17" s="53">
        <f>[1]Hoja1!D34</f>
        <v>318056390</v>
      </c>
      <c r="C17" s="53">
        <f>[1]Hoja1!E34</f>
        <v>218966063</v>
      </c>
      <c r="D17" s="53">
        <f>[1]Hoja1!F34</f>
        <v>0</v>
      </c>
      <c r="E17" s="53">
        <f>[1]Hoja1!G34</f>
        <v>0</v>
      </c>
      <c r="F17" s="53">
        <f>[1]Hoja1!H34</f>
        <v>537022453</v>
      </c>
    </row>
    <row r="18" spans="1:6">
      <c r="A18" s="52" t="str">
        <f>[1]Hoja1!A35</f>
        <v>Depreciacion del año</v>
      </c>
      <c r="B18" s="53">
        <f>[1]Hoja1!D35</f>
        <v>17757561</v>
      </c>
      <c r="C18" s="53">
        <f>[1]Hoja1!E35</f>
        <v>7467546</v>
      </c>
      <c r="D18" s="53">
        <f>[1]Hoja1!F35</f>
        <v>4170136</v>
      </c>
      <c r="E18" s="53">
        <f>[1]Hoja1!G35</f>
        <v>108158</v>
      </c>
      <c r="F18" s="53">
        <f>[1]Hoja1!H35</f>
        <v>29503401</v>
      </c>
    </row>
    <row r="19" spans="1:6">
      <c r="A19" s="52" t="str">
        <f>[1]Hoja1!A36</f>
        <v xml:space="preserve">Retiros </v>
      </c>
      <c r="B19" s="53">
        <f>[1]Hoja1!D36</f>
        <v>0</v>
      </c>
      <c r="C19" s="53">
        <f>[1]Hoja1!E36</f>
        <v>0</v>
      </c>
      <c r="D19" s="53">
        <f>[1]Hoja1!F36</f>
        <v>-8237422</v>
      </c>
      <c r="E19" s="53">
        <f>[1]Hoja1!G36</f>
        <v>-650912</v>
      </c>
      <c r="F19" s="53">
        <f>[1]Hoja1!H36</f>
        <v>-8888334</v>
      </c>
    </row>
    <row r="20" spans="1:6" ht="15.75" thickBot="1">
      <c r="A20" s="49" t="str">
        <f>[1]Hoja1!A37</f>
        <v>Saldo final 31/12/2016</v>
      </c>
      <c r="B20" s="54">
        <f>[1]Hoja1!D37</f>
        <v>422040571</v>
      </c>
      <c r="C20" s="55">
        <f>[1]Hoja1!E37</f>
        <v>357427546</v>
      </c>
      <c r="D20" s="55">
        <f>[1]Hoja1!F37</f>
        <v>52245397</v>
      </c>
      <c r="E20" s="55">
        <f>[1]Hoja1!G37</f>
        <v>1682393</v>
      </c>
      <c r="F20" s="55">
        <f>[1]Hoja1!H37</f>
        <v>833395907</v>
      </c>
    </row>
    <row r="21" spans="1:6" ht="15.75" thickTop="1">
      <c r="A21" s="56"/>
      <c r="B21" s="56"/>
      <c r="C21" s="56"/>
      <c r="D21" s="56"/>
      <c r="E21" s="56"/>
      <c r="F21" s="56"/>
    </row>
    <row r="22" spans="1:6">
      <c r="A22" s="57" t="str">
        <f>[1]Hoja1!A39</f>
        <v>Valor en libros 31/12/2016</v>
      </c>
      <c r="B22" s="58">
        <f>[1]Hoja1!D39</f>
        <v>605675693</v>
      </c>
      <c r="C22" s="58">
        <f>[1]Hoja1!E39</f>
        <v>204572454</v>
      </c>
      <c r="D22" s="58">
        <f>[1]Hoja1!F39</f>
        <v>73938688</v>
      </c>
      <c r="E22" s="58">
        <f>[1]Hoja1!G39</f>
        <v>3760007</v>
      </c>
      <c r="F22" s="59">
        <f>[1]Hoja1!H39</f>
        <v>887946842</v>
      </c>
    </row>
    <row r="23" spans="1:6">
      <c r="B23" s="60"/>
      <c r="D23" s="61"/>
      <c r="F23" s="61"/>
    </row>
  </sheetData>
  <mergeCells count="4">
    <mergeCell ref="A2:F2"/>
    <mergeCell ref="A4:F4"/>
    <mergeCell ref="A6:F6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Hoja1</vt:lpstr>
      <vt:lpstr>ECPCA</vt:lpstr>
      <vt:lpstr>HNM - FINANCIEROS</vt:lpstr>
      <vt:lpstr>HNM - ANEXO IF</vt:lpstr>
      <vt:lpstr>Hoja4</vt:lpstr>
      <vt:lpstr>VNR INVENTARIO </vt:lpstr>
      <vt:lpstr>VNR - INVENTARIO</vt:lpstr>
      <vt:lpstr>ppe</vt:lpstr>
      <vt:lpstr>ECPCA!Área_de_impresión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Jeffrey Alexander Agudelo Espitia</cp:lastModifiedBy>
  <cp:lastPrinted>2022-04-06T14:52:10Z</cp:lastPrinted>
  <dcterms:created xsi:type="dcterms:W3CDTF">2014-04-10T14:20:13Z</dcterms:created>
  <dcterms:modified xsi:type="dcterms:W3CDTF">2026-06-05T18:03:02Z</dcterms:modified>
</cp:coreProperties>
</file>