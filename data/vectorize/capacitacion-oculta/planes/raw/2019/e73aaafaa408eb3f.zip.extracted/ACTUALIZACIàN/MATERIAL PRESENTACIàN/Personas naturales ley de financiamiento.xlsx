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drawings/drawing2.xml" ContentType="application/vnd.openxmlformats-officedocument.drawing+xml"/>
  <Override PartName="/xl/drawings/drawing15.xml" ContentType="application/vnd.openxmlformats-officedocument.drawing+xml"/>
  <Override PartName="/xl/worksheets/sheet3.xml" ContentType="application/vnd.openxmlformats-officedocument.spreadsheetml.worksheet+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externalLinks/externalLink23.xml" ContentType="application/vnd.openxmlformats-officedocument.spreadsheetml.externalLink+xml"/>
  <Override PartName="/xl/drawings/drawing13.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drawings/drawing11.xml" ContentType="application/vnd.openxmlformats-officedocument.drawing+xml"/>
  <Override PartName="/xl/drawings/drawing1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2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externalLinks/externalLink10.xml" ContentType="application/vnd.openxmlformats-officedocument.spreadsheetml.externalLink+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externalLinks/externalLink6.xml" ContentType="application/vnd.openxmlformats-officedocument.spreadsheetml.externalLink+xml"/>
  <Override PartName="/xl/externalLinks/externalLink17.xml" ContentType="application/vnd.openxmlformats-officedocument.spreadsheetml.externalLink+xml"/>
  <Default Extension="jpeg" ContentType="image/jpeg"/>
  <Override PartName="/xl/drawings/drawing5.xml" ContentType="application/vnd.openxmlformats-officedocument.drawing+xml"/>
  <Default Extension="emf" ContentType="image/x-emf"/>
  <Override PartName="/xl/drawings/drawing18.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externalLinks/externalLink2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heckCompatibility="1" defaultThemeVersion="124226"/>
  <bookViews>
    <workbookView xWindow="390" yWindow="120" windowWidth="14625" windowHeight="8730" firstSheet="1" activeTab="4"/>
  </bookViews>
  <sheets>
    <sheet name="TARIFA ORDINARIO" sheetId="82" state="hidden" r:id="rId1"/>
    <sheet name="RESUMEN NATURALES" sheetId="60" r:id="rId2"/>
    <sheet name="REALIZACIÓN CESANTÍAS" sheetId="58" r:id="rId3"/>
    <sheet name="APORTES PENSIÓN" sheetId="65" r:id="rId4"/>
    <sheet name="RTAS EXENTAS ART. 206" sheetId="66" r:id="rId5"/>
    <sheet name="PRIMA COSTO DE VIDA" sheetId="78" r:id="rId6"/>
    <sheet name="TARIFA CG" sheetId="67" r:id="rId7"/>
    <sheet name="Num 1 241 E.T." sheetId="68" r:id="rId8"/>
    <sheet name="Num 2 241 E.T." sheetId="69" r:id="rId9"/>
    <sheet name="TARIFA DIVIDENDOS" sheetId="70" r:id="rId10"/>
    <sheet name="TRANSITORIO DIVIDENDOS" sheetId="79" r:id="rId11"/>
    <sheet name="SEGUROS DE VIDA" sheetId="71" r:id="rId12"/>
    <sheet name="RENTA CEDULAR" sheetId="72" r:id="rId13"/>
    <sheet name="RENTA LÍQUIDA" sheetId="73" r:id="rId14"/>
    <sheet name="RENTA PRESUNTIVA" sheetId="74" r:id="rId15"/>
    <sheet name="CÉDULA GENERAL" sheetId="75" r:id="rId16"/>
    <sheet name="DEFINICIONES" sheetId="80" r:id="rId17"/>
    <sheet name="RETENCIÓN SALARIOS" sheetId="76" r:id="rId18"/>
    <sheet name="TABLAS RETENCIÓN" sheetId="77" r:id="rId19"/>
    <sheet name="IMPTO PRESUNT." sheetId="81"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Año" localSheetId="3">#REF!</definedName>
    <definedName name="_Año" localSheetId="15">#REF!</definedName>
    <definedName name="_Año" localSheetId="16">#REF!</definedName>
    <definedName name="_Año" localSheetId="7">#REF!</definedName>
    <definedName name="_Año" localSheetId="8">#REF!</definedName>
    <definedName name="_Año" localSheetId="5">#REF!</definedName>
    <definedName name="_Año" localSheetId="2">#REF!</definedName>
    <definedName name="_Año" localSheetId="12">#REF!</definedName>
    <definedName name="_Año" localSheetId="13">#REF!</definedName>
    <definedName name="_Año" localSheetId="14">#REF!</definedName>
    <definedName name="_Año" localSheetId="1">#REF!</definedName>
    <definedName name="_Año" localSheetId="17">#REF!</definedName>
    <definedName name="_Año" localSheetId="4">#REF!</definedName>
    <definedName name="_Año" localSheetId="11">#REF!</definedName>
    <definedName name="_Año" localSheetId="6">#REF!</definedName>
    <definedName name="_Año" localSheetId="9">#REF!</definedName>
    <definedName name="_Año" localSheetId="0">#REF!</definedName>
    <definedName name="_Año" localSheetId="10">#REF!</definedName>
    <definedName name="_Año">#REF!</definedName>
    <definedName name="_DAT1" localSheetId="19">[1]EFINAN!$A$2:$A$2199</definedName>
    <definedName name="_DAT1">[2]EFINAN!$A$2:$A$2199</definedName>
    <definedName name="_DAT2" localSheetId="19">[1]EFINAN!$B$2:$B$2199</definedName>
    <definedName name="_DAT2">[2]EFINAN!$B$2:$B$2199</definedName>
    <definedName name="_DAT3" localSheetId="19">[1]EFINAN!$C$2:$C$2199</definedName>
    <definedName name="_DAT3">[2]EFINAN!$C$2:$C$2199</definedName>
    <definedName name="_Fill" localSheetId="15" hidden="1">#REF!</definedName>
    <definedName name="_Fill" localSheetId="16" hidden="1">#REF!</definedName>
    <definedName name="_Fill" localSheetId="7" hidden="1">#REF!</definedName>
    <definedName name="_Fill" localSheetId="8" hidden="1">#REF!</definedName>
    <definedName name="_Fill" localSheetId="5" hidden="1">#REF!</definedName>
    <definedName name="_Fill" localSheetId="12" hidden="1">#REF!</definedName>
    <definedName name="_Fill" localSheetId="13" hidden="1">#REF!</definedName>
    <definedName name="_Fill" localSheetId="14" hidden="1">#REF!</definedName>
    <definedName name="_Fill" localSheetId="17" hidden="1">#REF!</definedName>
    <definedName name="_Fill" localSheetId="11" hidden="1">#REF!</definedName>
    <definedName name="_Fill" localSheetId="9" hidden="1">#REF!</definedName>
    <definedName name="_Fill" localSheetId="0" hidden="1">#REF!</definedName>
    <definedName name="_Fill" localSheetId="10" hidden="1">#REF!</definedName>
    <definedName name="_Fill" hidden="1">#REF!</definedName>
    <definedName name="_Key1" localSheetId="15" hidden="1">#REF!</definedName>
    <definedName name="_Key1" localSheetId="16" hidden="1">#REF!</definedName>
    <definedName name="_Key1" localSheetId="7" hidden="1">#REF!</definedName>
    <definedName name="_Key1" localSheetId="8" hidden="1">#REF!</definedName>
    <definedName name="_Key1" localSheetId="5" hidden="1">#REF!</definedName>
    <definedName name="_Key1" localSheetId="12" hidden="1">#REF!</definedName>
    <definedName name="_Key1" localSheetId="13" hidden="1">#REF!</definedName>
    <definedName name="_Key1" localSheetId="14" hidden="1">#REF!</definedName>
    <definedName name="_Key1" localSheetId="17" hidden="1">#REF!</definedName>
    <definedName name="_Key1" localSheetId="11" hidden="1">#REF!</definedName>
    <definedName name="_Key1" localSheetId="9" hidden="1">#REF!</definedName>
    <definedName name="_Key1" localSheetId="0" hidden="1">#REF!</definedName>
    <definedName name="_Key1" localSheetId="10" hidden="1">#REF!</definedName>
    <definedName name="_Key1" hidden="1">#REF!</definedName>
    <definedName name="_Key2" localSheetId="15" hidden="1">#REF!</definedName>
    <definedName name="_Key2" localSheetId="16" hidden="1">#REF!</definedName>
    <definedName name="_Key2" localSheetId="7" hidden="1">#REF!</definedName>
    <definedName name="_Key2" localSheetId="8" hidden="1">#REF!</definedName>
    <definedName name="_Key2" localSheetId="5" hidden="1">#REF!</definedName>
    <definedName name="_Key2" localSheetId="12" hidden="1">#REF!</definedName>
    <definedName name="_Key2" localSheetId="13" hidden="1">#REF!</definedName>
    <definedName name="_Key2" localSheetId="14" hidden="1">#REF!</definedName>
    <definedName name="_Key2" localSheetId="17" hidden="1">#REF!</definedName>
    <definedName name="_Key2" localSheetId="11" hidden="1">#REF!</definedName>
    <definedName name="_Key2" localSheetId="9" hidden="1">#REF!</definedName>
    <definedName name="_Key2" localSheetId="0" hidden="1">#REF!</definedName>
    <definedName name="_Key2" localSheetId="10" hidden="1">#REF!</definedName>
    <definedName name="_Key2" hidden="1">#REF!</definedName>
    <definedName name="_Order1" hidden="1">255</definedName>
    <definedName name="_Order2" hidden="1">255</definedName>
    <definedName name="_Parse_Out" localSheetId="15" hidden="1">#REF!</definedName>
    <definedName name="_Parse_Out" localSheetId="16" hidden="1">#REF!</definedName>
    <definedName name="_Parse_Out" localSheetId="7" hidden="1">#REF!</definedName>
    <definedName name="_Parse_Out" localSheetId="8" hidden="1">#REF!</definedName>
    <definedName name="_Parse_Out" localSheetId="5" hidden="1">#REF!</definedName>
    <definedName name="_Parse_Out" localSheetId="12" hidden="1">#REF!</definedName>
    <definedName name="_Parse_Out" localSheetId="13" hidden="1">#REF!</definedName>
    <definedName name="_Parse_Out" localSheetId="14" hidden="1">#REF!</definedName>
    <definedName name="_Parse_Out" localSheetId="17" hidden="1">#REF!</definedName>
    <definedName name="_Parse_Out" localSheetId="11" hidden="1">#REF!</definedName>
    <definedName name="_Parse_Out" localSheetId="9" hidden="1">#REF!</definedName>
    <definedName name="_Parse_Out" localSheetId="0" hidden="1">#REF!</definedName>
    <definedName name="_Parse_Out" localSheetId="10" hidden="1">#REF!</definedName>
    <definedName name="_Parse_Out" hidden="1">#REF!</definedName>
    <definedName name="_Regression_Int" hidden="1">1</definedName>
    <definedName name="_Sort" localSheetId="15" hidden="1">#REF!</definedName>
    <definedName name="_Sort" localSheetId="16" hidden="1">#REF!</definedName>
    <definedName name="_Sort" localSheetId="7" hidden="1">#REF!</definedName>
    <definedName name="_Sort" localSheetId="8" hidden="1">#REF!</definedName>
    <definedName name="_Sort" localSheetId="5" hidden="1">#REF!</definedName>
    <definedName name="_Sort" localSheetId="12" hidden="1">#REF!</definedName>
    <definedName name="_Sort" localSheetId="13" hidden="1">#REF!</definedName>
    <definedName name="_Sort" localSheetId="14" hidden="1">#REF!</definedName>
    <definedName name="_Sort" localSheetId="17" hidden="1">#REF!</definedName>
    <definedName name="_Sort" localSheetId="11" hidden="1">#REF!</definedName>
    <definedName name="_Sort" localSheetId="9" hidden="1">#REF!</definedName>
    <definedName name="_Sort" localSheetId="0" hidden="1">#REF!</definedName>
    <definedName name="_Sort" localSheetId="10" hidden="1">#REF!</definedName>
    <definedName name="_Sort" hidden="1">#REF!</definedName>
    <definedName name="_UVT" localSheetId="3">#REF!</definedName>
    <definedName name="_UVT" localSheetId="15">#REF!</definedName>
    <definedName name="_UVT" localSheetId="16">#REF!</definedName>
    <definedName name="_UVT" localSheetId="7">#REF!</definedName>
    <definedName name="_UVT" localSheetId="8">#REF!</definedName>
    <definedName name="_UVT" localSheetId="5">#REF!</definedName>
    <definedName name="_UVT" localSheetId="2">#REF!</definedName>
    <definedName name="_UVT" localSheetId="12">#REF!</definedName>
    <definedName name="_UVT" localSheetId="13">#REF!</definedName>
    <definedName name="_UVT" localSheetId="14">#REF!</definedName>
    <definedName name="_UVT" localSheetId="1">#REF!</definedName>
    <definedName name="_UVT" localSheetId="17">#REF!</definedName>
    <definedName name="_UVT" localSheetId="4">#REF!</definedName>
    <definedName name="_UVT" localSheetId="11">#REF!</definedName>
    <definedName name="_UVT" localSheetId="6">#REF!</definedName>
    <definedName name="_UVT" localSheetId="9">#REF!</definedName>
    <definedName name="_UVT" localSheetId="0">#REF!</definedName>
    <definedName name="_UVT" localSheetId="10">#REF!</definedName>
    <definedName name="_UVT">#REF!</definedName>
    <definedName name="A_impresión_IM">[3]PYG0003!$A$8:$H$243</definedName>
    <definedName name="ABC">'[4]CENTROS DE COSTOS'!$A$2:$A$56</definedName>
    <definedName name="AccessDatabase" hidden="1">"F:\AndersonLegal\Modificado\ANEXOC2000 PARA SOCIEDADES.mdb"</definedName>
    <definedName name="AJUSTADO" localSheetId="16" hidden="1">{"'S. C. B.'!$E$207"}</definedName>
    <definedName name="AJUSTADO" localSheetId="19" hidden="1">{"'S. C. B.'!$E$207"}</definedName>
    <definedName name="AJUSTADO" localSheetId="7" hidden="1">{"'S. C. B.'!$E$207"}</definedName>
    <definedName name="AJUSTADO" localSheetId="8" hidden="1">{"'S. C. B.'!$E$207"}</definedName>
    <definedName name="AJUSTADO" localSheetId="0" hidden="1">{"'S. C. B.'!$E$207"}</definedName>
    <definedName name="AJUSTADO" localSheetId="10" hidden="1">{"'S. C. B.'!$E$207"}</definedName>
    <definedName name="AJUSTADO" hidden="1">{"'S. C. B.'!$E$207"}</definedName>
    <definedName name="ANEXOS" localSheetId="15">#REF!</definedName>
    <definedName name="ANEXOS" localSheetId="16">#REF!</definedName>
    <definedName name="ANEXOS" localSheetId="7">#REF!</definedName>
    <definedName name="ANEXOS" localSheetId="8">#REF!</definedName>
    <definedName name="ANEXOS" localSheetId="5">#REF!</definedName>
    <definedName name="ANEXOS" localSheetId="12">#REF!</definedName>
    <definedName name="ANEXOS" localSheetId="13">#REF!</definedName>
    <definedName name="ANEXOS" localSheetId="14">#REF!</definedName>
    <definedName name="ANEXOS" localSheetId="17">#REF!</definedName>
    <definedName name="ANEXOS" localSheetId="11">#REF!</definedName>
    <definedName name="ANEXOS" localSheetId="9">#REF!</definedName>
    <definedName name="ANEXOS" localSheetId="0">#REF!</definedName>
    <definedName name="ANEXOS" localSheetId="10">#REF!</definedName>
    <definedName name="ANEXOS">#REF!</definedName>
    <definedName name="ANEXOS4" localSheetId="15">#REF!</definedName>
    <definedName name="ANEXOS4" localSheetId="16">#REF!</definedName>
    <definedName name="ANEXOS4" localSheetId="7">#REF!</definedName>
    <definedName name="ANEXOS4" localSheetId="8">#REF!</definedName>
    <definedName name="ANEXOS4" localSheetId="5">#REF!</definedName>
    <definedName name="ANEXOS4" localSheetId="12">#REF!</definedName>
    <definedName name="ANEXOS4" localSheetId="13">#REF!</definedName>
    <definedName name="ANEXOS4" localSheetId="14">#REF!</definedName>
    <definedName name="ANEXOS4" localSheetId="17">#REF!</definedName>
    <definedName name="ANEXOS4" localSheetId="11">#REF!</definedName>
    <definedName name="ANEXOS4" localSheetId="9">#REF!</definedName>
    <definedName name="ANEXOS4" localSheetId="0">#REF!</definedName>
    <definedName name="ANEXOS4" localSheetId="10">#REF!</definedName>
    <definedName name="ANEXOS4">#REF!</definedName>
    <definedName name="ANULAR" localSheetId="16" hidden="1">{"'S. C. B.'!$E$207"}</definedName>
    <definedName name="ANULAR" localSheetId="19" hidden="1">{"'S. C. B.'!$E$207"}</definedName>
    <definedName name="ANULAR" localSheetId="7" hidden="1">{"'S. C. B.'!$E$207"}</definedName>
    <definedName name="ANULAR" localSheetId="8" hidden="1">{"'S. C. B.'!$E$207"}</definedName>
    <definedName name="ANULAR" localSheetId="0" hidden="1">{"'S. C. B.'!$E$207"}</definedName>
    <definedName name="ANULAR" localSheetId="10" hidden="1">{"'S. C. B.'!$E$207"}</definedName>
    <definedName name="ANULAR" hidden="1">{"'S. C. B.'!$E$207"}</definedName>
    <definedName name="_xlnm.Print_Area" localSheetId="0">'TARIFA ORDINARIO'!$A$1:$H$20</definedName>
    <definedName name="_xlnm.Print_Area">[3]PYG0003!$A$54:$J$89</definedName>
    <definedName name="B" localSheetId="16" hidden="1">{"'S. C. B.'!$E$207"}</definedName>
    <definedName name="B" localSheetId="19" hidden="1">{"'S. C. B.'!$E$207"}</definedName>
    <definedName name="B" localSheetId="7" hidden="1">{"'S. C. B.'!$E$207"}</definedName>
    <definedName name="B" localSheetId="8" hidden="1">{"'S. C. B.'!$E$207"}</definedName>
    <definedName name="B" localSheetId="0" hidden="1">{"'S. C. B.'!$E$207"}</definedName>
    <definedName name="B" localSheetId="10" hidden="1">{"'S. C. B.'!$E$207"}</definedName>
    <definedName name="B" hidden="1">{"'S. C. B.'!$E$207"}</definedName>
    <definedName name="BALANCE1" localSheetId="15">#REF!</definedName>
    <definedName name="BALANCE1" localSheetId="16">#REF!</definedName>
    <definedName name="BALANCE1" localSheetId="7">#REF!</definedName>
    <definedName name="BALANCE1" localSheetId="8">#REF!</definedName>
    <definedName name="BALANCE1" localSheetId="5">#REF!</definedName>
    <definedName name="BALANCE1" localSheetId="12">#REF!</definedName>
    <definedName name="BALANCE1" localSheetId="13">#REF!</definedName>
    <definedName name="BALANCE1" localSheetId="14">#REF!</definedName>
    <definedName name="BALANCE1" localSheetId="17">#REF!</definedName>
    <definedName name="BALANCE1" localSheetId="11">#REF!</definedName>
    <definedName name="BALANCE1" localSheetId="9">#REF!</definedName>
    <definedName name="BALANCE1" localSheetId="0">#REF!</definedName>
    <definedName name="BALANCE1" localSheetId="10">#REF!</definedName>
    <definedName name="BALANCE1">#REF!</definedName>
    <definedName name="BB" localSheetId="16" hidden="1">{"'S. C. B.'!$E$207"}</definedName>
    <definedName name="BB" localSheetId="19" hidden="1">{"'S. C. B.'!$E$207"}</definedName>
    <definedName name="BB" localSheetId="7" hidden="1">{"'S. C. B.'!$E$207"}</definedName>
    <definedName name="BB" localSheetId="8" hidden="1">{"'S. C. B.'!$E$207"}</definedName>
    <definedName name="BB" localSheetId="0" hidden="1">{"'S. C. B.'!$E$207"}</definedName>
    <definedName name="BB" localSheetId="10" hidden="1">{"'S. C. B.'!$E$207"}</definedName>
    <definedName name="BB" hidden="1">{"'S. C. B.'!$E$207"}</definedName>
    <definedName name="Button_1">"ANEXOC2000_PARA_SOCIEDADES_Hoja1_Lista"</definedName>
    <definedName name="CC" localSheetId="19">[5]Hoja1!$A$2:$B$44</definedName>
    <definedName name="CC">[6]Hoja1!$A$2:$B$44</definedName>
    <definedName name="CCOSTO" localSheetId="19">[7]Hoja1!$A$2:$B$44</definedName>
    <definedName name="CCOSTO">[8]Hoja1!$A$2:$B$44</definedName>
    <definedName name="CDAARA" localSheetId="16" hidden="1">{"'S. C. B.'!$E$207"}</definedName>
    <definedName name="CDAARA" localSheetId="19" hidden="1">{"'S. C. B.'!$E$207"}</definedName>
    <definedName name="CDAARA" localSheetId="7" hidden="1">{"'S. C. B.'!$E$207"}</definedName>
    <definedName name="CDAARA" localSheetId="8" hidden="1">{"'S. C. B.'!$E$207"}</definedName>
    <definedName name="CDAARA" localSheetId="0" hidden="1">{"'S. C. B.'!$E$207"}</definedName>
    <definedName name="CDAARA" localSheetId="10" hidden="1">{"'S. C. B.'!$E$207"}</definedName>
    <definedName name="CDAARA" hidden="1">{"'S. C. B.'!$E$207"}</definedName>
    <definedName name="CENTRO_DE_COSTOS" localSheetId="19">'[9]CENTROS DE COSTOS'!$A$2:$A$56</definedName>
    <definedName name="CENTRO_DE_COSTOS">'[10]CENTROS DE COSTOS'!$A$2:$A$56</definedName>
    <definedName name="CentrodeCostos_Descripcion" localSheetId="19">'[9]CENTROS DE COSTOS'!$A$2:$B$56</definedName>
    <definedName name="CentrodeCostos_Descripcion">'[10]CENTROS DE COSTOS'!$A$2:$B$56</definedName>
    <definedName name="CFNAL" localSheetId="16" hidden="1">{"'S. C. B.'!$E$207"}</definedName>
    <definedName name="CFNAL" localSheetId="19" hidden="1">{"'S. C. B.'!$E$207"}</definedName>
    <definedName name="CFNAL" localSheetId="7" hidden="1">{"'S. C. B.'!$E$207"}</definedName>
    <definedName name="CFNAL" localSheetId="8" hidden="1">{"'S. C. B.'!$E$207"}</definedName>
    <definedName name="CFNAL" localSheetId="0" hidden="1">{"'S. C. B.'!$E$207"}</definedName>
    <definedName name="CFNAL" localSheetId="10" hidden="1">{"'S. C. B.'!$E$207"}</definedName>
    <definedName name="CFNAL" hidden="1">{"'S. C. B.'!$E$207"}</definedName>
    <definedName name="COD_REPRES">#N/A</definedName>
    <definedName name="conceptos" localSheetId="19">[11]conceptos!$A$1:$A$56</definedName>
    <definedName name="conceptos">[12]conceptos!$A$1:$A$56</definedName>
    <definedName name="Contrapartidas" localSheetId="19">[13]CUENTAS!$A$37:$A$170</definedName>
    <definedName name="Contrapartidas">[14]CUENTAS!$A$37:$A$170</definedName>
    <definedName name="CUENTA" localSheetId="19">[9]CUENTAS!$A$2:$A$557</definedName>
    <definedName name="CUENTA">[10]CUENTAS!$A$2:$A$557</definedName>
    <definedName name="Cuentas_Descripcion" localSheetId="19">[9]CUENTAS!$A$2:$B$557</definedName>
    <definedName name="Cuentas_Descripcion">[10]CUENTAS!$A$2:$B$557</definedName>
    <definedName name="D" localSheetId="16" hidden="1">{"'S. C. B.'!$E$207"}</definedName>
    <definedName name="D" localSheetId="19" hidden="1">{"'S. C. B.'!$E$207"}</definedName>
    <definedName name="D" localSheetId="7" hidden="1">{"'S. C. B.'!$E$207"}</definedName>
    <definedName name="D" localSheetId="8" hidden="1">{"'S. C. B.'!$E$207"}</definedName>
    <definedName name="D" localSheetId="0" hidden="1">{"'S. C. B.'!$E$207"}</definedName>
    <definedName name="D" localSheetId="10" hidden="1">{"'S. C. B.'!$E$207"}</definedName>
    <definedName name="D" hidden="1">{"'S. C. B.'!$E$207"}</definedName>
    <definedName name="DARWERWETWRET" localSheetId="16" hidden="1">{"'S. C. B.'!$E$207"}</definedName>
    <definedName name="DARWERWETWRET" localSheetId="19" hidden="1">{"'S. C. B.'!$E$207"}</definedName>
    <definedName name="DARWERWETWRET" localSheetId="7" hidden="1">{"'S. C. B.'!$E$207"}</definedName>
    <definedName name="DARWERWETWRET" localSheetId="8" hidden="1">{"'S. C. B.'!$E$207"}</definedName>
    <definedName name="DARWERWETWRET" localSheetId="0" hidden="1">{"'S. C. B.'!$E$207"}</definedName>
    <definedName name="DARWERWETWRET" localSheetId="10" hidden="1">{"'S. C. B.'!$E$207"}</definedName>
    <definedName name="DARWERWETWRET" hidden="1">{"'S. C. B.'!$E$207"}</definedName>
    <definedName name="das" localSheetId="16" hidden="1">{"'S. C. B.'!$E$207"}</definedName>
    <definedName name="das" localSheetId="19" hidden="1">{"'S. C. B.'!$E$207"}</definedName>
    <definedName name="das" localSheetId="7" hidden="1">{"'S. C. B.'!$E$207"}</definedName>
    <definedName name="das" localSheetId="8" hidden="1">{"'S. C. B.'!$E$207"}</definedName>
    <definedName name="das" localSheetId="0" hidden="1">{"'S. C. B.'!$E$207"}</definedName>
    <definedName name="das" localSheetId="10" hidden="1">{"'S. C. B.'!$E$207"}</definedName>
    <definedName name="das" hidden="1">{"'S. C. B.'!$E$207"}</definedName>
    <definedName name="DDDDDDDDDDDD" localSheetId="19">'[13]CENTROS DE COSTOS'!$A$2:$A$33</definedName>
    <definedName name="DDDDDDDDDDDD">'[14]CENTROS DE COSTOS'!$A$2:$A$33</definedName>
    <definedName name="de" localSheetId="16" hidden="1">{"'S. C. B.'!$E$207"}</definedName>
    <definedName name="de" localSheetId="19" hidden="1">{"'S. C. B.'!$E$207"}</definedName>
    <definedName name="de" localSheetId="7" hidden="1">{"'S. C. B.'!$E$207"}</definedName>
    <definedName name="de" localSheetId="8" hidden="1">{"'S. C. B.'!$E$207"}</definedName>
    <definedName name="de" localSheetId="0" hidden="1">{"'S. C. B.'!$E$207"}</definedName>
    <definedName name="de" localSheetId="10" hidden="1">{"'S. C. B.'!$E$207"}</definedName>
    <definedName name="de" hidden="1">{"'S. C. B.'!$E$207"}</definedName>
    <definedName name="DEOL" localSheetId="16" hidden="1">{"'S. C. B.'!$E$207"}</definedName>
    <definedName name="DEOL" localSheetId="19" hidden="1">{"'S. C. B.'!$E$207"}</definedName>
    <definedName name="DEOL" localSheetId="7" hidden="1">{"'S. C. B.'!$E$207"}</definedName>
    <definedName name="DEOL" localSheetId="8" hidden="1">{"'S. C. B.'!$E$207"}</definedName>
    <definedName name="DEOL" localSheetId="0" hidden="1">{"'S. C. B.'!$E$207"}</definedName>
    <definedName name="DEOL" localSheetId="10" hidden="1">{"'S. C. B.'!$E$207"}</definedName>
    <definedName name="DEOL" hidden="1">{"'S. C. B.'!$E$207"}</definedName>
    <definedName name="Dependientes" localSheetId="15">#REF!</definedName>
    <definedName name="Dependientes" localSheetId="16">#REF!</definedName>
    <definedName name="Dependientes" localSheetId="7">#REF!</definedName>
    <definedName name="Dependientes" localSheetId="8">#REF!</definedName>
    <definedName name="Dependientes" localSheetId="5">#REF!</definedName>
    <definedName name="Dependientes" localSheetId="12">#REF!</definedName>
    <definedName name="Dependientes" localSheetId="13">#REF!</definedName>
    <definedName name="Dependientes" localSheetId="14">#REF!</definedName>
    <definedName name="Dependientes" localSheetId="17">#REF!</definedName>
    <definedName name="Dependientes" localSheetId="11">#REF!</definedName>
    <definedName name="Dependientes" localSheetId="9">#REF!</definedName>
    <definedName name="Dependientes" localSheetId="0">#REF!</definedName>
    <definedName name="Dependientes" localSheetId="10">#REF!</definedName>
    <definedName name="Dependientes">#REF!</definedName>
    <definedName name="deptos" localSheetId="19">[15]dane!$A$1:$A$33</definedName>
    <definedName name="deptos">[16]dane!$A$1:$A$33</definedName>
    <definedName name="descripcion_uen" localSheetId="19">[13]UEN!$A$2:$A$6</definedName>
    <definedName name="descripcion_uen">[14]UEN!$A$2:$A$6</definedName>
    <definedName name="DEVOLUCIONES" localSheetId="16" hidden="1">{"'S. C. B.'!$E$207"}</definedName>
    <definedName name="DEVOLUCIONES" localSheetId="19" hidden="1">{"'S. C. B.'!$E$207"}</definedName>
    <definedName name="DEVOLUCIONES" localSheetId="7" hidden="1">{"'S. C. B.'!$E$207"}</definedName>
    <definedName name="DEVOLUCIONES" localSheetId="8" hidden="1">{"'S. C. B.'!$E$207"}</definedName>
    <definedName name="DEVOLUCIONES" localSheetId="0" hidden="1">{"'S. C. B.'!$E$207"}</definedName>
    <definedName name="DEVOLUCIONES" localSheetId="10" hidden="1">{"'S. C. B.'!$E$207"}</definedName>
    <definedName name="DEVOLUCIONES" hidden="1">{"'S. C. B.'!$E$207"}</definedName>
    <definedName name="DialogoOtros">"Dialog Frame 1"</definedName>
    <definedName name="divi" localSheetId="16" hidden="1">{"'S. C. B.'!$E$207"}</definedName>
    <definedName name="divi" localSheetId="19" hidden="1">{"'S. C. B.'!$E$207"}</definedName>
    <definedName name="divi" localSheetId="7" hidden="1">{"'S. C. B.'!$E$207"}</definedName>
    <definedName name="divi" localSheetId="8" hidden="1">{"'S. C. B.'!$E$207"}</definedName>
    <definedName name="divi" localSheetId="0" hidden="1">{"'S. C. B.'!$E$207"}</definedName>
    <definedName name="divi" localSheetId="10" hidden="1">{"'S. C. B.'!$E$207"}</definedName>
    <definedName name="divi" hidden="1">{"'S. C. B.'!$E$207"}</definedName>
    <definedName name="EEEEEEEEEEEE" localSheetId="19">'[13]CENTROS DE COSTOS'!$A$2:$B$33</definedName>
    <definedName name="EEEEEEEEEEEE">'[14]CENTROS DE COSTOS'!$A$2:$B$33</definedName>
    <definedName name="ESTADO" localSheetId="15">#REF!</definedName>
    <definedName name="ESTADO" localSheetId="16">#REF!</definedName>
    <definedName name="ESTADO" localSheetId="7">#REF!</definedName>
    <definedName name="ESTADO" localSheetId="8">#REF!</definedName>
    <definedName name="ESTADO" localSheetId="5">#REF!</definedName>
    <definedName name="ESTADO" localSheetId="12">#REF!</definedName>
    <definedName name="ESTADO" localSheetId="13">#REF!</definedName>
    <definedName name="ESTADO" localSheetId="14">#REF!</definedName>
    <definedName name="ESTADO" localSheetId="17">#REF!</definedName>
    <definedName name="ESTADO" localSheetId="11">#REF!</definedName>
    <definedName name="ESTADO" localSheetId="9">#REF!</definedName>
    <definedName name="ESTADO" localSheetId="0">#REF!</definedName>
    <definedName name="ESTADO" localSheetId="10">#REF!</definedName>
    <definedName name="ESTADO">#REF!</definedName>
    <definedName name="FR" localSheetId="16" hidden="1">{"'S. C. B.'!$E$207"}</definedName>
    <definedName name="FR" localSheetId="19" hidden="1">{"'S. C. B.'!$E$207"}</definedName>
    <definedName name="FR" localSheetId="7" hidden="1">{"'S. C. B.'!$E$207"}</definedName>
    <definedName name="FR" localSheetId="8" hidden="1">{"'S. C. B.'!$E$207"}</definedName>
    <definedName name="FR" localSheetId="0" hidden="1">{"'S. C. B.'!$E$207"}</definedName>
    <definedName name="FR" localSheetId="10" hidden="1">{"'S. C. B.'!$E$207"}</definedName>
    <definedName name="FR" hidden="1">{"'S. C. B.'!$E$207"}</definedName>
    <definedName name="HTML_CodePage" hidden="1">1252</definedName>
    <definedName name="HTML_Control" localSheetId="16" hidden="1">{"'S. C. B.'!$E$207"}</definedName>
    <definedName name="HTML_Control" localSheetId="19" hidden="1">{"'S. C. B.'!$E$207"}</definedName>
    <definedName name="HTML_Control" localSheetId="7" hidden="1">{"'S. C. B.'!$E$207"}</definedName>
    <definedName name="HTML_Control" localSheetId="8" hidden="1">{"'S. C. B.'!$E$207"}</definedName>
    <definedName name="HTML_Control" localSheetId="0" hidden="1">{"'S. C. B.'!$E$207"}</definedName>
    <definedName name="HTML_Control" localSheetId="10" hidden="1">{"'S. C. B.'!$E$207"}</definedName>
    <definedName name="HTML_Control" hidden="1">{"'S. C. B.'!$E$207"}</definedName>
    <definedName name="HTML_Description" hidden="1">""</definedName>
    <definedName name="HTML_Email" hidden="1">""</definedName>
    <definedName name="HTML_Header" hidden="1">"S. C. B."</definedName>
    <definedName name="HTML_LastUpdate" hidden="1">"20/6/00"</definedName>
    <definedName name="HTML_LineAfter" hidden="1">FALSE</definedName>
    <definedName name="HTML_LineBefore" hidden="1">FALSE</definedName>
    <definedName name="HTML_Name" hidden="1">"Nery Tuirán"</definedName>
    <definedName name="HTML_OBDlg2" hidden="1">TRUE</definedName>
    <definedName name="HTML_OBDlg4" hidden="1">TRUE</definedName>
    <definedName name="HTML_OS" hidden="1">0</definedName>
    <definedName name="HTML_PathFile" hidden="1">"A:\HTML.htm"</definedName>
    <definedName name="HTML_Title" hidden="1">"FIRMAS COMISIONISTAS"</definedName>
    <definedName name="i" localSheetId="19">[5]Hoja1!$A$2:$B$44</definedName>
    <definedName name="i">[6]Hoja1!$A$2:$B$44</definedName>
    <definedName name="ibbgral">"Chart 19"</definedName>
    <definedName name="JE" localSheetId="16" hidden="1">{"'S. C. B.'!$E$207"}</definedName>
    <definedName name="JE" localSheetId="19" hidden="1">{"'S. C. B.'!$E$207"}</definedName>
    <definedName name="JE" localSheetId="7" hidden="1">{"'S. C. B.'!$E$207"}</definedName>
    <definedName name="JE" localSheetId="8" hidden="1">{"'S. C. B.'!$E$207"}</definedName>
    <definedName name="JE" localSheetId="0" hidden="1">{"'S. C. B.'!$E$207"}</definedName>
    <definedName name="JE" localSheetId="10" hidden="1">{"'S. C. B.'!$E$207"}</definedName>
    <definedName name="JE" hidden="1">{"'S. C. B.'!$E$207"}</definedName>
    <definedName name="jhjj" localSheetId="16" hidden="1">{"'S. C. B.'!$E$207"}</definedName>
    <definedName name="jhjj" localSheetId="19" hidden="1">{"'S. C. B.'!$E$207"}</definedName>
    <definedName name="jhjj" localSheetId="7" hidden="1">{"'S. C. B.'!$E$207"}</definedName>
    <definedName name="jhjj" localSheetId="8" hidden="1">{"'S. C. B.'!$E$207"}</definedName>
    <definedName name="jhjj" localSheetId="0" hidden="1">{"'S. C. B.'!$E$207"}</definedName>
    <definedName name="jhjj" localSheetId="10" hidden="1">{"'S. C. B.'!$E$207"}</definedName>
    <definedName name="jhjj" hidden="1">{"'S. C. B.'!$E$207"}</definedName>
    <definedName name="JJAJAJJ" localSheetId="16" hidden="1">{"'S. C. B.'!$E$207"}</definedName>
    <definedName name="JJAJAJJ" localSheetId="19" hidden="1">{"'S. C. B.'!$E$207"}</definedName>
    <definedName name="JJAJAJJ" localSheetId="7" hidden="1">{"'S. C. B.'!$E$207"}</definedName>
    <definedName name="JJAJAJJ" localSheetId="8" hidden="1">{"'S. C. B.'!$E$207"}</definedName>
    <definedName name="JJAJAJJ" localSheetId="0" hidden="1">{"'S. C. B.'!$E$207"}</definedName>
    <definedName name="JJAJAJJ" localSheetId="10" hidden="1">{"'S. C. B.'!$E$207"}</definedName>
    <definedName name="JJAJAJJ" hidden="1">{"'S. C. B.'!$E$207"}</definedName>
    <definedName name="JULIO" localSheetId="16" hidden="1">{"'S. C. B.'!$E$207"}</definedName>
    <definedName name="JULIO" localSheetId="19" hidden="1">{"'S. C. B.'!$E$207"}</definedName>
    <definedName name="JULIO" localSheetId="7" hidden="1">{"'S. C. B.'!$E$207"}</definedName>
    <definedName name="JULIO" localSheetId="8" hidden="1">{"'S. C. B.'!$E$207"}</definedName>
    <definedName name="JULIO" localSheetId="0" hidden="1">{"'S. C. B.'!$E$207"}</definedName>
    <definedName name="JULIO" localSheetId="10" hidden="1">{"'S. C. B.'!$E$207"}</definedName>
    <definedName name="JULIO" hidden="1">{"'S. C. B.'!$E$207"}</definedName>
    <definedName name="JUNIO" localSheetId="16" hidden="1">{"'S. C. B.'!$E$207"}</definedName>
    <definedName name="JUNIO" localSheetId="19" hidden="1">{"'S. C. B.'!$E$207"}</definedName>
    <definedName name="JUNIO" localSheetId="7" hidden="1">{"'S. C. B.'!$E$207"}</definedName>
    <definedName name="JUNIO" localSheetId="8" hidden="1">{"'S. C. B.'!$E$207"}</definedName>
    <definedName name="JUNIO" localSheetId="0" hidden="1">{"'S. C. B.'!$E$207"}</definedName>
    <definedName name="JUNIO" localSheetId="10" hidden="1">{"'S. C. B.'!$E$207"}</definedName>
    <definedName name="JUNIO" hidden="1">{"'S. C. B.'!$E$207"}</definedName>
    <definedName name="JV" localSheetId="16" hidden="1">{"'S. C. B.'!$E$207"}</definedName>
    <definedName name="JV" localSheetId="19" hidden="1">{"'S. C. B.'!$E$207"}</definedName>
    <definedName name="JV" localSheetId="7" hidden="1">{"'S. C. B.'!$E$207"}</definedName>
    <definedName name="JV" localSheetId="8" hidden="1">{"'S. C. B.'!$E$207"}</definedName>
    <definedName name="JV" localSheetId="0" hidden="1">{"'S. C. B.'!$E$207"}</definedName>
    <definedName name="JV" localSheetId="10" hidden="1">{"'S. C. B.'!$E$207"}</definedName>
    <definedName name="JV" hidden="1">{"'S. C. B.'!$E$207"}</definedName>
    <definedName name="LJ" localSheetId="16" hidden="1">{"'S. C. B.'!$E$207"}</definedName>
    <definedName name="LJ" localSheetId="19" hidden="1">{"'S. C. B.'!$E$207"}</definedName>
    <definedName name="LJ" localSheetId="7" hidden="1">{"'S. C. B.'!$E$207"}</definedName>
    <definedName name="LJ" localSheetId="8" hidden="1">{"'S. C. B.'!$E$207"}</definedName>
    <definedName name="LJ" localSheetId="0" hidden="1">{"'S. C. B.'!$E$207"}</definedName>
    <definedName name="LJ" localSheetId="10" hidden="1">{"'S. C. B.'!$E$207"}</definedName>
    <definedName name="LJ" hidden="1">{"'S. C. B.'!$E$207"}</definedName>
    <definedName name="LOGISTICA" localSheetId="16" hidden="1">{"'S. C. B.'!$E$207"}</definedName>
    <definedName name="LOGISTICA" localSheetId="19" hidden="1">{"'S. C. B.'!$E$207"}</definedName>
    <definedName name="LOGISTICA" localSheetId="7" hidden="1">{"'S. C. B.'!$E$207"}</definedName>
    <definedName name="LOGISTICA" localSheetId="8" hidden="1">{"'S. C. B.'!$E$207"}</definedName>
    <definedName name="LOGISTICA" localSheetId="0" hidden="1">{"'S. C. B.'!$E$207"}</definedName>
    <definedName name="LOGISTICA" localSheetId="10" hidden="1">{"'S. C. B.'!$E$207"}</definedName>
    <definedName name="LOGISTICA" hidden="1">{"'S. C. B.'!$E$207"}</definedName>
    <definedName name="MIOJAKDJKA" localSheetId="16" hidden="1">{"'S. C. B.'!$E$207"}</definedName>
    <definedName name="MIOJAKDJKA" localSheetId="19" hidden="1">{"'S. C. B.'!$E$207"}</definedName>
    <definedName name="MIOJAKDJKA" localSheetId="7" hidden="1">{"'S. C. B.'!$E$207"}</definedName>
    <definedName name="MIOJAKDJKA" localSheetId="8" hidden="1">{"'S. C. B.'!$E$207"}</definedName>
    <definedName name="MIOJAKDJKA" localSheetId="0" hidden="1">{"'S. C. B.'!$E$207"}</definedName>
    <definedName name="MIOJAKDJKA" localSheetId="10" hidden="1">{"'S. C. B.'!$E$207"}</definedName>
    <definedName name="MIOJAKDJKA" hidden="1">{"'S. C. B.'!$E$207"}</definedName>
    <definedName name="Mtrx_Conceptos" localSheetId="19">[13]CUENTAS!$A$2:$B$34</definedName>
    <definedName name="Mtrx_Conceptos">[14]CUENTAS!$A$2:$B$34</definedName>
    <definedName name="Mtrx_Contra" localSheetId="19">[13]CUENTAS!$A$37:$B$170</definedName>
    <definedName name="Mtrx_Contra">[14]CUENTAS!$A$37:$B$170</definedName>
    <definedName name="Mtrx_Proyectos" localSheetId="19">[13]PROYECTOS!$A$2:$B$29</definedName>
    <definedName name="Mtrx_Proyectos">[14]PROYECTOS!$A$2:$B$29</definedName>
    <definedName name="muns" localSheetId="19">[15]dane!$B$1:$B$581</definedName>
    <definedName name="muns">[16]dane!$B$1:$B$581</definedName>
    <definedName name="Nombre_CC">[17]Premisas2!$B$4:$B$57</definedName>
    <definedName name="NombreCC_y_Vice">[17]Premisas2!$B$4:$D$57</definedName>
    <definedName name="PLANTAAB2003">[18]Hoja1!$A$2:$B$44</definedName>
    <definedName name="Proyecto" localSheetId="19">[9]PROYECTOS!$A$2:$A$48</definedName>
    <definedName name="Proyecto">[10]PROYECTOS!$A$2:$A$48</definedName>
    <definedName name="Proyecto_Descr" localSheetId="19">[9]PROYECTOS!$A$2:$B$48</definedName>
    <definedName name="Proyecto_Descr">[10]PROYECTOS!$A$2:$B$48</definedName>
    <definedName name="Proyectos" localSheetId="19">[13]PROYECTOS!$A$2:$A$29</definedName>
    <definedName name="Proyectos">[14]PROYECTOS!$A$2:$A$29</definedName>
    <definedName name="REA" localSheetId="16" hidden="1">{"'S. C. B.'!$E$207"}</definedName>
    <definedName name="REA" localSheetId="19" hidden="1">{"'S. C. B.'!$E$207"}</definedName>
    <definedName name="REA" localSheetId="7" hidden="1">{"'S. C. B.'!$E$207"}</definedName>
    <definedName name="REA" localSheetId="8" hidden="1">{"'S. C. B.'!$E$207"}</definedName>
    <definedName name="REA" localSheetId="0" hidden="1">{"'S. C. B.'!$E$207"}</definedName>
    <definedName name="REA" localSheetId="10" hidden="1">{"'S. C. B.'!$E$207"}</definedName>
    <definedName name="REA" hidden="1">{"'S. C. B.'!$E$207"}</definedName>
    <definedName name="reajuste" localSheetId="16" hidden="1">{"'S. C. B.'!$E$207"}</definedName>
    <definedName name="reajuste" localSheetId="19" hidden="1">{"'S. C. B.'!$E$207"}</definedName>
    <definedName name="reajuste" localSheetId="7" hidden="1">{"'S. C. B.'!$E$207"}</definedName>
    <definedName name="reajuste" localSheetId="8" hidden="1">{"'S. C. B.'!$E$207"}</definedName>
    <definedName name="reajuste" localSheetId="0" hidden="1">{"'S. C. B.'!$E$207"}</definedName>
    <definedName name="reajuste" localSheetId="10" hidden="1">{"'S. C. B.'!$E$207"}</definedName>
    <definedName name="reajuste" hidden="1">{"'S. C. B.'!$E$207"}</definedName>
    <definedName name="RENTA" localSheetId="16" hidden="1">{"'S. C. B.'!$E$207"}</definedName>
    <definedName name="RENTA" localSheetId="19" hidden="1">{"'S. C. B.'!$E$207"}</definedName>
    <definedName name="RENTA" localSheetId="7" hidden="1">{"'S. C. B.'!$E$207"}</definedName>
    <definedName name="RENTA" localSheetId="8" hidden="1">{"'S. C. B.'!$E$207"}</definedName>
    <definedName name="RENTA" localSheetId="0" hidden="1">{"'S. C. B.'!$E$207"}</definedName>
    <definedName name="RENTA" localSheetId="10" hidden="1">{"'S. C. B.'!$E$207"}</definedName>
    <definedName name="RENTA" hidden="1">{"'S. C. B.'!$E$207"}</definedName>
    <definedName name="RESUMEN" localSheetId="16" hidden="1">{"'S. C. B.'!$E$207"}</definedName>
    <definedName name="RESUMEN" localSheetId="19" hidden="1">{"'S. C. B.'!$E$207"}</definedName>
    <definedName name="RESUMEN" localSheetId="7" hidden="1">{"'S. C. B.'!$E$207"}</definedName>
    <definedName name="RESUMEN" localSheetId="8" hidden="1">{"'S. C. B.'!$E$207"}</definedName>
    <definedName name="RESUMEN" localSheetId="0" hidden="1">{"'S. C. B.'!$E$207"}</definedName>
    <definedName name="RESUMEN" localSheetId="10" hidden="1">{"'S. C. B.'!$E$207"}</definedName>
    <definedName name="RESUMEN" hidden="1">{"'S. C. B.'!$E$207"}</definedName>
    <definedName name="RT" localSheetId="16" hidden="1">{"'S. C. B.'!$E$207"}</definedName>
    <definedName name="RT" localSheetId="19" hidden="1">{"'S. C. B.'!$E$207"}</definedName>
    <definedName name="RT" localSheetId="7" hidden="1">{"'S. C. B.'!$E$207"}</definedName>
    <definedName name="RT" localSheetId="8" hidden="1">{"'S. C. B.'!$E$207"}</definedName>
    <definedName name="RT" localSheetId="0" hidden="1">{"'S. C. B.'!$E$207"}</definedName>
    <definedName name="RT" localSheetId="10" hidden="1">{"'S. C. B.'!$E$207"}</definedName>
    <definedName name="RT" hidden="1">{"'S. C. B.'!$E$207"}</definedName>
    <definedName name="RTAPP" localSheetId="19">'[19]Renta Presuntiva'!$J$70</definedName>
    <definedName name="RTAPP">'[20]Renta Presuntiva'!$J$70</definedName>
    <definedName name="Saf" localSheetId="15">#REF!</definedName>
    <definedName name="Saf" localSheetId="16">#REF!</definedName>
    <definedName name="Saf" localSheetId="7">#REF!</definedName>
    <definedName name="Saf" localSheetId="8">#REF!</definedName>
    <definedName name="Saf" localSheetId="5">#REF!</definedName>
    <definedName name="Saf" localSheetId="12">#REF!</definedName>
    <definedName name="Saf" localSheetId="13">#REF!</definedName>
    <definedName name="Saf" localSheetId="14">#REF!</definedName>
    <definedName name="Saf" localSheetId="17">#REF!</definedName>
    <definedName name="Saf" localSheetId="11">#REF!</definedName>
    <definedName name="Saf" localSheetId="9">#REF!</definedName>
    <definedName name="Saf" localSheetId="0">#REF!</definedName>
    <definedName name="Saf" localSheetId="10">#REF!</definedName>
    <definedName name="Sa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999999999</definedName>
    <definedName name="SSS" localSheetId="15">#REF!</definedName>
    <definedName name="SSS" localSheetId="16">#REF!</definedName>
    <definedName name="SSS" localSheetId="7">#REF!</definedName>
    <definedName name="SSS" localSheetId="8">#REF!</definedName>
    <definedName name="SSS" localSheetId="5">#REF!</definedName>
    <definedName name="SSS" localSheetId="12">#REF!</definedName>
    <definedName name="SSS" localSheetId="13">#REF!</definedName>
    <definedName name="SSS" localSheetId="14">#REF!</definedName>
    <definedName name="SSS" localSheetId="17">#REF!</definedName>
    <definedName name="SSS" localSheetId="11">#REF!</definedName>
    <definedName name="SSS" localSheetId="9">#REF!</definedName>
    <definedName name="SSS" localSheetId="0">#REF!</definedName>
    <definedName name="SSS" localSheetId="10">#REF!</definedName>
    <definedName name="SSS">#REF!</definedName>
    <definedName name="SSSS" localSheetId="15">#REF!</definedName>
    <definedName name="SSSS" localSheetId="16">#REF!</definedName>
    <definedName name="SSSS" localSheetId="7">#REF!</definedName>
    <definedName name="SSSS" localSheetId="8">#REF!</definedName>
    <definedName name="SSSS" localSheetId="5">#REF!</definedName>
    <definedName name="SSSS" localSheetId="12">#REF!</definedName>
    <definedName name="SSSS" localSheetId="13">#REF!</definedName>
    <definedName name="SSSS" localSheetId="14">#REF!</definedName>
    <definedName name="SSSS" localSheetId="17">#REF!</definedName>
    <definedName name="SSSS" localSheetId="11">#REF!</definedName>
    <definedName name="SSSS" localSheetId="9">#REF!</definedName>
    <definedName name="SSSS" localSheetId="0">#REF!</definedName>
    <definedName name="SSSS" localSheetId="10">#REF!</definedName>
    <definedName name="SSSS">#REF!</definedName>
    <definedName name="sucuex" localSheetId="19">'[19]Datos de entrada'!$Q$19</definedName>
    <definedName name="sucuex">'[20]Datos de entrada'!$Q$19</definedName>
    <definedName name="t" localSheetId="16" hidden="1">{"'S. C. B.'!$E$207"}</definedName>
    <definedName name="t" localSheetId="19" hidden="1">{"'S. C. B.'!$E$207"}</definedName>
    <definedName name="t" localSheetId="7" hidden="1">{"'S. C. B.'!$E$207"}</definedName>
    <definedName name="t" localSheetId="8" hidden="1">{"'S. C. B.'!$E$207"}</definedName>
    <definedName name="t" localSheetId="0" hidden="1">{"'S. C. B.'!$E$207"}</definedName>
    <definedName name="t" localSheetId="10" hidden="1">{"'S. C. B.'!$E$207"}</definedName>
    <definedName name="t" hidden="1">{"'S. C. B.'!$E$207"}</definedName>
    <definedName name="TEST1" localSheetId="19">[1]EFINAN!$A$2004:$C$2199</definedName>
    <definedName name="TEST1">[2]EFINAN!$A$2004:$C$2199</definedName>
    <definedName name="TESTHKEY" localSheetId="19">[1]EFINAN!$C$1</definedName>
    <definedName name="TESTHKEY">[2]EFINAN!$C$1</definedName>
    <definedName name="TESTKEYS" localSheetId="19">[1]EFINAN!$A$2:$B$2199</definedName>
    <definedName name="TESTKEYS">[2]EFINAN!$A$2:$B$2199</definedName>
    <definedName name="TESTVKEY" localSheetId="19">[1]EFINAN!$A$1:$B$1</definedName>
    <definedName name="TESTVKEY">[2]EFINAN!$A$1:$B$1</definedName>
    <definedName name="TESV" localSheetId="16" hidden="1">{"'S. C. B.'!$E$207"}</definedName>
    <definedName name="TESV" localSheetId="19" hidden="1">{"'S. C. B.'!$E$207"}</definedName>
    <definedName name="TESV" localSheetId="7" hidden="1">{"'S. C. B.'!$E$207"}</definedName>
    <definedName name="TESV" localSheetId="8" hidden="1">{"'S. C. B.'!$E$207"}</definedName>
    <definedName name="TESV" localSheetId="0" hidden="1">{"'S. C. B.'!$E$207"}</definedName>
    <definedName name="TESV" localSheetId="10" hidden="1">{"'S. C. B.'!$E$207"}</definedName>
    <definedName name="TESV" hidden="1">{"'S. C. B.'!$E$207"}</definedName>
    <definedName name="tid" localSheetId="16" hidden="1">{"'S. C. B.'!$E$207"}</definedName>
    <definedName name="tid" localSheetId="19" hidden="1">{"'S. C. B.'!$E$207"}</definedName>
    <definedName name="tid" localSheetId="7" hidden="1">{"'S. C. B.'!$E$207"}</definedName>
    <definedName name="tid" localSheetId="8" hidden="1">{"'S. C. B.'!$E$207"}</definedName>
    <definedName name="tid" localSheetId="0" hidden="1">{"'S. C. B.'!$E$207"}</definedName>
    <definedName name="tid" localSheetId="10" hidden="1">{"'S. C. B.'!$E$207"}</definedName>
    <definedName name="tid" hidden="1">{"'S. C. B.'!$E$207"}</definedName>
    <definedName name="_xlnm.Print_Titles">[21]DATOS!$A$1:$IV$5</definedName>
    <definedName name="Títulos_a_imprimir_IM">[3]PYG0003!$A$2:$IV$7</definedName>
    <definedName name="uen" localSheetId="19">[9]UEN!$A$2:$A$6</definedName>
    <definedName name="uen">[10]UEN!$A$2:$A$6</definedName>
    <definedName name="UEn_Descripcion" localSheetId="19">[9]UEN!$A$2:$B$6</definedName>
    <definedName name="UEn_Descripcion">[10]UEN!$A$2:$B$6</definedName>
    <definedName name="VENTA" localSheetId="16" hidden="1">{"'S. C. B.'!$E$207"}</definedName>
    <definedName name="VENTA" localSheetId="19" hidden="1">{"'S. C. B.'!$E$207"}</definedName>
    <definedName name="VENTA" localSheetId="7" hidden="1">{"'S. C. B.'!$E$207"}</definedName>
    <definedName name="VENTA" localSheetId="8" hidden="1">{"'S. C. B.'!$E$207"}</definedName>
    <definedName name="VENTA" localSheetId="0" hidden="1">{"'S. C. B.'!$E$207"}</definedName>
    <definedName name="VENTA" localSheetId="10" hidden="1">{"'S. C. B.'!$E$207"}</definedName>
    <definedName name="VENTA" hidden="1">{"'S. C. B.'!$E$207"}</definedName>
    <definedName name="VENTAS" localSheetId="16" hidden="1">{"'S. C. B.'!$E$207"}</definedName>
    <definedName name="VENTAS" localSheetId="19" hidden="1">{"'S. C. B.'!$E$207"}</definedName>
    <definedName name="VENTAS" localSheetId="7" hidden="1">{"'S. C. B.'!$E$207"}</definedName>
    <definedName name="VENTAS" localSheetId="8" hidden="1">{"'S. C. B.'!$E$207"}</definedName>
    <definedName name="VENTAS" localSheetId="0" hidden="1">{"'S. C. B.'!$E$207"}</definedName>
    <definedName name="VENTAS" localSheetId="10" hidden="1">{"'S. C. B.'!$E$207"}</definedName>
    <definedName name="VENTAS" hidden="1">{"'S. C. B.'!$E$207"}</definedName>
    <definedName name="VTA" localSheetId="16" hidden="1">{"'S. C. B.'!$E$207"}</definedName>
    <definedName name="VTA" localSheetId="19" hidden="1">{"'S. C. B.'!$E$207"}</definedName>
    <definedName name="VTA" localSheetId="7" hidden="1">{"'S. C. B.'!$E$207"}</definedName>
    <definedName name="VTA" localSheetId="8" hidden="1">{"'S. C. B.'!$E$207"}</definedName>
    <definedName name="VTA" localSheetId="0" hidden="1">{"'S. C. B.'!$E$207"}</definedName>
    <definedName name="VTA" localSheetId="10" hidden="1">{"'S. C. B.'!$E$207"}</definedName>
    <definedName name="VTA" hidden="1">{"'S. C. B.'!$E$207"}</definedName>
    <definedName name="yadira" localSheetId="19">'[22]HONORARIOS '!$A$2:$A$557</definedName>
    <definedName name="yadira">'[23]HONORARIOS '!$A$2:$A$557</definedName>
  </definedNames>
  <calcPr calcId="125725" iterateDelta="1E-4"/>
</workbook>
</file>

<file path=xl/calcChain.xml><?xml version="1.0" encoding="utf-8"?>
<calcChain xmlns="http://schemas.openxmlformats.org/spreadsheetml/2006/main">
  <c r="F25" i="82"/>
  <c r="C24" i="81"/>
  <c r="F26" i="82" l="1"/>
  <c r="G33" s="1"/>
  <c r="F35" s="1"/>
  <c r="F24"/>
  <c r="D13" i="81"/>
  <c r="F6" i="82" s="1"/>
  <c r="F7" s="1"/>
  <c r="G14" s="1"/>
  <c r="F16" s="1"/>
  <c r="C22" i="81" s="1"/>
  <c r="C26" s="1"/>
  <c r="G20" l="1"/>
  <c r="D20" s="1"/>
</calcChain>
</file>

<file path=xl/comments1.xml><?xml version="1.0" encoding="utf-8"?>
<comments xmlns="http://schemas.openxmlformats.org/spreadsheetml/2006/main">
  <authors>
    <author>Usuario</author>
  </authors>
  <commentList>
    <comment ref="B6" authorId="0">
      <text>
        <r>
          <rPr>
            <b/>
            <sz val="12"/>
            <color indexed="81"/>
            <rFont val="Arial"/>
            <family val="2"/>
          </rPr>
          <t>Hasta la ley 1819 de 2016 en las rentas no laborales también se incluían</t>
        </r>
        <r>
          <rPr>
            <sz val="12"/>
            <color indexed="81"/>
            <rFont val="Arial"/>
            <family val="2"/>
          </rPr>
          <t xml:space="preserve"> "Los </t>
        </r>
        <r>
          <rPr>
            <b/>
            <sz val="12"/>
            <color indexed="81"/>
            <rFont val="Arial"/>
            <family val="2"/>
          </rPr>
          <t>honorarios percibidos por las personas naturales</t>
        </r>
        <r>
          <rPr>
            <sz val="12"/>
            <color indexed="81"/>
            <rFont val="Arial"/>
            <family val="2"/>
          </rPr>
          <t xml:space="preserve"> que presten servicios y que contraten o vinculen por al menos noventa </t>
        </r>
        <r>
          <rPr>
            <b/>
            <sz val="12"/>
            <color indexed="81"/>
            <rFont val="Arial"/>
            <family val="2"/>
          </rPr>
          <t>(90)</t>
        </r>
        <r>
          <rPr>
            <sz val="12"/>
            <color indexed="81"/>
            <rFont val="Arial"/>
            <family val="2"/>
          </rPr>
          <t xml:space="preserve"> días continuos o discontinuos, dos </t>
        </r>
        <r>
          <rPr>
            <b/>
            <sz val="12"/>
            <color indexed="81"/>
            <rFont val="Arial"/>
            <family val="2"/>
          </rPr>
          <t xml:space="preserve">(2) </t>
        </r>
        <r>
          <rPr>
            <sz val="12"/>
            <color indexed="81"/>
            <rFont val="Arial"/>
            <family val="2"/>
          </rPr>
          <t xml:space="preserve">o más trabajadores o contratistas asociados a la actividad, serán ingresos de la cédula de rentas no laborales. En este caso, ningún ingreso por honorario podrá ser incluido en la cédula de rentas de trabajo". </t>
        </r>
        <r>
          <rPr>
            <b/>
            <sz val="12"/>
            <color indexed="81"/>
            <rFont val="Arial"/>
            <family val="2"/>
          </rPr>
          <t xml:space="preserve">(Artículo 340 E.T., derogado)
</t>
        </r>
        <r>
          <rPr>
            <sz val="12"/>
            <color indexed="81"/>
            <rFont val="Arial"/>
            <family val="2"/>
          </rPr>
          <t xml:space="preserve">
</t>
        </r>
      </text>
    </comment>
  </commentList>
</comments>
</file>

<file path=xl/sharedStrings.xml><?xml version="1.0" encoding="utf-8"?>
<sst xmlns="http://schemas.openxmlformats.org/spreadsheetml/2006/main" count="276" uniqueCount="203">
  <si>
    <t xml:space="preserve">           Regresar</t>
  </si>
  <si>
    <t>Realización de cesantías</t>
  </si>
  <si>
    <t>Para los contribuyentes no obligados a llevar contabilidad se entienden realizados los ingresos cuando se reciben efectivamente en dinero o en especie, en forma que equivalga legalmente a un pago, o cuando el derecho a exigirlos se extingue por cualquier otro modo legal distinto al pago, como en el caso de las compensaciones o confusiones. Por consiguiente, los ingresos recibidos por anticipado, que correspondan a rentas no realizadas, sólo se gravan en el año período gravable en que se realicen.</t>
  </si>
  <si>
    <t>2. Los ingresos provenientes de la enajenación de bienes inmuebles, se entienden realizados en la fecha de la escritura pública correspondiente.</t>
  </si>
  <si>
    <t>Se exceptúan de la norma anterior:
1. Los ingresos por concepto de dividendos o participaciones en utilidades, se entienden realizados por los respectivos accionistas, socios, comuneros, asociados, suscriptores o similares, cuando les hayan sido abonados en cuenta en calidad de exigibles. En el caso del numeral 2° del artículo 30 de este Estatuto, se entenderá que dichos dividendos o participaciones en utilidades se realizan al momento de la transferencia de las utilidades, y</t>
  </si>
  <si>
    <t>Artículo 27 E.T. Realización del ingreso para los no obligados a llevar contabilidad</t>
  </si>
  <si>
    <t xml:space="preserve">Sin modificación </t>
  </si>
  <si>
    <t>Aportes obligatorios al Sistema
General de Pensiones</t>
  </si>
  <si>
    <t>Artículo 55 E.T. Aportes al sistema general de pensiones</t>
  </si>
  <si>
    <r>
      <rPr>
        <b/>
        <sz val="12"/>
        <color theme="1"/>
        <rFont val="Arial"/>
        <family val="2"/>
      </rPr>
      <t>Parágrafo</t>
    </r>
    <r>
      <rPr>
        <sz val="12"/>
        <color theme="1"/>
        <rFont val="Arial"/>
        <family val="2"/>
      </rPr>
      <t>. Los retiros, parciales o totales, de las cotizaciones voluntarias, que hayan efectuado los afiliados al régimen de ahorro individual con solidaridad, para fines distintos a la obtención de una mayor pensión o un retiro anticipado, constituirán renta gravada en el año en que sean retirados.  La respectiva sociedad administradora efectuará la retención en la fuente a la tarifa del 35% al momento del retiro.</t>
    </r>
  </si>
  <si>
    <t>Repetido</t>
  </si>
  <si>
    <t>6. El seguro por muerte, y las compensaciones por muerte de los miembros de las Fuerzas Militares y de la Policía Nacional.</t>
  </si>
  <si>
    <t xml:space="preserve">7. *** -El Inciso 1 y 2 fueron declarados Inexequibles -
En el caso de los Magistrados de los Tribunales y de sus Fiscales, se considerará como gastos de representación exentos un porcentaje equivalente al cincuenta por ciento (50%) de su salario.
Para los Jueces de la República el porcentaje exento será del veinticinco por ciento (25%) sobre su salario.
En el caso de los rectores y profesores de universidades oficiales, los gastos de representación no podrán exceder del cincuenta por ciento (50%) de su salario.
</t>
  </si>
  <si>
    <t>8. El exceso del salario básico percibido por los oficiales y suboficiales de las Fuerzas Militares y de la Policía Nacional y de los agentes de ésta última.</t>
  </si>
  <si>
    <r>
      <t xml:space="preserve">6. El seguro por muerte, las compensaciones por muerte </t>
    </r>
    <r>
      <rPr>
        <b/>
        <sz val="12"/>
        <color theme="1"/>
        <rFont val="Arial"/>
        <family val="2"/>
      </rPr>
      <t>y las prestaciones sociales en actividad y en retiro</t>
    </r>
    <r>
      <rPr>
        <sz val="12"/>
        <color theme="1"/>
        <rFont val="Arial"/>
        <family val="2"/>
      </rPr>
      <t xml:space="preserve"> de los miembros de las Fuerzas Militares y de la Policía Nacional. </t>
    </r>
  </si>
  <si>
    <r>
      <t xml:space="preserve">8. El exceso del salario básico percibido por los Oficiales, Suboficiales </t>
    </r>
    <r>
      <rPr>
        <b/>
        <sz val="12"/>
        <color theme="1"/>
        <rFont val="Arial"/>
        <family val="2"/>
      </rPr>
      <t>y Soldados Profesionales de las Fuerzas Militares y Oficiales, Suboficiales, Nivel Ejecutivo, Patrulleros y Agentes de la Policía Nacional.</t>
    </r>
    <r>
      <rPr>
        <sz val="12"/>
        <color theme="1"/>
        <rFont val="Arial"/>
        <family val="2"/>
      </rPr>
      <t xml:space="preserve"> </t>
    </r>
  </si>
  <si>
    <t>Artículo 206 E.T. Rentas de trabajo exentas</t>
  </si>
  <si>
    <r>
      <rPr>
        <b/>
        <sz val="12"/>
        <color indexed="8"/>
        <rFont val="Arial"/>
        <family val="2"/>
      </rPr>
      <t>Tarifa para las personas naturales residentes y asignaciones y donaciones modales</t>
    </r>
    <r>
      <rPr>
        <sz val="12"/>
        <color indexed="8"/>
        <rFont val="Arial"/>
        <family val="2"/>
      </rPr>
      <t xml:space="preserve">. El impuesto sobre la renta de las personas naturales residentes en el país, de las </t>
    </r>
    <r>
      <rPr>
        <b/>
        <sz val="12"/>
        <color indexed="8"/>
        <rFont val="Arial"/>
        <family val="2"/>
      </rPr>
      <t>sucesiones</t>
    </r>
    <r>
      <rPr>
        <sz val="12"/>
        <color indexed="8"/>
        <rFont val="Arial"/>
        <family val="2"/>
      </rPr>
      <t xml:space="preserve"> de causantes residentes en el país, y de los bienes destinados a fines especiales, en virtud de donaciones o asignaciones modales, se determinará de acuerdo con las siguientes tablas: 
</t>
    </r>
  </si>
  <si>
    <r>
      <t xml:space="preserve">1. </t>
    </r>
    <r>
      <rPr>
        <b/>
        <sz val="12"/>
        <color indexed="8"/>
        <rFont val="Arial"/>
        <family val="2"/>
      </rPr>
      <t>Para la renta líquida laboral y de pensiones</t>
    </r>
    <r>
      <rPr>
        <sz val="12"/>
        <color indexed="8"/>
        <rFont val="Arial"/>
        <family val="2"/>
      </rPr>
      <t>:</t>
    </r>
  </si>
  <si>
    <t>Rangos en UVT</t>
  </si>
  <si>
    <t>Tarifa Marginal</t>
  </si>
  <si>
    <t>Impuesto</t>
  </si>
  <si>
    <t>Desde</t>
  </si>
  <si>
    <t>Hasta</t>
  </si>
  <si>
    <t>&gt;0</t>
  </si>
  <si>
    <t>No tiene</t>
  </si>
  <si>
    <t>&gt;1090</t>
  </si>
  <si>
    <t>(Base gravable en UVT menos 1.090 UVT) *19%</t>
  </si>
  <si>
    <t>&gt;1700</t>
  </si>
  <si>
    <t>(Base gravable en UVT menos 1700 UVT) *28%+116 UVT</t>
  </si>
  <si>
    <t>&gt;4100</t>
  </si>
  <si>
    <t>En adelante</t>
  </si>
  <si>
    <t>(Base gravable en UVT menos 4100 UVT) *33%+788 UVT</t>
  </si>
  <si>
    <t>1. Para la renta líquida laboral y de pensiones:</t>
  </si>
  <si>
    <t>IMPUESTO DE RENTA PERSONAS NATURALES</t>
  </si>
  <si>
    <t>RENTAS DE TRABAJO</t>
  </si>
  <si>
    <t>Artículo 241 E.T.:</t>
  </si>
  <si>
    <t xml:space="preserve">   Regresar</t>
  </si>
  <si>
    <t>RENTAS DE CAPITAL</t>
  </si>
  <si>
    <t>2. Para la renta líquida no laboral y de capital:</t>
  </si>
  <si>
    <t>&gt;600</t>
  </si>
  <si>
    <t>(Base gravable en UVT menos 600 UVT) *10%</t>
  </si>
  <si>
    <t>&gt;1000</t>
  </si>
  <si>
    <t>(Base gravable en UVT menos 1000 UVT) *20%+40 UVT</t>
  </si>
  <si>
    <t>&gt;2000</t>
  </si>
  <si>
    <t>(Base gravable en UVT menos 2000 UVT) *30%+240 UVT</t>
  </si>
  <si>
    <t>&gt;3000</t>
  </si>
  <si>
    <t>(Base gravable en UVT menos 3000 UVT) *33%+540 UVT</t>
  </si>
  <si>
    <t>&gt;4000</t>
  </si>
  <si>
    <t>(Base gravable en UVT menos 4000 UVT) *35%+870 UVT</t>
  </si>
  <si>
    <t>El impuesto sobre la renta de las personas naturales residentes en el país, de las sucesiones de causantes residentes en el país, y de los bienes destinados a fines especiales, en virtud de donaciones o asignaciones modales, se determinará de acuerdo con la siguiente tabla:</t>
  </si>
  <si>
    <t>El impuesto sobre la renta de las personas naturales residentes en el país, de las sucesiones de causantes residentes en el país, y de los bienes destinados a fines especiales, en virtud de donaciones o asignaciones modales, se determinará de acuerdo con las siguientes tablas:</t>
  </si>
  <si>
    <t xml:space="preserve">Artículo 241 E.T. Tarifa para las personas naturales residentes y asignaciones y donaciones modales. </t>
  </si>
  <si>
    <t xml:space="preserve">Artículo 242 E.T. Tarifa especial para dividendos o participaciones recibidas por personas naturales residentes </t>
  </si>
  <si>
    <t>ARTÍCULO 223 E.T.</t>
  </si>
  <si>
    <r>
      <rPr>
        <b/>
        <sz val="12"/>
        <color theme="1"/>
        <rFont val="Arial"/>
        <family val="2"/>
      </rPr>
      <t>Indemnizaciones por seguros de vida</t>
    </r>
    <r>
      <rPr>
        <sz val="12"/>
        <color theme="1"/>
        <rFont val="Arial"/>
        <family val="2"/>
      </rPr>
      <t xml:space="preserve">.  Las indemnizaciones por concepto de seguros de vida percibidos durante el año o período gravable, </t>
    </r>
    <r>
      <rPr>
        <b/>
        <sz val="12"/>
        <color theme="1"/>
        <rFont val="Arial"/>
        <family val="2"/>
      </rPr>
      <t>estarán exentas del impuesto de renta y ganancias ocasionales</t>
    </r>
    <r>
      <rPr>
        <sz val="12"/>
        <color theme="1"/>
        <rFont val="Arial"/>
        <family val="2"/>
      </rPr>
      <t>.</t>
    </r>
  </si>
  <si>
    <t>ARTÍCULO 303-1 E.T.</t>
  </si>
  <si>
    <r>
      <rPr>
        <b/>
        <sz val="12"/>
        <color theme="1"/>
        <rFont val="Arial"/>
        <family val="2"/>
      </rPr>
      <t>Ganancia ocasional derivada de indemnizaciones por concepto de seguros de vida</t>
    </r>
    <r>
      <rPr>
        <sz val="12"/>
        <color theme="1"/>
        <rFont val="Arial"/>
        <family val="2"/>
      </rPr>
      <t xml:space="preserve">. A partir del año gravable </t>
    </r>
    <r>
      <rPr>
        <b/>
        <sz val="12"/>
        <color theme="1"/>
        <rFont val="Arial"/>
        <family val="2"/>
      </rPr>
      <t>2019</t>
    </r>
    <r>
      <rPr>
        <sz val="12"/>
        <color theme="1"/>
        <rFont val="Arial"/>
        <family val="2"/>
      </rPr>
      <t xml:space="preserve">, las indemnizaciones por seguros de vida, </t>
    </r>
    <r>
      <rPr>
        <b/>
        <sz val="12"/>
        <color theme="1"/>
        <rFont val="Arial"/>
        <family val="2"/>
      </rPr>
      <t>estarán gravadas con la tarifa aplicable a las ganancias ocasionales</t>
    </r>
    <r>
      <rPr>
        <sz val="12"/>
        <color theme="1"/>
        <rFont val="Arial"/>
        <family val="2"/>
      </rPr>
      <t xml:space="preserve">, en el </t>
    </r>
    <r>
      <rPr>
        <b/>
        <sz val="12"/>
        <color theme="1"/>
        <rFont val="Arial"/>
        <family val="2"/>
      </rPr>
      <t>monto que supere</t>
    </r>
    <r>
      <rPr>
        <sz val="12"/>
        <color theme="1"/>
        <rFont val="Arial"/>
        <family val="2"/>
      </rPr>
      <t xml:space="preserve"> doce mil quinientas (</t>
    </r>
    <r>
      <rPr>
        <b/>
        <sz val="12"/>
        <color theme="1"/>
        <rFont val="Arial"/>
        <family val="2"/>
      </rPr>
      <t>12.500</t>
    </r>
    <r>
      <rPr>
        <sz val="12"/>
        <color theme="1"/>
        <rFont val="Arial"/>
        <family val="2"/>
      </rPr>
      <t>) UVT.</t>
    </r>
  </si>
  <si>
    <t>La depuración de las rentas correspondientes a cada una de las cédulas a las que se refiere este artículo se efectuará de manera independiente, siguiendo las reglas establecidas en el artículo 26 de este Estatuto aplicables a cada caso. El resultado constituirá la renta líquida cedular.</t>
  </si>
  <si>
    <t xml:space="preserve">a) Rentas de trabajo 
b) Pensiones 
c) Rentas de capital 
d) Rentas no laborales 
e) Dividendos y participaciones
</t>
  </si>
  <si>
    <t>Artículo 330 E.T. Determinación cedular</t>
  </si>
  <si>
    <t xml:space="preserve">La depuración se efectuará de modo independiente en las siguientes cédulas: 
</t>
  </si>
  <si>
    <t xml:space="preserve">La depuración de las rentas correspondientes a cada una de las cédulas a que se refiere este artículo se efectuará de manera independiente, siguiendo las reglas establecidas en el artículo 26 de este Estatuto aplicables a cada caso. El resultado constituirá la renta líquida cedular. </t>
  </si>
  <si>
    <t>Los conceptos de ingresos no constitutivos de renta, costos, gastos, deducciones, rentas exentas, beneficios tributarios y demás conceptos susceptibles de ser restados para efectos de obtener la renta líquida cedular, no podrán ser objeto de reconocimiento simultáneo en distintas cédulas ni generarán doble beneficio.</t>
  </si>
  <si>
    <t xml:space="preserve">Los conceptos de ingresos no constitutivos de renta, costos, gastos, deducciones, rentas exentas, beneficios tributarios y demás conceptos susceptibles de ser restados para efectos de obtener la renta líquida cedular, no podrán ser objeto de reconocimiento simultáneo en distintas cédulas ni generarán doble beneficio. 
</t>
  </si>
  <si>
    <r>
      <rPr>
        <b/>
        <sz val="12"/>
        <color theme="1"/>
        <rFont val="Arial"/>
        <family val="2"/>
      </rPr>
      <t>a)</t>
    </r>
    <r>
      <rPr>
        <sz val="12"/>
        <color theme="1"/>
        <rFont val="Arial"/>
        <family val="2"/>
      </rPr>
      <t xml:space="preserve"> Rentas de trabajo, de capital y no laborales; 
</t>
    </r>
    <r>
      <rPr>
        <b/>
        <sz val="12"/>
        <color theme="1"/>
        <rFont val="Arial"/>
        <family val="2"/>
      </rPr>
      <t>b)</t>
    </r>
    <r>
      <rPr>
        <sz val="12"/>
        <color theme="1"/>
        <rFont val="Arial"/>
        <family val="2"/>
      </rPr>
      <t xml:space="preserve"> Rentas de pensiones, y 
</t>
    </r>
    <r>
      <rPr>
        <b/>
        <sz val="12"/>
        <color theme="1"/>
        <rFont val="Arial"/>
        <family val="2"/>
      </rPr>
      <t>c)</t>
    </r>
    <r>
      <rPr>
        <sz val="12"/>
        <color theme="1"/>
        <rFont val="Arial"/>
        <family val="2"/>
      </rPr>
      <t xml:space="preserve"> Dividendos y participaciones. 
</t>
    </r>
    <r>
      <rPr>
        <b/>
        <sz val="12"/>
        <color theme="1"/>
        <rFont val="Arial"/>
        <family val="2"/>
      </rPr>
      <t>La cédula de dividendos y participaciones no admite costos ni deducciones.</t>
    </r>
    <r>
      <rPr>
        <sz val="12"/>
        <color theme="1"/>
        <rFont val="Arial"/>
        <family val="2"/>
      </rPr>
      <t xml:space="preserve"> 
</t>
    </r>
  </si>
  <si>
    <t>Artículo 331 E.T. Rentas líquidas gravables</t>
  </si>
  <si>
    <t>Para efectos de determinar las rentas liquidas gravables a las que le serán aplicables las tarifas establecidas en el artículo 241 de este estatuto, se seguirán las siguientes reglas:</t>
  </si>
  <si>
    <t>Las pérdidas de las rentas líquidas cedulares no se sumarán para efectos de determinar la renta líquida gravable. en cualquier caso, podrán compensarse en los términos del artículo 330 de este estatuto.</t>
  </si>
  <si>
    <t xml:space="preserve">Para efectos de determinar las rentas líquidas gravables a las que le serán aplicables las tarifas establecidas en el artículo 241 de este Estatuto, se seguirán las siguientes reglas: </t>
  </si>
  <si>
    <r>
      <t xml:space="preserve">1. Se sumarán </t>
    </r>
    <r>
      <rPr>
        <b/>
        <sz val="12"/>
        <color theme="1"/>
        <rFont val="Arial"/>
        <family val="2"/>
      </rPr>
      <t>las rentas</t>
    </r>
    <r>
      <rPr>
        <sz val="12"/>
        <color theme="1"/>
        <rFont val="Arial"/>
        <family val="2"/>
      </rPr>
      <t xml:space="preserve"> </t>
    </r>
    <r>
      <rPr>
        <b/>
        <sz val="12"/>
        <color theme="1"/>
        <rFont val="Arial"/>
        <family val="2"/>
      </rPr>
      <t>líquidas cedulares</t>
    </r>
    <r>
      <rPr>
        <sz val="12"/>
        <color theme="1"/>
        <rFont val="Arial"/>
        <family val="2"/>
      </rPr>
      <t xml:space="preserve"> obtenidas en las rentas de </t>
    </r>
    <r>
      <rPr>
        <b/>
        <u/>
        <sz val="12"/>
        <color theme="1"/>
        <rFont val="Arial"/>
        <family val="2"/>
      </rPr>
      <t>trabajo y de pensiones</t>
    </r>
    <r>
      <rPr>
        <sz val="12"/>
        <color theme="1"/>
        <rFont val="Arial"/>
        <family val="2"/>
      </rPr>
      <t xml:space="preserve">. A esta renta liquida gravable le será aplicable la </t>
    </r>
    <r>
      <rPr>
        <b/>
        <u/>
        <sz val="12"/>
        <color theme="1"/>
        <rFont val="Arial"/>
        <family val="2"/>
      </rPr>
      <t>tarifa</t>
    </r>
    <r>
      <rPr>
        <sz val="12"/>
        <color theme="1"/>
        <rFont val="Arial"/>
        <family val="2"/>
      </rPr>
      <t xml:space="preserve"> señalada en el </t>
    </r>
    <r>
      <rPr>
        <b/>
        <u/>
        <sz val="12"/>
        <color theme="1"/>
        <rFont val="Arial"/>
        <family val="2"/>
      </rPr>
      <t>numeral 1 del artículo 241</t>
    </r>
    <r>
      <rPr>
        <sz val="12"/>
        <color theme="1"/>
        <rFont val="Arial"/>
        <family val="2"/>
      </rPr>
      <t>.</t>
    </r>
  </si>
  <si>
    <r>
      <t xml:space="preserve">2. Se sumarán </t>
    </r>
    <r>
      <rPr>
        <b/>
        <sz val="12"/>
        <color theme="1"/>
        <rFont val="Arial"/>
        <family val="2"/>
      </rPr>
      <t>las rentas líquidas cedulares</t>
    </r>
    <r>
      <rPr>
        <sz val="12"/>
        <color theme="1"/>
        <rFont val="Arial"/>
        <family val="2"/>
      </rPr>
      <t xml:space="preserve"> obtenidas en las rentas </t>
    </r>
    <r>
      <rPr>
        <b/>
        <u/>
        <sz val="12"/>
        <color theme="1"/>
        <rFont val="Arial"/>
        <family val="2"/>
      </rPr>
      <t>no laborales y en las rentas de capital</t>
    </r>
    <r>
      <rPr>
        <sz val="12"/>
        <color theme="1"/>
        <rFont val="Arial"/>
        <family val="2"/>
      </rPr>
      <t xml:space="preserve">. a esta renta líquida gravable le será aplicable la </t>
    </r>
    <r>
      <rPr>
        <b/>
        <u/>
        <sz val="12"/>
        <color theme="1"/>
        <rFont val="Arial"/>
        <family val="2"/>
      </rPr>
      <t>tarifa</t>
    </r>
    <r>
      <rPr>
        <sz val="12"/>
        <color theme="1"/>
        <rFont val="Arial"/>
        <family val="2"/>
      </rPr>
      <t xml:space="preserve"> señalada en el </t>
    </r>
    <r>
      <rPr>
        <b/>
        <u/>
        <sz val="12"/>
        <color theme="1"/>
        <rFont val="Arial"/>
        <family val="2"/>
      </rPr>
      <t>numeral 2 del artículo 241</t>
    </r>
    <r>
      <rPr>
        <sz val="12"/>
        <color theme="1"/>
        <rFont val="Arial"/>
        <family val="2"/>
      </rPr>
      <t>.</t>
    </r>
  </si>
  <si>
    <r>
      <t xml:space="preserve">Se sumarán </t>
    </r>
    <r>
      <rPr>
        <b/>
        <sz val="12"/>
        <color theme="1"/>
        <rFont val="Arial"/>
        <family val="2"/>
      </rPr>
      <t>las rentas líquidas cedulares</t>
    </r>
    <r>
      <rPr>
        <sz val="12"/>
        <color theme="1"/>
        <rFont val="Arial"/>
        <family val="2"/>
      </rPr>
      <t xml:space="preserve"> obtenidas en las rentas de </t>
    </r>
    <r>
      <rPr>
        <b/>
        <u/>
        <sz val="12"/>
        <color theme="1"/>
        <rFont val="Arial"/>
        <family val="2"/>
      </rPr>
      <t>trabajo, de capital, no laborales y de pensiones</t>
    </r>
    <r>
      <rPr>
        <sz val="12"/>
        <color theme="1"/>
        <rFont val="Arial"/>
        <family val="2"/>
      </rPr>
      <t xml:space="preserve">. A esta renta líquida gravable le será aplicable la </t>
    </r>
    <r>
      <rPr>
        <b/>
        <u/>
        <sz val="12"/>
        <color theme="1"/>
        <rFont val="Arial"/>
        <family val="2"/>
      </rPr>
      <t>tarifa</t>
    </r>
    <r>
      <rPr>
        <sz val="12"/>
        <color theme="1"/>
        <rFont val="Arial"/>
        <family val="2"/>
      </rPr>
      <t xml:space="preserve"> señalada en el artículo </t>
    </r>
    <r>
      <rPr>
        <b/>
        <u/>
        <sz val="12"/>
        <color theme="1"/>
        <rFont val="Arial"/>
        <family val="2"/>
      </rPr>
      <t>241</t>
    </r>
    <r>
      <rPr>
        <sz val="12"/>
        <color theme="1"/>
        <rFont val="Arial"/>
        <family val="2"/>
      </rPr>
      <t xml:space="preserve">. </t>
    </r>
  </si>
  <si>
    <r>
      <t xml:space="preserve">Parágrafo. A la </t>
    </r>
    <r>
      <rPr>
        <b/>
        <sz val="12"/>
        <color theme="1"/>
        <rFont val="Arial"/>
        <family val="2"/>
      </rPr>
      <t>renta líquida cedular</t>
    </r>
    <r>
      <rPr>
        <sz val="12"/>
        <color theme="1"/>
        <rFont val="Arial"/>
        <family val="2"/>
      </rPr>
      <t xml:space="preserve"> obtenida en la cédula de </t>
    </r>
    <r>
      <rPr>
        <b/>
        <u/>
        <sz val="12"/>
        <color theme="1"/>
        <rFont val="Arial"/>
        <family val="2"/>
      </rPr>
      <t>dividendos y participaciones</t>
    </r>
    <r>
      <rPr>
        <sz val="12"/>
        <color theme="1"/>
        <rFont val="Arial"/>
        <family val="2"/>
      </rPr>
      <t xml:space="preserve"> le será aplicable la </t>
    </r>
    <r>
      <rPr>
        <b/>
        <u/>
        <sz val="12"/>
        <color theme="1"/>
        <rFont val="Arial"/>
        <family val="2"/>
      </rPr>
      <t>tarifa</t>
    </r>
    <r>
      <rPr>
        <sz val="12"/>
        <color theme="1"/>
        <rFont val="Arial"/>
        <family val="2"/>
      </rPr>
      <t xml:space="preserve"> establecida en el </t>
    </r>
    <r>
      <rPr>
        <b/>
        <u/>
        <sz val="12"/>
        <color theme="1"/>
        <rFont val="Arial"/>
        <family val="2"/>
      </rPr>
      <t>artículo 242</t>
    </r>
    <r>
      <rPr>
        <sz val="12"/>
        <color theme="1"/>
        <rFont val="Arial"/>
        <family val="2"/>
      </rPr>
      <t xml:space="preserve"> de este Estatuto</t>
    </r>
  </si>
  <si>
    <r>
      <t xml:space="preserve">A la </t>
    </r>
    <r>
      <rPr>
        <b/>
        <sz val="12"/>
        <color theme="1"/>
        <rFont val="Arial"/>
        <family val="2"/>
      </rPr>
      <t>renta líquida cedular</t>
    </r>
    <r>
      <rPr>
        <sz val="12"/>
        <color theme="1"/>
        <rFont val="Arial"/>
        <family val="2"/>
      </rPr>
      <t xml:space="preserve"> obtenida en la cédula de </t>
    </r>
    <r>
      <rPr>
        <b/>
        <u/>
        <sz val="12"/>
        <color theme="1"/>
        <rFont val="Arial"/>
        <family val="2"/>
      </rPr>
      <t>dividendos y participaciones</t>
    </r>
    <r>
      <rPr>
        <sz val="12"/>
        <color theme="1"/>
        <rFont val="Arial"/>
        <family val="2"/>
      </rPr>
      <t xml:space="preserve"> le será aplicable la </t>
    </r>
    <r>
      <rPr>
        <b/>
        <u/>
        <sz val="12"/>
        <color theme="1"/>
        <rFont val="Arial"/>
        <family val="2"/>
      </rPr>
      <t>tarifa</t>
    </r>
    <r>
      <rPr>
        <sz val="12"/>
        <color theme="1"/>
        <rFont val="Arial"/>
        <family val="2"/>
      </rPr>
      <t xml:space="preserve"> establecida en el </t>
    </r>
    <r>
      <rPr>
        <b/>
        <u/>
        <sz val="12"/>
        <color theme="1"/>
        <rFont val="Arial"/>
        <family val="2"/>
      </rPr>
      <t>artículo</t>
    </r>
    <r>
      <rPr>
        <sz val="12"/>
        <color theme="1"/>
        <rFont val="Arial"/>
        <family val="2"/>
      </rPr>
      <t xml:space="preserve"> </t>
    </r>
    <r>
      <rPr>
        <b/>
        <sz val="12"/>
        <color theme="1"/>
        <rFont val="Arial"/>
        <family val="2"/>
      </rPr>
      <t>242</t>
    </r>
    <r>
      <rPr>
        <sz val="12"/>
        <color theme="1"/>
        <rFont val="Arial"/>
        <family val="2"/>
      </rPr>
      <t xml:space="preserve"> de este estatuto.</t>
    </r>
  </si>
  <si>
    <t>Artículo 332 E.T. Base de renta presuntiva</t>
  </si>
  <si>
    <t>Artículo 335.  Ingresos de la cédula general</t>
  </si>
  <si>
    <t>Artículo 336.  Renta líquida gravable de la cédula general</t>
  </si>
  <si>
    <t>Artículo 383 Tarifa retención ingresos laborales</t>
  </si>
  <si>
    <t>De.</t>
  </si>
  <si>
    <t>&gt;95</t>
  </si>
  <si>
    <t>(Ingreso laboral gravado expresado en UVT menos 95 UVT)*19%</t>
  </si>
  <si>
    <t>&gt;150</t>
  </si>
  <si>
    <t>(Ingreso laboral gravado expresado en UVT menos 150 UVT)*28% más 10 UVT</t>
  </si>
  <si>
    <t>&gt;360</t>
  </si>
  <si>
    <t>(Ingreso laboral gravado expresado en UVT menos 360 UVT)*33% más 69 UVT</t>
  </si>
  <si>
    <t>La retención a la que se refiere este parágrafo se hará por "pagos mensualizados". Para ello se tomará el monto total del valor del contrato menos los respectivos aportes obligatorios a salud y pensiones, y se dividirá por el número de meses de vigencia del mismo. Ese valor mensual corresponde a la base de retención en la fuente que debe ubicarse en la tabla. En el caso en el cual los pagos correspondientes al contrato no sean efectuados mensualmente, el pagador deberá efectuar la retención en la fuente de acuerdo con el cálculo mencionado en este parágrafo, independientemente de la periodicidad pactada para los pagos del contrato; cuando realice el pagodeberá retener el equivalente a la suma total de la retención mensualizada.</t>
  </si>
  <si>
    <t>VER TABLA DE RETENCIÓN</t>
  </si>
  <si>
    <r>
      <rPr>
        <b/>
        <sz val="12"/>
        <color theme="1"/>
        <rFont val="Arial"/>
        <family val="2"/>
      </rPr>
      <t>Parágrafo 3</t>
    </r>
    <r>
      <rPr>
        <sz val="12"/>
        <color theme="1"/>
        <rFont val="Arial"/>
        <family val="2"/>
      </rPr>
      <t xml:space="preserve">. </t>
    </r>
    <r>
      <rPr>
        <b/>
        <sz val="12"/>
        <color theme="1"/>
        <rFont val="Arial"/>
        <family val="2"/>
      </rPr>
      <t>Las personas naturales podrán solicitar la aplicación de una tarifa de retención en la fuente superior a la determinada de conformidad con el presente artículo</t>
    </r>
    <r>
      <rPr>
        <sz val="12"/>
        <color theme="1"/>
        <rFont val="Arial"/>
        <family val="2"/>
      </rPr>
      <t>, para la cual deberá indicarla por escrito al respectivo pagador. El incremento en la tarifa de retención en la fuente será aplicable a partir del mes siguiente a la presentación de la solicitud.</t>
    </r>
  </si>
  <si>
    <t>Sin modificación</t>
  </si>
  <si>
    <t>Rentas de trabajo exentas</t>
  </si>
  <si>
    <t>Tarifa dividendos residentes</t>
  </si>
  <si>
    <t>Seguros de vida</t>
  </si>
  <si>
    <t>Determinación cedular</t>
  </si>
  <si>
    <t>Renta líquida cedular</t>
  </si>
  <si>
    <t>Renta presuntiva</t>
  </si>
  <si>
    <t>Cédula general (ingresos y renta líquida)</t>
  </si>
  <si>
    <t>Retención ingresos laborales</t>
  </si>
  <si>
    <t>Derogado</t>
  </si>
  <si>
    <t>Art. 206-1 E.T. Determinación de la renta para servidores públicos diplomáticos, consulares y administrativos del Ministerio de Relaciones Exteriores</t>
  </si>
  <si>
    <t>Para efectos de la determinación del impuesto sobre la renta y complementarios de los servidores públicos diplomáticos, consulares y administrativos del Ministerio de Relaciones Exteriores, la prima especial y la prima de costo de vida de que trata el Decreto 3357 de 2009, estarán exentas del impuesto sobre la renta.</t>
  </si>
  <si>
    <r>
      <t xml:space="preserve">Para efectos de la determinación del impuesto sobre la renta y complementarios de los servidores públicos diplomáticos, consulares y administrativos del Ministerio de Relaciones Exteriores, la prima especial y la prima de costo de vida de que trata el Decreto 3357 de 2009, </t>
    </r>
    <r>
      <rPr>
        <b/>
        <sz val="12"/>
        <color theme="1"/>
        <rFont val="Arial"/>
        <family val="2"/>
      </rPr>
      <t>o las normas que lo modifiquen o sustituyan, estarán exentas del impuesto sobre la renta</t>
    </r>
    <r>
      <rPr>
        <sz val="12"/>
        <color theme="1"/>
        <rFont val="Arial"/>
        <family val="2"/>
      </rPr>
      <t xml:space="preserve">. </t>
    </r>
  </si>
  <si>
    <t>Transición en materia de dividendos</t>
  </si>
  <si>
    <t>Determinación de la renta para servidores públicos diplomáticos, consulares y administrativos del Ministerio de Relaciones Exteriores</t>
  </si>
  <si>
    <r>
      <t xml:space="preserve">Los </t>
    </r>
    <r>
      <rPr>
        <b/>
        <sz val="12"/>
        <color theme="1"/>
        <rFont val="Arial"/>
        <family val="2"/>
      </rPr>
      <t>dividendos</t>
    </r>
    <r>
      <rPr>
        <sz val="12"/>
        <color theme="1"/>
        <rFont val="Arial"/>
        <family val="2"/>
      </rPr>
      <t xml:space="preserve"> decretados en calidad de exigibles a </t>
    </r>
    <r>
      <rPr>
        <b/>
        <u/>
        <sz val="12"/>
        <color theme="1"/>
        <rFont val="Arial"/>
        <family val="2"/>
      </rPr>
      <t>31 de diciembre de 2018</t>
    </r>
    <r>
      <rPr>
        <sz val="12"/>
        <color theme="1"/>
        <rFont val="Arial"/>
        <family val="2"/>
      </rPr>
      <t xml:space="preserve">, </t>
    </r>
    <r>
      <rPr>
        <b/>
        <sz val="12"/>
        <color theme="1"/>
        <rFont val="Arial"/>
        <family val="2"/>
      </rPr>
      <t>mantendrán el tratamiento aplicable con anterioridad a la vigencia de esta Ley</t>
    </r>
    <r>
      <rPr>
        <sz val="12"/>
        <color theme="1"/>
        <rFont val="Arial"/>
        <family val="2"/>
      </rPr>
      <t>.</t>
    </r>
  </si>
  <si>
    <r>
      <t xml:space="preserve">3. </t>
    </r>
    <r>
      <rPr>
        <b/>
        <sz val="12"/>
        <color theme="1"/>
        <rFont val="Arial"/>
        <family val="2"/>
      </rPr>
      <t>Los ingresos por concepto de auxilio de cesantías y los intereses sobre cesantías, se entenderán realizados en el momento del pago del empleador directo al trabajador o en el momento de consignación al fondo de cesantías</t>
    </r>
    <r>
      <rPr>
        <sz val="12"/>
        <color theme="1"/>
        <rFont val="Arial"/>
        <family val="2"/>
      </rPr>
      <t xml:space="preserve">. El tratamiento aquí previsto para el auxilio de cesantías y los intereses sobre cesantías, dará lugar a la aplicación de la renta exenta que establece el numeral 4 del artículo 206 del Estatuto Tributario, así como al reconocimiento patrimonial, cuando haya lugar a ello. </t>
    </r>
  </si>
  <si>
    <r>
      <rPr>
        <b/>
        <sz val="12"/>
        <color theme="1"/>
        <rFont val="Arial"/>
        <family val="2"/>
      </rPr>
      <t>En el caso del auxilio de cesantía del régimen tradicional del Código Sustantivo del Trabajo</t>
    </r>
    <r>
      <rPr>
        <sz val="12"/>
        <color theme="1"/>
        <rFont val="Arial"/>
        <family val="2"/>
      </rPr>
      <t xml:space="preserve">, contenido en el Capítulo VII, Título VIII, parte primera, y demás disposiciones que lo modifiquen o adicionen, </t>
    </r>
    <r>
      <rPr>
        <b/>
        <sz val="12"/>
        <color theme="1"/>
        <rFont val="Arial"/>
        <family val="2"/>
      </rPr>
      <t>se entenderá realizado con ocasión del reconocimiento por parte del empleador</t>
    </r>
    <r>
      <rPr>
        <sz val="12"/>
        <color theme="1"/>
        <rFont val="Arial"/>
        <family val="2"/>
      </rPr>
      <t>. Para tales efectos, el trabajador reconocerá cada año gravable, el ingreso por auxilio de cesantías, tomando la diferencia resultante entre los saldos a treinta y uno (31) de diciembre del año gravable materia de declaración del impuesto sobre la renta y complementarios y el del año inmediatamente anterior. En caso de retiros parciales antes del treinta y uno (31) de diciembre de cada año, el valor correspondiente será adicionado.</t>
    </r>
  </si>
  <si>
    <t>Derogatoria artículo 56-2 del E.T.</t>
  </si>
  <si>
    <r>
      <rPr>
        <b/>
        <u/>
        <sz val="12"/>
        <color theme="1"/>
        <rFont val="Arial"/>
        <family val="2"/>
      </rPr>
      <t>Los aportes obligatorios</t>
    </r>
    <r>
      <rPr>
        <sz val="12"/>
        <color theme="1"/>
        <rFont val="Arial"/>
        <family val="2"/>
      </rPr>
      <t xml:space="preserve"> que efectúen los trabajadores, empleadores y afiliados al Sistema General de Seguridad Social en Pensiones </t>
    </r>
    <r>
      <rPr>
        <b/>
        <u/>
        <sz val="12"/>
        <color theme="1"/>
        <rFont val="Arial"/>
        <family val="2"/>
      </rPr>
      <t>no harán parte de la base para aplicar la retención en la fuente por rentas de trabajo y serán considerados como un ingreso no constitutivo de renta ni de ganancia ocasional</t>
    </r>
    <r>
      <rPr>
        <sz val="12"/>
        <color theme="1"/>
        <rFont val="Arial"/>
        <family val="2"/>
      </rPr>
      <t xml:space="preserve">. Los aportes a cargo del empleador serán deducibles de su renta. </t>
    </r>
    <r>
      <rPr>
        <b/>
        <u/>
        <sz val="12"/>
        <color theme="1"/>
        <rFont val="Arial"/>
        <family val="2"/>
      </rPr>
      <t>Las cotizaciones voluntarias al régimen de ahorro individual con solidaridad son un ingreso no constitutivo de renta ni de ganancia ocasional para el aportante</t>
    </r>
    <r>
      <rPr>
        <b/>
        <sz val="12"/>
        <color theme="1"/>
        <rFont val="Arial"/>
        <family val="2"/>
      </rPr>
      <t xml:space="preserve">, en un porcentaje que no exceda el veinticinco por ciento </t>
    </r>
    <r>
      <rPr>
        <b/>
        <u/>
        <sz val="12"/>
        <color theme="1"/>
        <rFont val="Arial"/>
        <family val="2"/>
      </rPr>
      <t>(25%) del ingreso laboral o tributario anual</t>
    </r>
    <r>
      <rPr>
        <b/>
        <sz val="12"/>
        <color theme="1"/>
        <rFont val="Arial"/>
        <family val="2"/>
      </rPr>
      <t xml:space="preserve">, limitado a </t>
    </r>
    <r>
      <rPr>
        <b/>
        <u/>
        <sz val="12"/>
        <color theme="1"/>
        <rFont val="Arial"/>
        <family val="2"/>
      </rPr>
      <t>2.500 UVT</t>
    </r>
    <r>
      <rPr>
        <sz val="12"/>
        <color theme="1"/>
        <rFont val="Arial"/>
        <family val="2"/>
      </rPr>
      <t xml:space="preserve">. </t>
    </r>
    <r>
      <rPr>
        <b/>
        <u/>
        <sz val="12"/>
        <color theme="1"/>
        <rFont val="Arial"/>
        <family val="2"/>
      </rPr>
      <t>Los retiros</t>
    </r>
    <r>
      <rPr>
        <sz val="12"/>
        <color theme="1"/>
        <rFont val="Arial"/>
        <family val="2"/>
      </rPr>
      <t xml:space="preserve">, parciales o totales, de las cotizaciones voluntarias, que hayan efectuado los afiliados al régimen de ahorro individual con solidaridad para fines distintos a la obtención de una mayor pensión o un retiro anticipado, </t>
    </r>
    <r>
      <rPr>
        <b/>
        <u/>
        <sz val="12"/>
        <color theme="1"/>
        <rFont val="Arial"/>
        <family val="2"/>
      </rPr>
      <t>constituyen renta líquida gravable</t>
    </r>
    <r>
      <rPr>
        <sz val="12"/>
        <color theme="1"/>
        <rFont val="Arial"/>
        <family val="2"/>
      </rPr>
      <t xml:space="preserve"> para el aportante y la </t>
    </r>
    <r>
      <rPr>
        <b/>
        <sz val="12"/>
        <color theme="1"/>
        <rFont val="Arial"/>
        <family val="2"/>
      </rPr>
      <t xml:space="preserve">respectiva sociedad administradora efectuará la </t>
    </r>
    <r>
      <rPr>
        <b/>
        <u/>
        <sz val="12"/>
        <color theme="1"/>
        <rFont val="Arial"/>
        <family val="2"/>
      </rPr>
      <t>retención</t>
    </r>
    <r>
      <rPr>
        <sz val="12"/>
        <color theme="1"/>
        <rFont val="Arial"/>
        <family val="2"/>
      </rPr>
      <t xml:space="preserve"> en la fuente a la tarifa del </t>
    </r>
    <r>
      <rPr>
        <b/>
        <u/>
        <sz val="12"/>
        <color theme="1"/>
        <rFont val="Arial"/>
        <family val="2"/>
      </rPr>
      <t>35%</t>
    </r>
    <r>
      <rPr>
        <sz val="12"/>
        <color theme="1"/>
        <rFont val="Arial"/>
        <family val="2"/>
      </rPr>
      <t xml:space="preserve"> al momento del retiro.</t>
    </r>
  </si>
  <si>
    <r>
      <t xml:space="preserve">9. </t>
    </r>
    <r>
      <rPr>
        <b/>
        <sz val="12"/>
        <color theme="1"/>
        <rFont val="Arial"/>
        <family val="2"/>
      </rPr>
      <t xml:space="preserve">Los gastos de representación de los </t>
    </r>
    <r>
      <rPr>
        <b/>
        <u/>
        <sz val="12"/>
        <color theme="1"/>
        <rFont val="Arial"/>
        <family val="2"/>
      </rPr>
      <t>rectores y profesores</t>
    </r>
    <r>
      <rPr>
        <b/>
        <sz val="12"/>
        <color theme="1"/>
        <rFont val="Arial"/>
        <family val="2"/>
      </rPr>
      <t xml:space="preserve"> de universidades públicas</t>
    </r>
    <r>
      <rPr>
        <sz val="12"/>
        <color theme="1"/>
        <rFont val="Arial"/>
        <family val="2"/>
      </rPr>
      <t>, los cuales no podrán exceder del cincuenta (50%) de su salario.</t>
    </r>
  </si>
  <si>
    <r>
      <rPr>
        <b/>
        <sz val="12"/>
        <color theme="1"/>
        <rFont val="Arial"/>
        <family val="2"/>
      </rPr>
      <t>Parágrafo 4°</t>
    </r>
    <r>
      <rPr>
        <sz val="12"/>
        <color theme="1"/>
        <rFont val="Arial"/>
        <family val="2"/>
      </rPr>
      <t xml:space="preserve">. </t>
    </r>
    <r>
      <rPr>
        <b/>
        <u/>
        <sz val="12"/>
        <color theme="1"/>
        <rFont val="Arial"/>
        <family val="2"/>
      </rPr>
      <t>Las rentas exentas</t>
    </r>
    <r>
      <rPr>
        <sz val="12"/>
        <color theme="1"/>
        <rFont val="Arial"/>
        <family val="2"/>
      </rPr>
      <t xml:space="preserve"> establecidas en los numerales </t>
    </r>
    <r>
      <rPr>
        <b/>
        <u/>
        <sz val="12"/>
        <color theme="1"/>
        <rFont val="Arial"/>
        <family val="2"/>
      </rPr>
      <t>6, 8 y 9</t>
    </r>
    <r>
      <rPr>
        <sz val="12"/>
        <color theme="1"/>
        <rFont val="Arial"/>
        <family val="2"/>
      </rPr>
      <t xml:space="preserve"> de este artículo, </t>
    </r>
    <r>
      <rPr>
        <b/>
        <u/>
        <sz val="12"/>
        <color theme="1"/>
        <rFont val="Arial"/>
        <family val="2"/>
      </rPr>
      <t>no</t>
    </r>
    <r>
      <rPr>
        <sz val="12"/>
        <color theme="1"/>
        <rFont val="Arial"/>
        <family val="2"/>
      </rPr>
      <t xml:space="preserve"> estarán </t>
    </r>
    <r>
      <rPr>
        <b/>
        <sz val="12"/>
        <color theme="1"/>
        <rFont val="Arial"/>
        <family val="2"/>
      </rPr>
      <t xml:space="preserve">sujetas a las </t>
    </r>
    <r>
      <rPr>
        <b/>
        <u/>
        <sz val="12"/>
        <color theme="1"/>
        <rFont val="Arial"/>
        <family val="2"/>
      </rPr>
      <t>limitantes</t>
    </r>
    <r>
      <rPr>
        <sz val="12"/>
        <color theme="1"/>
        <rFont val="Arial"/>
        <family val="2"/>
      </rPr>
      <t xml:space="preserve"> previstas en el </t>
    </r>
    <r>
      <rPr>
        <b/>
        <u/>
        <sz val="12"/>
        <color theme="1"/>
        <rFont val="Arial"/>
        <family val="2"/>
      </rPr>
      <t>numeral 3 del artículo 336</t>
    </r>
    <r>
      <rPr>
        <sz val="12"/>
        <color theme="1"/>
        <rFont val="Arial"/>
        <family val="2"/>
      </rPr>
      <t xml:space="preserve"> de este Estatuto. </t>
    </r>
  </si>
  <si>
    <r>
      <rPr>
        <b/>
        <sz val="12"/>
        <color theme="1"/>
        <rFont val="Arial"/>
        <family val="2"/>
      </rPr>
      <t>Parágrafo 5°</t>
    </r>
    <r>
      <rPr>
        <sz val="12"/>
        <color theme="1"/>
        <rFont val="Arial"/>
        <family val="2"/>
      </rPr>
      <t xml:space="preserve">. </t>
    </r>
    <r>
      <rPr>
        <b/>
        <u/>
        <sz val="12"/>
        <color theme="1"/>
        <rFont val="Arial"/>
        <family val="2"/>
      </rPr>
      <t>La exención</t>
    </r>
    <r>
      <rPr>
        <b/>
        <sz val="12"/>
        <color theme="1"/>
        <rFont val="Arial"/>
        <family val="2"/>
      </rPr>
      <t xml:space="preserve"> </t>
    </r>
    <r>
      <rPr>
        <sz val="12"/>
        <color theme="1"/>
        <rFont val="Arial"/>
        <family val="2"/>
      </rPr>
      <t xml:space="preserve">prevista en el </t>
    </r>
    <r>
      <rPr>
        <b/>
        <u/>
        <sz val="12"/>
        <color theme="1"/>
        <rFont val="Arial"/>
        <family val="2"/>
      </rPr>
      <t>numeral 10 también</t>
    </r>
    <r>
      <rPr>
        <b/>
        <sz val="12"/>
        <color theme="1"/>
        <rFont val="Arial"/>
        <family val="2"/>
      </rPr>
      <t xml:space="preserve"> procede en relación con los </t>
    </r>
    <r>
      <rPr>
        <b/>
        <u/>
        <sz val="12"/>
        <color theme="1"/>
        <rFont val="Arial"/>
        <family val="2"/>
      </rPr>
      <t>honorarios</t>
    </r>
    <r>
      <rPr>
        <sz val="12"/>
        <color theme="1"/>
        <rFont val="Arial"/>
        <family val="2"/>
      </rPr>
      <t xml:space="preserve"> percibidos por </t>
    </r>
    <r>
      <rPr>
        <b/>
        <u/>
        <sz val="12"/>
        <color theme="1"/>
        <rFont val="Arial"/>
        <family val="2"/>
      </rPr>
      <t>personas naturales</t>
    </r>
    <r>
      <rPr>
        <sz val="12"/>
        <color theme="1"/>
        <rFont val="Arial"/>
        <family val="2"/>
      </rPr>
      <t xml:space="preserve"> que presten servicios y </t>
    </r>
    <r>
      <rPr>
        <b/>
        <sz val="12"/>
        <color theme="1"/>
        <rFont val="Arial"/>
        <family val="2"/>
      </rPr>
      <t xml:space="preserve">que </t>
    </r>
    <r>
      <rPr>
        <b/>
        <u/>
        <sz val="12"/>
        <color theme="1"/>
        <rFont val="Arial"/>
        <family val="2"/>
      </rPr>
      <t>contraten o vinculen</t>
    </r>
    <r>
      <rPr>
        <b/>
        <sz val="12"/>
        <color theme="1"/>
        <rFont val="Arial"/>
        <family val="2"/>
      </rPr>
      <t xml:space="preserve"> por un término inferior a noventa </t>
    </r>
    <r>
      <rPr>
        <b/>
        <u/>
        <sz val="12"/>
        <color theme="1"/>
        <rFont val="Arial"/>
        <family val="2"/>
      </rPr>
      <t>(90)</t>
    </r>
    <r>
      <rPr>
        <b/>
        <sz val="12"/>
        <color theme="1"/>
        <rFont val="Arial"/>
        <family val="2"/>
      </rPr>
      <t xml:space="preserve"> días continuos o discontinuos menos de dos </t>
    </r>
    <r>
      <rPr>
        <b/>
        <u/>
        <sz val="12"/>
        <color theme="1"/>
        <rFont val="Arial"/>
        <family val="2"/>
      </rPr>
      <t>(2)</t>
    </r>
    <r>
      <rPr>
        <b/>
        <sz val="12"/>
        <color theme="1"/>
        <rFont val="Arial"/>
        <family val="2"/>
      </rPr>
      <t xml:space="preserve"> trabajadores o contratistas asociados a la actividad</t>
    </r>
    <r>
      <rPr>
        <sz val="12"/>
        <color theme="1"/>
        <rFont val="Arial"/>
        <family val="2"/>
      </rPr>
      <t xml:space="preserve">. </t>
    </r>
  </si>
  <si>
    <r>
      <rPr>
        <b/>
        <sz val="12"/>
        <color theme="1"/>
        <rFont val="Arial"/>
        <family val="2"/>
      </rPr>
      <t>Parágrafo</t>
    </r>
    <r>
      <rPr>
        <sz val="12"/>
        <color theme="1"/>
        <rFont val="Arial"/>
        <family val="2"/>
      </rPr>
      <t xml:space="preserve">. En el caso de los servidores públicos, diplomáticos, consulares y administrativos del Ministerio de Relaciones Exteriores, </t>
    </r>
    <r>
      <rPr>
        <b/>
        <sz val="12"/>
        <color theme="1"/>
        <rFont val="Arial"/>
        <family val="2"/>
      </rPr>
      <t>la prima especial y la prima de costo de vida</t>
    </r>
    <r>
      <rPr>
        <sz val="12"/>
        <color theme="1"/>
        <rFont val="Arial"/>
        <family val="2"/>
      </rPr>
      <t xml:space="preserve"> de que trata el Decreto 3357 de 2009 </t>
    </r>
    <r>
      <rPr>
        <b/>
        <sz val="12"/>
        <color theme="1"/>
        <rFont val="Arial"/>
        <family val="2"/>
      </rPr>
      <t xml:space="preserve">no se tendrán en cuenta para efectos del cálculo del </t>
    </r>
    <r>
      <rPr>
        <b/>
        <u/>
        <sz val="12"/>
        <color theme="1"/>
        <rFont val="Arial"/>
        <family val="2"/>
      </rPr>
      <t>límite porcentual previsto en el artículo 336</t>
    </r>
    <r>
      <rPr>
        <sz val="12"/>
        <color theme="1"/>
        <rFont val="Arial"/>
        <family val="2"/>
      </rPr>
      <t xml:space="preserve"> del presente estatuto.</t>
    </r>
  </si>
  <si>
    <r>
      <rPr>
        <b/>
        <sz val="12"/>
        <color theme="1"/>
        <rFont val="Arial"/>
        <family val="2"/>
      </rPr>
      <t>Las primas de que trata este artículo, no se tendrán en cuenta para efectos</t>
    </r>
    <r>
      <rPr>
        <sz val="12"/>
        <color theme="1"/>
        <rFont val="Arial"/>
        <family val="2"/>
      </rPr>
      <t xml:space="preserve"> del cálculo de </t>
    </r>
    <r>
      <rPr>
        <b/>
        <u/>
        <sz val="12"/>
        <color theme="1"/>
        <rFont val="Arial"/>
        <family val="2"/>
      </rPr>
      <t>los límites establecidos en el numeral 3° el artículo 336</t>
    </r>
    <r>
      <rPr>
        <sz val="12"/>
        <color theme="1"/>
        <rFont val="Arial"/>
        <family val="2"/>
      </rPr>
      <t xml:space="preserve"> del presente estatuto </t>
    </r>
  </si>
  <si>
    <t>Art. 303-1 Ganancia ocasional derivada de indemnizaciones por concepto de seguros de vida</t>
  </si>
  <si>
    <r>
      <t xml:space="preserve">La depuración se efectuará de modo independiente en las siguientes </t>
    </r>
    <r>
      <rPr>
        <b/>
        <u/>
        <sz val="12"/>
        <color theme="1"/>
        <rFont val="Arial"/>
        <family val="2"/>
      </rPr>
      <t>tres (3)</t>
    </r>
    <r>
      <rPr>
        <b/>
        <sz val="12"/>
        <color theme="1"/>
        <rFont val="Arial"/>
        <family val="2"/>
      </rPr>
      <t xml:space="preserve"> cédulas: </t>
    </r>
  </si>
  <si>
    <r>
      <t xml:space="preserve">Las </t>
    </r>
    <r>
      <rPr>
        <b/>
        <u/>
        <sz val="12"/>
        <color theme="1"/>
        <rFont val="Arial"/>
        <family val="2"/>
      </rPr>
      <t>pérdidas</t>
    </r>
    <r>
      <rPr>
        <sz val="12"/>
        <color theme="1"/>
        <rFont val="Arial"/>
        <family val="2"/>
      </rPr>
      <t xml:space="preserve"> incurridas dentro de una cédula solo podrán ser compensadas contra las rentas de la misma cédula, en los siguientes periodos gravables, teniendo en cuenta los límites y porcentajes de compensación establecidas en las normas vigentes.
</t>
    </r>
    <r>
      <rPr>
        <b/>
        <sz val="12"/>
        <color theme="1"/>
        <rFont val="Arial"/>
        <family val="2"/>
      </rPr>
      <t>PARÁGRAFO TRANSITORIO</t>
    </r>
    <r>
      <rPr>
        <sz val="12"/>
        <color theme="1"/>
        <rFont val="Arial"/>
        <family val="2"/>
      </rPr>
      <t xml:space="preserve">. Las pérdidas declaradas en periodos gravables anteriores a la vigencia de la presente ley únicamente podrán ser imputadas en contra de las cédulas de rentas no laborales y rentas de capital, en la misma proporción en que los ingresos correspondientes a esas cédulas participen dentro del total de los ingresos del periodo, teniendo en cuenta los límites y porcentajes de compensación establecidas en las normas vigentes. 
</t>
    </r>
  </si>
  <si>
    <r>
      <t xml:space="preserve">Las </t>
    </r>
    <r>
      <rPr>
        <b/>
        <u/>
        <sz val="12"/>
        <color theme="1"/>
        <rFont val="Arial"/>
        <family val="2"/>
      </rPr>
      <t>pérdidas</t>
    </r>
    <r>
      <rPr>
        <sz val="12"/>
        <color theme="1"/>
        <rFont val="Arial"/>
        <family val="2"/>
      </rPr>
      <t xml:space="preserve"> incurridas dentro de una cédula solo podrán ser compensadas contra las rentas de la misma cédula, en los siguientes periodos gravables, teniendo en cuenta los límites y porcentajes de compensación establecidas en las normas vigentes. 
</t>
    </r>
    <r>
      <rPr>
        <b/>
        <sz val="12"/>
        <color theme="1"/>
        <rFont val="Arial"/>
        <family val="2"/>
      </rPr>
      <t>Parágrafo Transitorio</t>
    </r>
    <r>
      <rPr>
        <sz val="12"/>
        <color theme="1"/>
        <rFont val="Arial"/>
        <family val="2"/>
      </rPr>
      <t xml:space="preserve">. </t>
    </r>
    <r>
      <rPr>
        <b/>
        <u/>
        <sz val="12"/>
        <color theme="1"/>
        <rFont val="Arial"/>
        <family val="2"/>
      </rPr>
      <t>Las pérdidas</t>
    </r>
    <r>
      <rPr>
        <sz val="12"/>
        <color theme="1"/>
        <rFont val="Arial"/>
        <family val="2"/>
      </rPr>
      <t xml:space="preserve"> declaradas en períodos </t>
    </r>
    <r>
      <rPr>
        <b/>
        <sz val="12"/>
        <color theme="1"/>
        <rFont val="Arial"/>
        <family val="2"/>
      </rPr>
      <t>gravables anteriores</t>
    </r>
    <r>
      <rPr>
        <sz val="12"/>
        <color theme="1"/>
        <rFont val="Arial"/>
        <family val="2"/>
      </rPr>
      <t xml:space="preserve"> a la vigencia de la presente ley únicamente </t>
    </r>
    <r>
      <rPr>
        <b/>
        <sz val="12"/>
        <color theme="1"/>
        <rFont val="Arial"/>
        <family val="2"/>
      </rPr>
      <t>podrán ser imputadas en contra de la cédula general</t>
    </r>
    <r>
      <rPr>
        <sz val="12"/>
        <color theme="1"/>
        <rFont val="Arial"/>
        <family val="2"/>
      </rPr>
      <t xml:space="preserve">, teniendo en cuenta los límites y porcentajes de compensación establecidos en las normas vigentes.
</t>
    </r>
  </si>
  <si>
    <r>
      <t xml:space="preserve">Las </t>
    </r>
    <r>
      <rPr>
        <b/>
        <sz val="12"/>
        <color theme="1"/>
        <rFont val="Arial"/>
        <family val="2"/>
      </rPr>
      <t>pérdidas de las rentas líquidas cedulares no se sumarán para efectos de determinar la renta líquida</t>
    </r>
    <r>
      <rPr>
        <sz val="12"/>
        <color theme="1"/>
        <rFont val="Arial"/>
        <family val="2"/>
      </rPr>
      <t xml:space="preserve"> gravable. En cualquier caso, podrán compensarse en los términos del artículo 330 de este Estatuto. </t>
    </r>
  </si>
  <si>
    <r>
      <rPr>
        <b/>
        <sz val="12"/>
        <color theme="1"/>
        <rFont val="Arial"/>
        <family val="2"/>
      </rPr>
      <t>Para efectos de los artículos 188 y 189</t>
    </r>
    <r>
      <rPr>
        <sz val="12"/>
        <color theme="1"/>
        <rFont val="Arial"/>
        <family val="2"/>
      </rPr>
      <t xml:space="preserve"> de este Estatuto, </t>
    </r>
    <r>
      <rPr>
        <b/>
        <sz val="12"/>
        <color theme="1"/>
        <rFont val="Arial"/>
        <family val="2"/>
      </rPr>
      <t xml:space="preserve">la renta líquida determinada por el sistema ordinario será la suma de todas las </t>
    </r>
    <r>
      <rPr>
        <b/>
        <u/>
        <sz val="12"/>
        <color theme="1"/>
        <rFont val="Arial"/>
        <family val="2"/>
      </rPr>
      <t>rentas líquidas cedulares</t>
    </r>
    <r>
      <rPr>
        <sz val="12"/>
        <color theme="1"/>
        <rFont val="Arial"/>
        <family val="2"/>
      </rPr>
      <t>.</t>
    </r>
  </si>
  <si>
    <r>
      <rPr>
        <b/>
        <sz val="12"/>
        <color theme="1"/>
        <rFont val="Arial"/>
        <family val="2"/>
      </rPr>
      <t>Para efectos de los artículos 188 y siguientes</t>
    </r>
    <r>
      <rPr>
        <sz val="12"/>
        <color theme="1"/>
        <rFont val="Arial"/>
        <family val="2"/>
      </rPr>
      <t xml:space="preserve"> de este Estatuto, </t>
    </r>
    <r>
      <rPr>
        <b/>
        <sz val="12"/>
        <color theme="1"/>
        <rFont val="Arial"/>
        <family val="2"/>
      </rPr>
      <t xml:space="preserve">la base de renta presuntiva del contribuyente se comparará con la </t>
    </r>
    <r>
      <rPr>
        <b/>
        <u/>
        <sz val="12"/>
        <color theme="1"/>
        <rFont val="Arial"/>
        <family val="2"/>
      </rPr>
      <t>renta de la cédula general</t>
    </r>
    <r>
      <rPr>
        <b/>
        <sz val="12"/>
        <color theme="1"/>
        <rFont val="Arial"/>
        <family val="2"/>
      </rPr>
      <t>.</t>
    </r>
  </si>
  <si>
    <r>
      <t xml:space="preserve">Para efectos de establecer la </t>
    </r>
    <r>
      <rPr>
        <b/>
        <sz val="12"/>
        <color theme="1"/>
        <rFont val="Arial"/>
        <family val="2"/>
      </rPr>
      <t>renta líquida de la cédula general</t>
    </r>
    <r>
      <rPr>
        <sz val="12"/>
        <color theme="1"/>
        <rFont val="Arial"/>
        <family val="2"/>
      </rPr>
      <t xml:space="preserve">, se seguirán las siguientes reglas: 
1. </t>
    </r>
    <r>
      <rPr>
        <b/>
        <sz val="12"/>
        <color theme="1"/>
        <rFont val="Arial"/>
        <family val="2"/>
      </rPr>
      <t>Se sumarán los ingresos</t>
    </r>
    <r>
      <rPr>
        <sz val="12"/>
        <color theme="1"/>
        <rFont val="Arial"/>
        <family val="2"/>
      </rPr>
      <t xml:space="preserve"> obtenidos </t>
    </r>
    <r>
      <rPr>
        <b/>
        <sz val="12"/>
        <color theme="1"/>
        <rFont val="Arial"/>
        <family val="2"/>
      </rPr>
      <t>por todo concepto excepto</t>
    </r>
    <r>
      <rPr>
        <sz val="12"/>
        <color theme="1"/>
        <rFont val="Arial"/>
        <family val="2"/>
      </rPr>
      <t xml:space="preserve"> los correspondientes a </t>
    </r>
    <r>
      <rPr>
        <b/>
        <sz val="12"/>
        <color theme="1"/>
        <rFont val="Arial"/>
        <family val="2"/>
      </rPr>
      <t>dividendos y ganancias ocasionales</t>
    </r>
    <r>
      <rPr>
        <sz val="12"/>
        <color theme="1"/>
        <rFont val="Arial"/>
        <family val="2"/>
      </rPr>
      <t xml:space="preserve">. 
2. </t>
    </r>
    <r>
      <rPr>
        <b/>
        <sz val="12"/>
        <color theme="1"/>
        <rFont val="Arial"/>
        <family val="2"/>
      </rPr>
      <t>A la suma anterior, se le restarán los ingresos no constitutivos de renta</t>
    </r>
    <r>
      <rPr>
        <sz val="12"/>
        <color theme="1"/>
        <rFont val="Arial"/>
        <family val="2"/>
      </rPr>
      <t xml:space="preserve"> imputables a cada ingreso. 
3. </t>
    </r>
    <r>
      <rPr>
        <b/>
        <sz val="12"/>
        <color theme="1"/>
        <rFont val="Arial"/>
        <family val="2"/>
      </rPr>
      <t xml:space="preserve">Al valor resultante podrán restarse todas las rentas </t>
    </r>
    <r>
      <rPr>
        <b/>
        <u/>
        <sz val="12"/>
        <color theme="1"/>
        <rFont val="Arial"/>
        <family val="2"/>
      </rPr>
      <t>exentas y las deducciones</t>
    </r>
    <r>
      <rPr>
        <b/>
        <sz val="12"/>
        <color theme="1"/>
        <rFont val="Arial"/>
        <family val="2"/>
      </rPr>
      <t xml:space="preserve"> especiales imputables a esta cédula</t>
    </r>
    <r>
      <rPr>
        <sz val="12"/>
        <color theme="1"/>
        <rFont val="Arial"/>
        <family val="2"/>
      </rPr>
      <t xml:space="preserve">, siempre que </t>
    </r>
    <r>
      <rPr>
        <b/>
        <u/>
        <sz val="12"/>
        <color theme="1"/>
        <rFont val="Arial"/>
        <family val="2"/>
      </rPr>
      <t>no excedan</t>
    </r>
    <r>
      <rPr>
        <sz val="12"/>
        <color theme="1"/>
        <rFont val="Arial"/>
        <family val="2"/>
      </rPr>
      <t xml:space="preserve"> el cuarenta </t>
    </r>
    <r>
      <rPr>
        <b/>
        <u/>
        <sz val="12"/>
        <color theme="1"/>
        <rFont val="Arial"/>
        <family val="2"/>
      </rPr>
      <t>(40%)</t>
    </r>
    <r>
      <rPr>
        <sz val="12"/>
        <color theme="1"/>
        <rFont val="Arial"/>
        <family val="2"/>
      </rPr>
      <t xml:space="preserve"> del resultado del numeral anterior, </t>
    </r>
    <r>
      <rPr>
        <b/>
        <sz val="12"/>
        <color theme="1"/>
        <rFont val="Arial"/>
        <family val="2"/>
      </rPr>
      <t>que en todo caso no puede exceder</t>
    </r>
    <r>
      <rPr>
        <sz val="12"/>
        <color theme="1"/>
        <rFont val="Arial"/>
        <family val="2"/>
      </rPr>
      <t xml:space="preserve"> de cinco mil cuarenta </t>
    </r>
    <r>
      <rPr>
        <b/>
        <u/>
        <sz val="12"/>
        <color theme="1"/>
        <rFont val="Arial"/>
        <family val="2"/>
      </rPr>
      <t>(5.040)</t>
    </r>
    <r>
      <rPr>
        <b/>
        <sz val="12"/>
        <color theme="1"/>
        <rFont val="Arial"/>
        <family val="2"/>
      </rPr>
      <t xml:space="preserve"> UVT</t>
    </r>
    <r>
      <rPr>
        <sz val="12"/>
        <color theme="1"/>
        <rFont val="Arial"/>
        <family val="2"/>
      </rPr>
      <t xml:space="preserve">. 
</t>
    </r>
  </si>
  <si>
    <t>CÉDULA GENERAL (ART. 32 Y 33 LEY DE FINANCIAMIENTO)</t>
  </si>
  <si>
    <t>ANTES DE LEY DE FINANCIAMIENTO</t>
  </si>
  <si>
    <t>DESPUÉS DE LEY DE FINANCIAMIENTO (ART. 34)</t>
  </si>
  <si>
    <t>DESPUÉS DE LEY DE FINANCIAMIENTO</t>
  </si>
  <si>
    <t>DESPUÉS DE LEY DE FINANCIAMIENTO (ART. 22)</t>
  </si>
  <si>
    <t>DESPUÉS DE LEY DE FINANCIAMIENTO (ART. 23)</t>
  </si>
  <si>
    <t>DESPUÉS DE LEY DE FINANCIAMIENTO (ART. 24 Y 122)</t>
  </si>
  <si>
    <t>DESPUÉS DE LEY DE FINANCIAMIENTO (ART. 25)</t>
  </si>
  <si>
    <t>DESPUÉS DE LEY DE FINANCIAMIENTO (ART. 26)</t>
  </si>
  <si>
    <t>DESPUÉS DE LEY DE FINANCIAMIENTO (ART. 121)</t>
  </si>
  <si>
    <t>DESPUÉS DE LEY DE FINANCIAMIENTO (ART. 28)</t>
  </si>
  <si>
    <t>DESPUÉS DE LEY DE FINANCIAMIENTO (ART. 29)</t>
  </si>
  <si>
    <t>DESPUÉS DE LEY DE FINANCIAMIENTO (ART. 30)</t>
  </si>
  <si>
    <t>LEY DE FINANCIAMIENTO 1943 DE 2018</t>
  </si>
  <si>
    <t>PERSONAS NATURALES</t>
  </si>
  <si>
    <t>Descriptor 1.21 y 1.22 Concepto Unificado 912 de julio de 2018</t>
  </si>
  <si>
    <t>CONCORDAR:</t>
  </si>
  <si>
    <r>
      <rPr>
        <b/>
        <sz val="12"/>
        <color theme="1"/>
        <rFont val="Arial"/>
        <family val="2"/>
      </rPr>
      <t>Los aportes obligatorios</t>
    </r>
    <r>
      <rPr>
        <sz val="12"/>
        <color theme="1"/>
        <rFont val="Arial"/>
        <family val="2"/>
      </rPr>
      <t xml:space="preserve"> que efectúen los trabajadores, empleadores y afiliados al Sistema General de Seguridad Social en Pensiones </t>
    </r>
    <r>
      <rPr>
        <b/>
        <u/>
        <sz val="12"/>
        <color theme="1"/>
        <rFont val="Arial"/>
        <family val="2"/>
      </rPr>
      <t>no harán parte de la base para aplicar la retención en la fuente por rentas de trabajo y serán considerados como un ingreso no constitutivo de renta ni de ganancia ocasional</t>
    </r>
    <r>
      <rPr>
        <sz val="12"/>
        <color theme="1"/>
        <rFont val="Arial"/>
        <family val="2"/>
      </rPr>
      <t xml:space="preserve">. </t>
    </r>
    <r>
      <rPr>
        <b/>
        <sz val="12"/>
        <color theme="1"/>
        <rFont val="Arial"/>
        <family val="2"/>
      </rPr>
      <t>Los retiros</t>
    </r>
    <r>
      <rPr>
        <sz val="12"/>
        <color theme="1"/>
        <rFont val="Arial"/>
        <family val="2"/>
      </rPr>
      <t xml:space="preserve">, parciales o totales, de las </t>
    </r>
    <r>
      <rPr>
        <b/>
        <sz val="12"/>
        <color theme="1"/>
        <rFont val="Arial"/>
        <family val="2"/>
      </rPr>
      <t>cotizaciones voluntarias</t>
    </r>
    <r>
      <rPr>
        <sz val="12"/>
        <color theme="1"/>
        <rFont val="Arial"/>
        <family val="2"/>
      </rPr>
      <t xml:space="preserve"> de los afiliados al régimen de ahorro individual con solidaridad </t>
    </r>
    <r>
      <rPr>
        <b/>
        <sz val="12"/>
        <color theme="1"/>
        <rFont val="Arial"/>
        <family val="2"/>
      </rPr>
      <t>para fines distintos</t>
    </r>
    <r>
      <rPr>
        <sz val="12"/>
        <color theme="1"/>
        <rFont val="Arial"/>
        <family val="2"/>
      </rPr>
      <t xml:space="preserve"> a la obtención de una mayor pensión o un retiro anticipado </t>
    </r>
    <r>
      <rPr>
        <b/>
        <sz val="12"/>
        <color theme="1"/>
        <rFont val="Arial"/>
        <family val="2"/>
      </rPr>
      <t>constituirán renta gravada en el año</t>
    </r>
    <r>
      <rPr>
        <sz val="12"/>
        <color theme="1"/>
        <rFont val="Arial"/>
        <family val="2"/>
      </rPr>
      <t xml:space="preserve"> en que sean retirados. La respectiva </t>
    </r>
    <r>
      <rPr>
        <b/>
        <sz val="12"/>
        <color theme="1"/>
        <rFont val="Arial"/>
        <family val="2"/>
      </rPr>
      <t>sociedad administradora efectuará la retención</t>
    </r>
    <r>
      <rPr>
        <sz val="12"/>
        <color theme="1"/>
        <rFont val="Arial"/>
        <family val="2"/>
      </rPr>
      <t xml:space="preserve"> en la fuente a la tarifa del </t>
    </r>
    <r>
      <rPr>
        <b/>
        <u/>
        <sz val="12"/>
        <color theme="1"/>
        <rFont val="Arial"/>
        <family val="2"/>
      </rPr>
      <t>15%</t>
    </r>
    <r>
      <rPr>
        <b/>
        <sz val="12"/>
        <color theme="1"/>
        <rFont val="Arial"/>
        <family val="2"/>
      </rPr>
      <t xml:space="preserve"> al momento del retiro</t>
    </r>
    <r>
      <rPr>
        <sz val="12"/>
        <color theme="1"/>
        <rFont val="Arial"/>
        <family val="2"/>
      </rPr>
      <t>.</t>
    </r>
  </si>
  <si>
    <r>
      <t xml:space="preserve">A partir del año gravable 2017, los dividendos y participaciones pagados o abonados en cuenta a personas naturales residentes y sucesiones ilíquidas de causantes que al momento de su muerte eran residentes del país, </t>
    </r>
    <r>
      <rPr>
        <b/>
        <sz val="12"/>
        <color theme="1"/>
        <rFont val="Arial"/>
        <family val="2"/>
      </rPr>
      <t xml:space="preserve">provenientes de distribución de utilidades que hubieren sido consideradas como </t>
    </r>
    <r>
      <rPr>
        <b/>
        <u/>
        <sz val="12"/>
        <color theme="1"/>
        <rFont val="Arial"/>
        <family val="2"/>
      </rPr>
      <t>ingreso no constitutivo de renta ni ganancia ocasional</t>
    </r>
    <r>
      <rPr>
        <sz val="12"/>
        <color theme="1"/>
        <rFont val="Arial"/>
        <family val="2"/>
      </rPr>
      <t>, conforme a lo dispuesto en el numeral 3 del artículo 49 de este Estatuto, estarán sujetas a la siguiente tarifa del impuesto sobre la renta:</t>
    </r>
  </si>
  <si>
    <r>
      <t xml:space="preserve">Los dividendos y participaciones pagados o abonados en cuenta a personas naturales residentes y sucesiones ilíquidas de causantes que al momento de su muerte eran residentes del país, </t>
    </r>
    <r>
      <rPr>
        <b/>
        <sz val="12"/>
        <color theme="1"/>
        <rFont val="Arial"/>
        <family val="2"/>
      </rPr>
      <t xml:space="preserve">provenientes de distribución de utilidades que hubieren sido consideradas como </t>
    </r>
    <r>
      <rPr>
        <b/>
        <u/>
        <sz val="12"/>
        <color theme="1"/>
        <rFont val="Arial"/>
        <family val="2"/>
      </rPr>
      <t>ingreso no constitutivo de renta ni ganancia ocasional</t>
    </r>
    <r>
      <rPr>
        <sz val="12"/>
        <color theme="1"/>
        <rFont val="Arial"/>
        <family val="2"/>
      </rPr>
      <t>, conforme a lo dispuesto en el numeral 3 del artículo 49 de este Estatuto, estarán sujetas a la siguiente tarifa del impuesto sobre la renta:</t>
    </r>
  </si>
  <si>
    <r>
      <rPr>
        <b/>
        <sz val="12"/>
        <color theme="1"/>
        <rFont val="Arial"/>
        <family val="2"/>
      </rPr>
      <t>A partir del año gravable 2017,</t>
    </r>
    <r>
      <rPr>
        <sz val="12"/>
        <color theme="1"/>
        <rFont val="Arial"/>
        <family val="2"/>
      </rPr>
      <t xml:space="preserve"> los dividendos y participaciones pagados o abonados en cuenta a personas naturales residentes y sucesiones ilíquidas de causantes que al momento de su muerte eran residentes del país, </t>
    </r>
    <r>
      <rPr>
        <b/>
        <sz val="12"/>
        <color theme="1"/>
        <rFont val="Arial"/>
        <family val="2"/>
      </rPr>
      <t xml:space="preserve">provenientes de distribuciones de </t>
    </r>
    <r>
      <rPr>
        <b/>
        <u/>
        <sz val="12"/>
        <color theme="1"/>
        <rFont val="Arial"/>
        <family val="2"/>
      </rPr>
      <t>utilidades gravadas</t>
    </r>
    <r>
      <rPr>
        <b/>
        <sz val="12"/>
        <color theme="1"/>
        <rFont val="Arial"/>
        <family val="2"/>
      </rPr>
      <t xml:space="preserve"> conforme a lo dispuesto en el parágrafo 2° del artículo 49</t>
    </r>
    <r>
      <rPr>
        <sz val="12"/>
        <color theme="1"/>
        <rFont val="Arial"/>
        <family val="2"/>
      </rPr>
      <t xml:space="preserve">, estarán sujetos a una </t>
    </r>
    <r>
      <rPr>
        <b/>
        <u/>
        <sz val="12"/>
        <color theme="1"/>
        <rFont val="Arial"/>
        <family val="2"/>
      </rPr>
      <t>tarifa</t>
    </r>
    <r>
      <rPr>
        <sz val="12"/>
        <color theme="1"/>
        <rFont val="Arial"/>
        <family val="2"/>
      </rPr>
      <t xml:space="preserve"> del treinta y cinco por ciento</t>
    </r>
    <r>
      <rPr>
        <b/>
        <sz val="12"/>
        <color theme="1"/>
        <rFont val="Arial"/>
        <family val="2"/>
      </rPr>
      <t xml:space="preserve"> </t>
    </r>
    <r>
      <rPr>
        <b/>
        <u/>
        <sz val="12"/>
        <color theme="1"/>
        <rFont val="Arial"/>
        <family val="2"/>
      </rPr>
      <t>(35%)</t>
    </r>
    <r>
      <rPr>
        <b/>
        <sz val="12"/>
        <color theme="1"/>
        <rFont val="Arial"/>
        <family val="2"/>
      </rPr>
      <t xml:space="preserve"> caso en el cual el impuesto señalado en el inciso anterior, se aplicará una vez disminuido este impuesto</t>
    </r>
    <r>
      <rPr>
        <sz val="12"/>
        <color theme="1"/>
        <rFont val="Arial"/>
        <family val="2"/>
      </rPr>
      <t xml:space="preserve">. A esta </t>
    </r>
    <r>
      <rPr>
        <b/>
        <sz val="12"/>
        <color theme="1"/>
        <rFont val="Arial"/>
        <family val="2"/>
      </rPr>
      <t xml:space="preserve">misma tarifa </t>
    </r>
    <r>
      <rPr>
        <sz val="12"/>
        <color theme="1"/>
        <rFont val="Arial"/>
        <family val="2"/>
      </rPr>
      <t xml:space="preserve">estarán gravados los </t>
    </r>
    <r>
      <rPr>
        <b/>
        <sz val="12"/>
        <color theme="1"/>
        <rFont val="Arial"/>
        <family val="2"/>
      </rPr>
      <t>dividendos y participaciones recibidos de sociedades y entidades extranjeras</t>
    </r>
    <r>
      <rPr>
        <sz val="12"/>
        <color theme="1"/>
        <rFont val="Arial"/>
        <family val="2"/>
      </rPr>
      <t>.</t>
    </r>
  </si>
  <si>
    <r>
      <rPr>
        <b/>
        <sz val="12"/>
        <color theme="1"/>
        <rFont val="Arial"/>
        <family val="2"/>
      </rPr>
      <t>Parágrafo</t>
    </r>
    <r>
      <rPr>
        <sz val="12"/>
        <color theme="1"/>
        <rFont val="Arial"/>
        <family val="2"/>
      </rPr>
      <t xml:space="preserve">. </t>
    </r>
    <r>
      <rPr>
        <b/>
        <sz val="12"/>
        <color theme="1"/>
        <rFont val="Arial"/>
        <family val="2"/>
      </rPr>
      <t xml:space="preserve">El </t>
    </r>
    <r>
      <rPr>
        <b/>
        <u/>
        <sz val="12"/>
        <color theme="1"/>
        <rFont val="Arial"/>
        <family val="2"/>
      </rPr>
      <t>impuesto</t>
    </r>
    <r>
      <rPr>
        <b/>
        <sz val="12"/>
        <color theme="1"/>
        <rFont val="Arial"/>
        <family val="2"/>
      </rPr>
      <t xml:space="preserve"> sobre la renta de que trata este artículo será </t>
    </r>
    <r>
      <rPr>
        <b/>
        <u/>
        <sz val="12"/>
        <color theme="1"/>
        <rFont val="Arial"/>
        <family val="2"/>
      </rPr>
      <t>retenido en la fuente</t>
    </r>
    <r>
      <rPr>
        <sz val="12"/>
        <color theme="1"/>
        <rFont val="Arial"/>
        <family val="2"/>
      </rPr>
      <t xml:space="preserve"> sobre el valor bruto de los pagos o abonos en cuenta por concepto de dividendos o participaciones. 
La retención en la fuente del artículo 242- 1 del Estatuto Tributario será descontable para el accionista persona natural residente. En estos casos el impuesto sobre la renta se reduciría en el valor de la retención en la fuente trasladada al accionista persona natural residente.
</t>
    </r>
  </si>
  <si>
    <t>DESPUÉS DE LEY DE FINANCIAMIENTO (ART. 27)</t>
  </si>
  <si>
    <t>Artículo 121 ley 1943 de 2018 Transición en materia de dividendos</t>
  </si>
  <si>
    <r>
      <t xml:space="preserve">Artículo 1.2.1.20.3. </t>
    </r>
    <r>
      <rPr>
        <b/>
        <i/>
        <sz val="12"/>
        <rFont val="Arial"/>
        <family val="2"/>
      </rPr>
      <t>Definiciones</t>
    </r>
    <r>
      <rPr>
        <i/>
        <sz val="12"/>
        <rFont val="Arial"/>
        <family val="2"/>
      </rPr>
      <t xml:space="preserve">. </t>
    </r>
    <r>
      <rPr>
        <sz val="12"/>
        <rFont val="Arial"/>
        <family val="2"/>
      </rPr>
      <t xml:space="preserve">Para efectos de la clasificación de las rentas cedulares se tendrán en cuenta las siguientes definiciones: </t>
    </r>
  </si>
  <si>
    <t xml:space="preserve"> COMPENSACIÓN DE UN SERVICIO PERSONAL</t>
  </si>
  <si>
    <r>
      <rPr>
        <b/>
        <u/>
        <sz val="12"/>
        <rFont val="Arial"/>
        <family val="2"/>
      </rPr>
      <t>Compensación por servicios personales</t>
    </r>
    <r>
      <rPr>
        <sz val="12"/>
        <rFont val="Arial"/>
        <family val="2"/>
      </rPr>
      <t xml:space="preserve">: Se considera compensación por servicios personales toda </t>
    </r>
    <r>
      <rPr>
        <b/>
        <sz val="12"/>
        <rFont val="Arial"/>
        <family val="2"/>
      </rPr>
      <t>actividad, labor o trabajo prestado directamente por una persona natural</t>
    </r>
    <r>
      <rPr>
        <sz val="12"/>
        <rFont val="Arial"/>
        <family val="2"/>
      </rPr>
      <t xml:space="preserve">, que genere una contraprestación en dinero o en especie, independientemente de su denominación o forma de remuneración. </t>
    </r>
  </si>
  <si>
    <t>NO COMPENSACIÓN DE UN SERVICIO PERSONAL</t>
  </si>
  <si>
    <r>
      <t xml:space="preserve">Cuando la persona natural </t>
    </r>
    <r>
      <rPr>
        <b/>
        <u/>
        <sz val="12"/>
        <rFont val="Arial"/>
        <family val="2"/>
      </rPr>
      <t>cumpla con la totalidad</t>
    </r>
    <r>
      <rPr>
        <b/>
        <sz val="12"/>
        <rFont val="Arial"/>
        <family val="2"/>
      </rPr>
      <t xml:space="preserve"> de las siguientes condiciones, </t>
    </r>
    <r>
      <rPr>
        <b/>
        <u/>
        <sz val="12"/>
        <rFont val="Arial"/>
        <family val="2"/>
      </rPr>
      <t>no se considerará</t>
    </r>
    <r>
      <rPr>
        <b/>
        <sz val="12"/>
        <rFont val="Arial"/>
        <family val="2"/>
      </rPr>
      <t xml:space="preserve"> que la actividad, labor o trabajo corresponde a </t>
    </r>
    <r>
      <rPr>
        <b/>
        <u/>
        <sz val="12"/>
        <rFont val="Arial"/>
        <family val="2"/>
      </rPr>
      <t>una compensación de servicios personales</t>
    </r>
    <r>
      <rPr>
        <sz val="12"/>
        <rFont val="Arial"/>
        <family val="2"/>
      </rPr>
      <t xml:space="preserve">: </t>
    </r>
  </si>
  <si>
    <r>
      <t xml:space="preserve">1. </t>
    </r>
    <r>
      <rPr>
        <b/>
        <sz val="12"/>
        <rFont val="Arial"/>
        <family val="2"/>
      </rPr>
      <t>Incurrir en costos y gastos necesarios para la prestación de tales servicios</t>
    </r>
    <r>
      <rPr>
        <sz val="12"/>
        <rFont val="Arial"/>
        <family val="2"/>
      </rPr>
      <t xml:space="preserve">, de conformidad con el artículo 107 del Estatuto Tributario. </t>
    </r>
  </si>
  <si>
    <r>
      <t xml:space="preserve">2. </t>
    </r>
    <r>
      <rPr>
        <b/>
        <sz val="12"/>
        <rFont val="Arial"/>
        <family val="2"/>
      </rPr>
      <t>Desarrollar su actividad con criterios empresariales y comerciales</t>
    </r>
    <r>
      <rPr>
        <sz val="12"/>
        <rFont val="Arial"/>
        <family val="2"/>
      </rPr>
      <t xml:space="preserve"> teniendo en cuenta lo normalmente acostumbrado en su respectiva actividad, </t>
    </r>
    <r>
      <rPr>
        <b/>
        <sz val="12"/>
        <rFont val="Arial"/>
        <family val="2"/>
      </rPr>
      <t>tales como: asunción de pérdidas monetarias</t>
    </r>
    <r>
      <rPr>
        <sz val="12"/>
        <rFont val="Arial"/>
        <family val="2"/>
      </rPr>
      <t xml:space="preserve"> que resulten de la prestación del servicio, </t>
    </r>
    <r>
      <rPr>
        <b/>
        <sz val="12"/>
        <rFont val="Arial"/>
        <family val="2"/>
      </rPr>
      <t>asunción de responsabilidades ante terceros por errores o fallas en la prestación del servicio</t>
    </r>
    <r>
      <rPr>
        <sz val="12"/>
        <rFont val="Arial"/>
        <family val="2"/>
      </rPr>
      <t xml:space="preserve">. </t>
    </r>
  </si>
  <si>
    <r>
      <t xml:space="preserve">3. </t>
    </r>
    <r>
      <rPr>
        <b/>
        <sz val="12"/>
        <rFont val="Arial"/>
        <family val="2"/>
      </rPr>
      <t>Contratar o vincular a dos (2) o más trabajadores o contratistas asociados a la actividad generadora de renta, por un término igual o superior a noventa (90) días continuos o discontinuos durante el periodo gravable</t>
    </r>
    <r>
      <rPr>
        <sz val="12"/>
        <rFont val="Arial"/>
        <family val="2"/>
      </rPr>
      <t xml:space="preserve">. El término aquí señalado deberá ser cumplido como mínimo respecto de dos (2) trabajadores o contratistas. </t>
    </r>
  </si>
  <si>
    <t>LAS DEFINICIONES DE ÉSTE ARTÍCULO NO APLICAN PARA HONORARIOS</t>
  </si>
  <si>
    <r>
      <t>Parágrafo</t>
    </r>
    <r>
      <rPr>
        <sz val="12"/>
        <color indexed="8"/>
        <rFont val="Arial"/>
        <family val="2"/>
      </rPr>
      <t xml:space="preserve">. </t>
    </r>
    <r>
      <rPr>
        <b/>
        <u/>
        <sz val="12"/>
        <color indexed="8"/>
        <rFont val="Arial"/>
        <family val="2"/>
      </rPr>
      <t>Para efectos de la definición de compensación por servicios personales</t>
    </r>
    <r>
      <rPr>
        <sz val="12"/>
        <color indexed="8"/>
        <rFont val="Arial"/>
        <family val="2"/>
      </rPr>
      <t xml:space="preserve"> de que trata este artículo, </t>
    </r>
    <r>
      <rPr>
        <b/>
        <u/>
        <sz val="12"/>
        <color indexed="8"/>
        <rFont val="Arial"/>
        <family val="2"/>
      </rPr>
      <t>no se tendrán en cuenta los honorarios</t>
    </r>
    <r>
      <rPr>
        <sz val="12"/>
        <color indexed="8"/>
        <rFont val="Arial"/>
        <family val="2"/>
      </rPr>
      <t xml:space="preserve">, en la medida que a estos ingresos </t>
    </r>
    <r>
      <rPr>
        <b/>
        <sz val="12"/>
        <color indexed="8"/>
        <rFont val="Arial"/>
        <family val="2"/>
      </rPr>
      <t>se les aplicará lo previsto en el inciso segundo del numeral 4 del artículo 1.2.1.20.2</t>
    </r>
    <r>
      <rPr>
        <sz val="12"/>
        <color indexed="8"/>
        <rFont val="Arial"/>
        <family val="2"/>
      </rPr>
      <t>., de este Decreto.</t>
    </r>
  </si>
  <si>
    <t xml:space="preserve">          Regresar</t>
  </si>
  <si>
    <r>
      <t xml:space="preserve">Para los efectos de este título, </t>
    </r>
    <r>
      <rPr>
        <b/>
        <sz val="12"/>
        <color theme="1"/>
        <rFont val="Arial"/>
        <family val="2"/>
      </rPr>
      <t>son ingresos de la cédula general</t>
    </r>
    <r>
      <rPr>
        <sz val="12"/>
        <color theme="1"/>
        <rFont val="Arial"/>
        <family val="2"/>
      </rPr>
      <t xml:space="preserve"> los siguientes: 
1.</t>
    </r>
    <r>
      <rPr>
        <b/>
        <sz val="12"/>
        <color theme="1"/>
        <rFont val="Arial"/>
        <family val="2"/>
      </rPr>
      <t xml:space="preserve"> Rentas de trabajo</t>
    </r>
    <r>
      <rPr>
        <sz val="12"/>
        <color theme="1"/>
        <rFont val="Arial"/>
        <family val="2"/>
      </rPr>
      <t xml:space="preserve">: las señaladas en el artículo </t>
    </r>
    <r>
      <rPr>
        <b/>
        <u/>
        <sz val="12"/>
        <color theme="1"/>
        <rFont val="Arial"/>
        <family val="2"/>
      </rPr>
      <t>103</t>
    </r>
    <r>
      <rPr>
        <sz val="12"/>
        <color theme="1"/>
        <rFont val="Arial"/>
        <family val="2"/>
      </rPr>
      <t xml:space="preserve"> de este Estatuto. 
2. </t>
    </r>
    <r>
      <rPr>
        <b/>
        <sz val="12"/>
        <color theme="1"/>
        <rFont val="Arial"/>
        <family val="2"/>
      </rPr>
      <t>Rentas de capital</t>
    </r>
    <r>
      <rPr>
        <sz val="12"/>
        <color theme="1"/>
        <rFont val="Arial"/>
        <family val="2"/>
      </rPr>
      <t xml:space="preserve">: las obtenidas por concepto de intereses, rendimientos financieros, arrendamientos, regalías y explotación de la propiedad intelectual. 
3. </t>
    </r>
    <r>
      <rPr>
        <b/>
        <sz val="12"/>
        <color theme="1"/>
        <rFont val="Arial"/>
        <family val="2"/>
      </rPr>
      <t>Rentas no laborales</t>
    </r>
    <r>
      <rPr>
        <sz val="12"/>
        <color theme="1"/>
        <rFont val="Arial"/>
        <family val="2"/>
      </rPr>
      <t xml:space="preserve">: se consideran ingresos de las rentas no laborales todos los </t>
    </r>
    <r>
      <rPr>
        <b/>
        <sz val="12"/>
        <color theme="1"/>
        <rFont val="Arial"/>
        <family val="2"/>
      </rPr>
      <t>que no se clasifiquen expresamente en ninguna otra cédula</t>
    </r>
    <r>
      <rPr>
        <sz val="12"/>
        <color theme="1"/>
        <rFont val="Arial"/>
        <family val="2"/>
      </rPr>
      <t xml:space="preserve">, con excepción de los dividendos y las ganancias ocasionales, que se rigen según sus reglas especiales
</t>
    </r>
  </si>
  <si>
    <t xml:space="preserve">• DUT 1.2.1.20.3. 1625 de 2016 (adicionado decreto 2250 de 2017)
• Artículo 91. pérdida de ejecutoriedad del acto administrativo ley 1437 de 2011
</t>
  </si>
  <si>
    <t>ANALIZAR:</t>
  </si>
  <si>
    <r>
      <t xml:space="preserve">4. </t>
    </r>
    <r>
      <rPr>
        <b/>
        <sz val="12"/>
        <color theme="1"/>
        <rFont val="Arial"/>
        <family val="2"/>
      </rPr>
      <t xml:space="preserve">En la depuración de las </t>
    </r>
    <r>
      <rPr>
        <b/>
        <u/>
        <sz val="12"/>
        <color theme="1"/>
        <rFont val="Arial"/>
        <family val="2"/>
      </rPr>
      <t>rentas no laborales y las rentas de capital</t>
    </r>
    <r>
      <rPr>
        <b/>
        <sz val="12"/>
        <color theme="1"/>
        <rFont val="Arial"/>
        <family val="2"/>
      </rPr>
      <t xml:space="preserve"> se podrán restar los </t>
    </r>
    <r>
      <rPr>
        <b/>
        <u/>
        <sz val="12"/>
        <color theme="1"/>
        <rFont val="Arial"/>
        <family val="2"/>
      </rPr>
      <t>costos y los gastos</t>
    </r>
    <r>
      <rPr>
        <sz val="12"/>
        <color theme="1"/>
        <rFont val="Arial"/>
        <family val="2"/>
      </rPr>
      <t xml:space="preserve"> que cumplan con los requisitos generales para su procedencia establecidos en las normas de este Estatuto y que sean imputables a estas rentas específicas.
</t>
    </r>
  </si>
  <si>
    <t>Sentencia C 120 noviembre 14 de 2018 costos y gastos procedentes rentas laborales trabajadores independientes</t>
  </si>
  <si>
    <r>
      <t xml:space="preserve">Parágrafo 2. La retención en la fuente establecida en el presente artículo será aplicable a los pagos o abonos en cuenta por concepto de ingresos por </t>
    </r>
    <r>
      <rPr>
        <b/>
        <u/>
        <sz val="12"/>
        <color theme="1"/>
        <rFont val="Arial"/>
        <family val="2"/>
      </rPr>
      <t>honorarios</t>
    </r>
    <r>
      <rPr>
        <b/>
        <sz val="12"/>
        <color theme="1"/>
        <rFont val="Arial"/>
        <family val="2"/>
      </rPr>
      <t xml:space="preserve"> </t>
    </r>
    <r>
      <rPr>
        <b/>
        <u/>
        <sz val="12"/>
        <color theme="1"/>
        <rFont val="Arial"/>
        <family val="2"/>
      </rPr>
      <t>y por compensación por servicios personales</t>
    </r>
    <r>
      <rPr>
        <b/>
        <sz val="12"/>
        <color theme="1"/>
        <rFont val="Arial"/>
        <family val="2"/>
      </rPr>
      <t xml:space="preserve"> obtenidos por las personas que informen que no han contratado o vinculado dos (2) o más trabajadores asociados a la actividad.</t>
    </r>
  </si>
  <si>
    <t>Descriptor 2.11 Concepto Unificado 912 de julio de 2018</t>
  </si>
  <si>
    <r>
      <t xml:space="preserve">La retención en la fuente aplicable a los pagos gravables efectuados por </t>
    </r>
    <r>
      <rPr>
        <b/>
        <u/>
        <sz val="12"/>
        <color theme="1"/>
        <rFont val="Arial"/>
        <family val="2"/>
      </rPr>
      <t>las personas naturales</t>
    </r>
    <r>
      <rPr>
        <sz val="12"/>
        <color theme="1"/>
        <rFont val="Arial"/>
        <family val="2"/>
      </rPr>
      <t xml:space="preserve"> o jurídicas, las sociedades de hecho, las comunidades organizadas y las sucesiones ilíquidas, originados en la relación laboral, o legal y reglamentaria, y los pagos recibidos por concepto de pensiones de jubilación, invalidez, vejez, de sobrevivientes y sobre riesgos laborales </t>
    </r>
    <r>
      <rPr>
        <b/>
        <sz val="12"/>
        <color theme="1"/>
        <rFont val="Arial"/>
        <family val="2"/>
      </rPr>
      <t>de conformidad con lo establecido en el artículo 206 de este Estatuto</t>
    </r>
    <r>
      <rPr>
        <sz val="12"/>
        <color theme="1"/>
        <rFont val="Arial"/>
        <family val="2"/>
      </rPr>
      <t>, será la que resulte de aplicar a dichos pagos la siguiente tabla de retención en la fuente:</t>
    </r>
  </si>
  <si>
    <r>
      <t xml:space="preserve">La retención en la fuente aplicable a los pagos gravables efectuados por </t>
    </r>
    <r>
      <rPr>
        <b/>
        <u/>
        <sz val="12"/>
        <color theme="1"/>
        <rFont val="Arial"/>
        <family val="2"/>
      </rPr>
      <t>las personas naturales</t>
    </r>
    <r>
      <rPr>
        <sz val="12"/>
        <color theme="1"/>
        <rFont val="Arial"/>
        <family val="2"/>
      </rPr>
      <t xml:space="preserve"> o jurídicas, las sociedades de hecho, las comunidades organizadas y las sucesiones ilíquidas, originados en la relación laboral, o legal y reglamentaria, y los pagos recibidos por concepto de pensiones de jubilación, invalidez, vejez, de sobrevivientes y sobre riesgos laborales, será la que resulte de aplicar a dichos pagos la siguiente tabla de retención en la fuente:</t>
    </r>
  </si>
  <si>
    <r>
      <rPr>
        <b/>
        <sz val="12"/>
        <color theme="1"/>
        <rFont val="Arial"/>
        <family val="2"/>
      </rPr>
      <t>Los dividendos y participaciones</t>
    </r>
    <r>
      <rPr>
        <sz val="12"/>
        <color theme="1"/>
        <rFont val="Arial"/>
        <family val="2"/>
      </rPr>
      <t xml:space="preserve"> pagados o abonados en cuenta a personas naturales residentes y sucesiones ilíquidas de causantes que al momento de su muerte eran residentes del país, </t>
    </r>
    <r>
      <rPr>
        <b/>
        <sz val="12"/>
        <color theme="1"/>
        <rFont val="Arial"/>
        <family val="2"/>
      </rPr>
      <t xml:space="preserve">provenientes de distribuciones de utilidades gravadas conforme a lo dispuesto en el parágrafo 2° del artículo 49, estarán sujetos a la </t>
    </r>
    <r>
      <rPr>
        <b/>
        <u/>
        <sz val="12"/>
        <color theme="1"/>
        <rFont val="Arial"/>
        <family val="2"/>
      </rPr>
      <t>tarifa señalada en el artículo 240</t>
    </r>
    <r>
      <rPr>
        <sz val="12"/>
        <color theme="1"/>
        <rFont val="Arial"/>
        <family val="2"/>
      </rPr>
      <t xml:space="preserve">, </t>
    </r>
    <r>
      <rPr>
        <b/>
        <u/>
        <sz val="12"/>
        <color theme="1"/>
        <rFont val="Arial"/>
        <family val="2"/>
      </rPr>
      <t>según el periodo gravable en que se paguen o abonen en cuenta</t>
    </r>
    <r>
      <rPr>
        <sz val="12"/>
        <color theme="1"/>
        <rFont val="Arial"/>
        <family val="2"/>
      </rPr>
      <t xml:space="preserve">, </t>
    </r>
    <r>
      <rPr>
        <b/>
        <sz val="12"/>
        <color theme="1"/>
        <rFont val="Arial"/>
        <family val="2"/>
      </rPr>
      <t>caso en el cual el impuesto señalado en el inciso anterior, se aplicará una vez disminuido este impuesto</t>
    </r>
    <r>
      <rPr>
        <sz val="12"/>
        <color theme="1"/>
        <rFont val="Arial"/>
        <family val="2"/>
      </rPr>
      <t xml:space="preserve">. A esta </t>
    </r>
    <r>
      <rPr>
        <b/>
        <sz val="12"/>
        <color theme="1"/>
        <rFont val="Arial"/>
        <family val="2"/>
      </rPr>
      <t>misma tarifa</t>
    </r>
    <r>
      <rPr>
        <sz val="12"/>
        <color theme="1"/>
        <rFont val="Arial"/>
        <family val="2"/>
      </rPr>
      <t xml:space="preserve"> estarán gravados los </t>
    </r>
    <r>
      <rPr>
        <b/>
        <sz val="12"/>
        <color theme="1"/>
        <rFont val="Arial"/>
        <family val="2"/>
      </rPr>
      <t>dividendos y participaciones recibidos de sociedades y entidades extranjeras</t>
    </r>
    <r>
      <rPr>
        <sz val="12"/>
        <color theme="1"/>
        <rFont val="Arial"/>
        <family val="2"/>
      </rPr>
      <t>.</t>
    </r>
  </si>
  <si>
    <t>Renta presuntiva menos rentas exentas</t>
  </si>
  <si>
    <t>Impuesto renta presuntiva</t>
  </si>
  <si>
    <t>Dividendos No gravados</t>
  </si>
  <si>
    <t>Renta líquida cedular GENERAL</t>
  </si>
  <si>
    <t>CÁLCULO RENTA PRESUNTIVA - LEY 1943 DE 2018</t>
  </si>
  <si>
    <t>Rentas de trabajo</t>
  </si>
  <si>
    <t>Renta líquida dividendos y participaciones:</t>
  </si>
  <si>
    <t>AÑO GRAVABLE 2019</t>
  </si>
  <si>
    <t>Valor UVT</t>
  </si>
  <si>
    <t>Valor Renta Liquida Gravable (Rlg)</t>
  </si>
  <si>
    <t>o Ganancia Ocasional Gravable</t>
  </si>
  <si>
    <t>Tarifa marginal</t>
  </si>
  <si>
    <t>(RlgUVT-1090UVT)*19%</t>
  </si>
  <si>
    <t>(RlgUVT-1700UVT)*28%+116UVT</t>
  </si>
  <si>
    <t>en adelante</t>
  </si>
  <si>
    <t>(RlgUVT-4100UVT)*33%+788UVT</t>
  </si>
  <si>
    <t>Valor Impuesto de Renta</t>
  </si>
  <si>
    <t>o Impuesto de Ganancia Ocasional</t>
  </si>
  <si>
    <t>Dividendos no gravados del año 2018</t>
  </si>
  <si>
    <t>NOTA: Para el año gravable 2019 la presente tabla NO está acutalizada; únicamente aplica hasta el segundo rango.</t>
  </si>
  <si>
    <t xml:space="preserve">Impuesto </t>
  </si>
  <si>
    <t>Renta líquida cedular General</t>
  </si>
  <si>
    <t>Total Impuesto</t>
  </si>
  <si>
    <t>Escoger el mayor</t>
  </si>
  <si>
    <t>Rentas de capital</t>
  </si>
  <si>
    <t>Rentas no laborales</t>
  </si>
  <si>
    <t>Total rentas líquida cedular</t>
  </si>
  <si>
    <t>Ver ejemplo</t>
  </si>
  <si>
    <t xml:space="preserve">• Descriptor 1.30 Concepto Unificado 912 de julio de 2018
• Artículo 150 Pérdidas sufridas por personas naturales en actividades agrícolas.
• Artículo 156 del E.T. las pérdidas no pueden afectar rentas de trabajo
</t>
  </si>
  <si>
    <t>Ejemplos</t>
  </si>
  <si>
    <t>Comparativo renta de trabajo</t>
  </si>
  <si>
    <t>Comparativo renta de capital</t>
  </si>
  <si>
    <t>Combinado renta de trabajo y capital</t>
  </si>
  <si>
    <t>Rentas de trabajo independientes</t>
  </si>
  <si>
    <t>Tarifa personas naturales residentes</t>
  </si>
  <si>
    <t>Parágrafo 2 artículo 383 y artículo 388 del E.T.</t>
  </si>
</sst>
</file>

<file path=xl/styles.xml><?xml version="1.0" encoding="utf-8"?>
<styleSheet xmlns="http://schemas.openxmlformats.org/spreadsheetml/2006/main">
  <numFmts count="41">
    <numFmt numFmtId="43" formatCode="_(* #,##0.00_);_(* \(#,##0.00\);_(* &quot;-&quot;??_);_(@_)"/>
    <numFmt numFmtId="164" formatCode="_-* #,##0.00_-;\-* #,##0.00_-;_-* &quot;-&quot;??_-;_-@_-"/>
    <numFmt numFmtId="165" formatCode="_-* #,##0\ _p_t_a_-;\-* #,##0\ _p_t_a_-;_-* &quot;-&quot;\ _p_t_a_-;_-@_-"/>
    <numFmt numFmtId="166" formatCode="_-* #,##0.00\ &quot;$&quot;_-;\-* #,##0.00\ &quot;$&quot;_-;_-* &quot;-&quot;??\ &quot;$&quot;_-;_-@_-"/>
    <numFmt numFmtId="167" formatCode="_-* #,##0.00\ _p_t_a_-;\-* #,##0.00\ _p_t_a_-;_-* &quot;-&quot;??\ _p_t_a_-;_-@_-"/>
    <numFmt numFmtId="168" formatCode="_(* #,##0_);_(* \(#,##0\);_(* &quot;-&quot;??_);_(@_)"/>
    <numFmt numFmtId="169" formatCode="&quot;$&quot;\ #,##0;[Red]&quot;$&quot;\ \-#,##0"/>
    <numFmt numFmtId="170" formatCode="&quot;$&quot;#,##0.0000_);\(&quot;$&quot;#,##0.0000\)"/>
    <numFmt numFmtId="171" formatCode="_-* #,##0_-;\-* #,##0_-;_-* &quot;-&quot;_-;_-@_-"/>
    <numFmt numFmtId="172" formatCode="_ * #,##0.00_ ;_ * \-#,##0.00_ ;_ * &quot;-&quot;??_ ;_ @_ "/>
    <numFmt numFmtId="173" formatCode="_-* #,##0.00\ _€_-;\-* #,##0.00\ _€_-;_-* &quot;-&quot;??\ _€_-;_-@_-"/>
    <numFmt numFmtId="174" formatCode="_-&quot;£&quot;* #,##0_-;\-&quot;£&quot;* #,##0_-;_-&quot;£&quot;* &quot;-&quot;_-;_-@_-"/>
    <numFmt numFmtId="175" formatCode="_ &quot;$&quot;\ * #,##0.00_ ;_ &quot;$&quot;\ * \-#,##0.00_ ;_ &quot;$&quot;\ * &quot;-&quot;??_ ;_ @_ "/>
    <numFmt numFmtId="176" formatCode="_-&quot;£&quot;* #,##0.00_-;\-&quot;£&quot;* #,##0.00_-;_-&quot;£&quot;* &quot;-&quot;??_-;_-@_-"/>
    <numFmt numFmtId="177" formatCode="\_x0000_\_x0000__(* #,##0_);_(* \(#,##0\);_(* &quot;-&quot;_);_(@"/>
    <numFmt numFmtId="178" formatCode="\_x0000_\_x0000__(* #,##0.00_);_(* \(#,##0.00\);_(* &quot;-&quot;??_);_(@"/>
    <numFmt numFmtId="179" formatCode="\_x0000_\_x0000__(&quot;$&quot;* #,##0_);_(&quot;$&quot;* \(#,##0\);_(&quot;$&quot;* &quot;-&quot;_);_(@"/>
    <numFmt numFmtId="180" formatCode="\_x0000_\_x0000__(&quot;$&quot;* #,##0.00_);_(&quot;$&quot;* \(#,##0.00\);_(&quot;$&quot;* &quot;-&quot;??_);_(@"/>
    <numFmt numFmtId="181" formatCode="_ [$€-2]\ * #,##0.00_ ;_ [$€-2]\ * \-#,##0.00_ ;_ [$€-2]\ * &quot;-&quot;??_ "/>
    <numFmt numFmtId="182" formatCode="_([$€]* #,##0.00_);_([$€]* \(#,##0.00\);_([$€]* &quot;-&quot;??_);_(@_)"/>
    <numFmt numFmtId="183" formatCode="_-* #,##0.00\ &quot;€&quot;_-;\-* #,##0.00\ &quot;€&quot;_-;_-* &quot;-&quot;??\ &quot;€&quot;_-;_-@_-"/>
    <numFmt numFmtId="184" formatCode="#,##0.0_);\(#,##0.0\)"/>
    <numFmt numFmtId="185" formatCode="_-* #,##0\ _P_t_s_-;\-* #,##0\ _P_t_s_-;_-* &quot;-&quot;\ _P_t_s_-;_-@_-"/>
    <numFmt numFmtId="186" formatCode="_ * #,##0_ ;_ * \-#,##0_ ;_ * &quot;-&quot;_ ;_ @_ "/>
    <numFmt numFmtId="187" formatCode="_-* #,##0.00\ _$_-;\-* #,##0.00\ _$_-;_-* &quot;-&quot;??\ _$_-;_-@_-"/>
    <numFmt numFmtId="188" formatCode="_ &quot;$&quot;\ * #,##0_ ;_ &quot;$&quot;\ * \-#,##0_ ;_ &quot;$&quot;\ * &quot;-&quot;_ ;_ @_ "/>
    <numFmt numFmtId="189" formatCode="_-* #,##0.00\ _P_t_s_-;\-* #,##0.00\ _P_t_s_-;_-* &quot;-&quot;??\ _P_t_s_-;_-@_-"/>
    <numFmt numFmtId="190" formatCode="_ * #,##0_ ;_ * \-#,##0_ ;_ * &quot;-&quot;??_ ;_ @_ "/>
    <numFmt numFmtId="191" formatCode="_(&quot;$&quot;* #,##0.00_);_(&quot;$&quot;* \(#,##0.00\);_(&quot;$&quot;* &quot;-&quot;??_);_(@_)"/>
    <numFmt numFmtId="192" formatCode="_ * #,##0.00_)&quot;£&quot;_ ;_ * \(#,##0.00\)&quot;£&quot;_ ;_ * &quot;-&quot;??_)&quot;£&quot;_ ;_ @_ "/>
    <numFmt numFmtId="193" formatCode="#,##0\ &quot;F&quot;;\-#,##0\ &quot;F&quot;"/>
    <numFmt numFmtId="194" formatCode="_-* #,##0\ &quot;€&quot;_-;\-* #,##0\ &quot;€&quot;_-;_-* &quot;-&quot;\ &quot;€&quot;_-;_-@_-"/>
    <numFmt numFmtId="195" formatCode="_-&quot;$&quot;* #,##0.00_-;\-&quot;$&quot;* #,##0.00_-;_-&quot;$&quot;* &quot;-&quot;??_-;_-@_-"/>
    <numFmt numFmtId="196" formatCode="#,##0.00\ &quot;F&quot;;\-#,##0.00\ &quot;F&quot;"/>
    <numFmt numFmtId="197" formatCode="_ * #,##0.00_)_£_ ;_ * \(#,##0.00\)_£_ ;_ * &quot;-&quot;??_)_£_ ;_ @_ "/>
    <numFmt numFmtId="198" formatCode="0.0000"/>
    <numFmt numFmtId="199" formatCode="_-* #,##0.0_-;\-* #,##0.0_-;_-* &quot;-&quot;??_-;_-@_-"/>
    <numFmt numFmtId="200" formatCode="&quot;$&quot;\ #,##0;\-&quot;$&quot;\ #,##0"/>
    <numFmt numFmtId="201" formatCode="mm/dd/yy"/>
    <numFmt numFmtId="202" formatCode="#,##0.00\ &quot;F&quot;;[Red]\-#,##0.00\ &quot;F&quot;"/>
    <numFmt numFmtId="203" formatCode="_-* #,##0\ _p_t_a_-;\-* #,##0\ _p_t_a_-;_-* &quot;-&quot;??\ _p_t_a_-;_-@_-"/>
  </numFmts>
  <fonts count="140">
    <font>
      <sz val="11"/>
      <color theme="1"/>
      <name val="Calibri"/>
      <family val="2"/>
      <scheme val="minor"/>
    </font>
    <font>
      <u/>
      <sz val="10"/>
      <color indexed="12"/>
      <name val="Arial"/>
      <family val="2"/>
    </font>
    <font>
      <sz val="10"/>
      <name val="Arial"/>
      <family val="2"/>
    </font>
    <font>
      <b/>
      <sz val="12"/>
      <name val="Arial"/>
      <family val="2"/>
    </font>
    <font>
      <sz val="12"/>
      <name val="Arial"/>
      <family val="2"/>
    </font>
    <font>
      <sz val="14"/>
      <name val="Arial"/>
      <family val="2"/>
    </font>
    <font>
      <sz val="11"/>
      <color theme="1"/>
      <name val="Calibri"/>
      <family val="2"/>
      <scheme val="minor"/>
    </font>
    <font>
      <u/>
      <sz val="11"/>
      <color theme="10"/>
      <name val="Calibri"/>
      <family val="2"/>
    </font>
    <font>
      <sz val="11"/>
      <color theme="1"/>
      <name val="Verdana"/>
      <family val="2"/>
    </font>
    <font>
      <sz val="12"/>
      <color theme="1"/>
      <name val="Arial"/>
      <family val="2"/>
    </font>
    <font>
      <b/>
      <sz val="14"/>
      <color theme="1"/>
      <name val="Arial"/>
      <family val="2"/>
    </font>
    <font>
      <b/>
      <sz val="12"/>
      <color theme="1"/>
      <name val="Arial"/>
      <family val="2"/>
    </font>
    <font>
      <sz val="14"/>
      <color rgb="FFFF0000"/>
      <name val="Arial"/>
      <family val="2"/>
    </font>
    <font>
      <sz val="12"/>
      <color theme="1"/>
      <name val="Calibri"/>
      <family val="2"/>
      <scheme val="minor"/>
    </font>
    <font>
      <sz val="14"/>
      <color theme="1"/>
      <name val="Arial"/>
      <family val="2"/>
    </font>
    <font>
      <sz val="12"/>
      <color indexed="8"/>
      <name val="Arial"/>
      <family val="2"/>
    </font>
    <font>
      <b/>
      <sz val="12"/>
      <color indexed="8"/>
      <name val="Arial"/>
      <family val="2"/>
    </font>
    <font>
      <sz val="11"/>
      <color indexed="9"/>
      <name val="污扩楲湡⁳卍፣"/>
      <family val="2"/>
    </font>
    <font>
      <sz val="10"/>
      <name val="vlay"/>
      <charset val="204"/>
    </font>
    <font>
      <sz val="11"/>
      <color indexed="17"/>
      <name val="???????"/>
      <family val="2"/>
    </font>
    <font>
      <b/>
      <sz val="18"/>
      <color indexed="56"/>
      <name val="???????"/>
      <family val="2"/>
    </font>
    <font>
      <b/>
      <sz val="11"/>
      <color indexed="52"/>
      <name val="???????"/>
      <family val="2"/>
    </font>
    <font>
      <b/>
      <sz val="8"/>
      <color indexed="8"/>
      <name val="vans"/>
    </font>
    <font>
      <sz val="8"/>
      <name val="?????"/>
    </font>
    <font>
      <sz val="10"/>
      <name val="?????"/>
    </font>
    <font>
      <sz val="10"/>
      <color indexed="8"/>
      <name val="?????"/>
      <family val="2"/>
    </font>
    <font>
      <sz val="11"/>
      <color indexed="52"/>
      <name val="???????"/>
      <family val="2"/>
    </font>
    <font>
      <sz val="11"/>
      <color indexed="10"/>
      <name val="???????"/>
      <family val="2"/>
    </font>
    <font>
      <b/>
      <sz val="11"/>
      <color indexed="9"/>
      <name val="???????"/>
      <family val="2"/>
    </font>
    <font>
      <sz val="10"/>
      <name val="vmaS"/>
    </font>
    <font>
      <sz val="10"/>
      <color indexed="14"/>
      <name val="?????"/>
      <family val="2"/>
    </font>
    <font>
      <sz val="10"/>
      <name val="?????"/>
      <family val="2"/>
    </font>
    <font>
      <b/>
      <sz val="8"/>
      <name val="?????"/>
    </font>
    <font>
      <b/>
      <sz val="10"/>
      <name val="?????"/>
    </font>
    <font>
      <b/>
      <sz val="11"/>
      <color indexed="56"/>
      <name val="???????"/>
      <family val="2"/>
    </font>
    <font>
      <sz val="8"/>
      <name val="vdin"/>
    </font>
    <font>
      <b/>
      <sz val="11"/>
      <color indexed="8"/>
      <name val="???????"/>
      <family val="2"/>
    </font>
    <font>
      <sz val="10"/>
      <name val="Helv"/>
    </font>
    <font>
      <sz val="10"/>
      <name val="Helv"/>
      <charset val="204"/>
    </font>
    <font>
      <sz val="10"/>
      <name val="Helv"/>
      <family val="2"/>
    </font>
    <font>
      <sz val="11"/>
      <color indexed="8"/>
      <name val="Calibri"/>
      <family val="2"/>
    </font>
    <font>
      <sz val="10"/>
      <name val="楲污ۤӊ⨕"/>
    </font>
    <font>
      <sz val="11"/>
      <color indexed="9"/>
      <name val="Calibri"/>
      <family val="2"/>
    </font>
    <font>
      <sz val="8"/>
      <name val="Times New Roman"/>
      <family val="1"/>
    </font>
    <font>
      <sz val="11"/>
      <color indexed="20"/>
      <name val="Calibri"/>
      <family val="2"/>
    </font>
    <font>
      <b/>
      <sz val="10"/>
      <color indexed="9"/>
      <name val="Arial"/>
      <family val="2"/>
    </font>
    <font>
      <sz val="11"/>
      <color indexed="17"/>
      <name val="Calibri"/>
      <family val="2"/>
    </font>
    <font>
      <sz val="10"/>
      <color indexed="8"/>
      <name val="Arial"/>
      <family val="2"/>
    </font>
    <font>
      <b/>
      <sz val="11"/>
      <color indexed="52"/>
      <name val="Calibri"/>
      <family val="2"/>
    </font>
    <font>
      <sz val="10"/>
      <name val="MS Sans Serif"/>
      <family val="2"/>
    </font>
    <font>
      <b/>
      <sz val="11"/>
      <color indexed="9"/>
      <name val="Calibri"/>
      <family val="2"/>
    </font>
    <font>
      <sz val="11"/>
      <color indexed="52"/>
      <name val="Calibri"/>
      <family val="2"/>
    </font>
    <font>
      <sz val="8"/>
      <name val="Tahoma"/>
      <family val="2"/>
    </font>
    <font>
      <sz val="10"/>
      <name val="Times New Roman"/>
      <family val="1"/>
    </font>
    <font>
      <sz val="10"/>
      <name val="MS Serif"/>
      <family val="1"/>
    </font>
    <font>
      <sz val="10"/>
      <name val="Courier"/>
      <family val="3"/>
    </font>
    <font>
      <sz val="10"/>
      <color indexed="24"/>
      <name val="Arial"/>
      <family val="2"/>
    </font>
    <font>
      <b/>
      <sz val="11"/>
      <color indexed="56"/>
      <name val="污扩楲睦删浯湡"/>
      <family val="2"/>
    </font>
    <font>
      <sz val="8"/>
      <name val="楲污ۤӊ⨕"/>
    </font>
    <font>
      <sz val="8"/>
      <name val="楲污١ӊ⨕"/>
      <family val="2"/>
    </font>
    <font>
      <b/>
      <sz val="11"/>
      <color indexed="56"/>
      <name val="Calibri"/>
      <family val="2"/>
    </font>
    <font>
      <sz val="10"/>
      <color indexed="12"/>
      <name val="Arial"/>
      <family val="2"/>
    </font>
    <font>
      <sz val="10"/>
      <color indexed="16"/>
      <name val="MS Serif"/>
      <family val="1"/>
    </font>
    <font>
      <sz val="11"/>
      <color indexed="62"/>
      <name val="Calibri"/>
      <family val="2"/>
    </font>
    <font>
      <sz val="10"/>
      <color indexed="10"/>
      <name val="楲污١ӊ⨕"/>
      <family val="2"/>
    </font>
    <font>
      <i/>
      <sz val="11"/>
      <color indexed="23"/>
      <name val="Calibri"/>
      <family val="2"/>
    </font>
    <font>
      <u/>
      <sz val="12"/>
      <color indexed="36"/>
      <name val="Times New Roman"/>
      <family val="1"/>
    </font>
    <font>
      <sz val="8"/>
      <name val="Arial"/>
      <family val="2"/>
    </font>
    <font>
      <b/>
      <sz val="15"/>
      <color indexed="56"/>
      <name val="Calibri"/>
      <family val="2"/>
    </font>
    <font>
      <b/>
      <sz val="13"/>
      <color indexed="56"/>
      <name val="Calibri"/>
      <family val="2"/>
    </font>
    <font>
      <b/>
      <sz val="8"/>
      <name val="MS Sans Serif"/>
      <family val="2"/>
    </font>
    <font>
      <u/>
      <sz val="12"/>
      <color indexed="12"/>
      <name val="Times New Roman"/>
      <family val="1"/>
    </font>
    <font>
      <sz val="9"/>
      <name val="楲污獮匠牥"/>
    </font>
    <font>
      <sz val="12"/>
      <name val="Helv"/>
    </font>
    <font>
      <sz val="10"/>
      <color indexed="12"/>
      <name val="楲污楲睦删"/>
      <family val="2"/>
    </font>
    <font>
      <sz val="11"/>
      <color indexed="62"/>
      <name val="污扩楲睦删浯湡"/>
      <family val="2"/>
    </font>
    <font>
      <sz val="10"/>
      <color indexed="14"/>
      <name val="Arial"/>
      <family val="2"/>
    </font>
    <font>
      <sz val="12"/>
      <color indexed="9"/>
      <name val="Helv"/>
    </font>
    <font>
      <b/>
      <sz val="12"/>
      <color indexed="16"/>
      <name val="Times New Roman"/>
      <family val="1"/>
    </font>
    <font>
      <sz val="9.9499999999999993"/>
      <color indexed="8"/>
      <name val="Device Font 17cpi"/>
    </font>
    <font>
      <sz val="12"/>
      <name val="Britannic Bold"/>
      <family val="2"/>
    </font>
    <font>
      <sz val="11"/>
      <name val="Arial"/>
      <family val="2"/>
    </font>
    <font>
      <sz val="9.85"/>
      <color indexed="8"/>
      <name val="Times New Roman"/>
      <family val="1"/>
    </font>
    <font>
      <sz val="11"/>
      <color indexed="60"/>
      <name val="Calibri"/>
      <family val="2"/>
    </font>
    <font>
      <sz val="7"/>
      <name val="Small Fonts"/>
      <family val="2"/>
    </font>
    <font>
      <sz val="11"/>
      <color rgb="FF000000"/>
      <name val="Calibri"/>
      <family val="2"/>
    </font>
    <font>
      <sz val="10"/>
      <color indexed="8"/>
      <name val="MS Sans Serif"/>
      <family val="2"/>
    </font>
    <font>
      <sz val="10"/>
      <color indexed="8"/>
      <name val="匠牥晩††††††††††"/>
    </font>
    <font>
      <sz val="11"/>
      <name val="‚l‚r –¾’©"/>
      <charset val="128"/>
    </font>
    <font>
      <b/>
      <sz val="11"/>
      <color indexed="63"/>
      <name val="Calibri"/>
      <family val="2"/>
    </font>
    <font>
      <sz val="1"/>
      <color indexed="8"/>
      <name val="Courier"/>
      <family val="3"/>
    </font>
    <font>
      <sz val="10"/>
      <color indexed="10"/>
      <name val="Arial"/>
      <family val="2"/>
    </font>
    <font>
      <sz val="10"/>
      <name val="Tms Rmn"/>
    </font>
    <font>
      <b/>
      <sz val="10"/>
      <name val="MS Sans Serif"/>
      <family val="2"/>
    </font>
    <font>
      <sz val="9"/>
      <name val="Arial"/>
      <family val="2"/>
    </font>
    <font>
      <sz val="8"/>
      <name val="Wingdings"/>
      <charset val="2"/>
    </font>
    <font>
      <b/>
      <sz val="10"/>
      <color indexed="9"/>
      <name val="楲污丠睥删"/>
      <family val="2"/>
    </font>
    <font>
      <sz val="8"/>
      <name val="Helv"/>
    </font>
    <font>
      <sz val="8"/>
      <name val="MS Sans Serif"/>
      <family val="2"/>
    </font>
    <font>
      <sz val="10"/>
      <name val="vmaS"/>
      <family val="2"/>
    </font>
    <font>
      <b/>
      <sz val="8"/>
      <color indexed="8"/>
      <name val="Helv"/>
    </font>
    <font>
      <sz val="11"/>
      <color indexed="10"/>
      <name val="Calibri"/>
      <family val="2"/>
    </font>
    <font>
      <b/>
      <sz val="18"/>
      <color indexed="56"/>
      <name val="Cambria"/>
      <family val="2"/>
    </font>
    <font>
      <sz val="11"/>
      <color indexed="20"/>
      <name val="污扩楲匠牥晩湡"/>
      <family val="2"/>
    </font>
    <font>
      <b/>
      <sz val="11"/>
      <color indexed="8"/>
      <name val="Calibri"/>
      <family val="2"/>
    </font>
    <font>
      <sz val="12"/>
      <name val="楲污ۤӊ⨕"/>
    </font>
    <font>
      <b/>
      <sz val="12"/>
      <name val="楲污١ӊ⨕"/>
      <family val="2"/>
    </font>
    <font>
      <b/>
      <sz val="8"/>
      <name val="楲污ۤӊ⨕"/>
    </font>
    <font>
      <sz val="10"/>
      <color indexed="14"/>
      <name val="楲污楲匠牥"/>
      <family val="2"/>
    </font>
    <font>
      <sz val="10"/>
      <name val="楲污١ӊ⨕"/>
      <family val="2"/>
    </font>
    <font>
      <sz val="11"/>
      <color indexed="17"/>
      <name val="污扩楲睥删浯湡"/>
      <family val="2"/>
    </font>
    <font>
      <sz val="10"/>
      <color indexed="8"/>
      <name val="楲污楲睥删"/>
      <family val="2"/>
    </font>
    <font>
      <b/>
      <sz val="11"/>
      <color indexed="52"/>
      <name val="污扩楲睥删浯湡"/>
      <family val="2"/>
    </font>
    <font>
      <b/>
      <sz val="10"/>
      <name val="楲污ۤӊ⨕"/>
    </font>
    <font>
      <sz val="11"/>
      <color indexed="10"/>
      <name val="污扩楲匠牥晩湡"/>
      <family val="2"/>
    </font>
    <font>
      <b/>
      <sz val="11"/>
      <color indexed="9"/>
      <name val="污扩楲睥删浯湡"/>
      <family val="2"/>
    </font>
    <font>
      <b/>
      <sz val="11"/>
      <color indexed="63"/>
      <name val="污扩楲獧牥晩湡"/>
      <family val="2"/>
    </font>
    <font>
      <sz val="11"/>
      <color indexed="52"/>
      <name val="污扩楲睥删浯湡"/>
      <family val="2"/>
    </font>
    <font>
      <b/>
      <sz val="11"/>
      <color indexed="8"/>
      <name val="污扩楲匠牥晩湡"/>
      <family val="2"/>
    </font>
    <font>
      <b/>
      <sz val="18"/>
      <color indexed="56"/>
      <name val="浡牢慩匠牥晩湡"/>
      <family val="2"/>
    </font>
    <font>
      <sz val="11"/>
      <color indexed="60"/>
      <name val="污扩楲匠牥晩湡"/>
      <family val="2"/>
    </font>
    <font>
      <i/>
      <sz val="11"/>
      <color indexed="23"/>
      <name val="污扩楲匠牥晩湡"/>
      <family val="2"/>
    </font>
    <font>
      <b/>
      <sz val="10"/>
      <name val="Arial"/>
      <family val="2"/>
    </font>
    <font>
      <b/>
      <u/>
      <sz val="12"/>
      <color theme="1"/>
      <name val="Arial"/>
      <family val="2"/>
    </font>
    <font>
      <u/>
      <sz val="12"/>
      <color theme="10"/>
      <name val="Arial"/>
      <family val="2"/>
    </font>
    <font>
      <sz val="12"/>
      <color theme="10"/>
      <name val="Arial"/>
      <family val="2"/>
    </font>
    <font>
      <sz val="11"/>
      <color rgb="FFFF0000"/>
      <name val="Calibri"/>
      <family val="2"/>
      <scheme val="minor"/>
    </font>
    <font>
      <sz val="12"/>
      <color rgb="FFFF0000"/>
      <name val="Arial"/>
      <family val="2"/>
    </font>
    <font>
      <b/>
      <i/>
      <sz val="12"/>
      <name val="Arial"/>
      <family val="2"/>
    </font>
    <font>
      <i/>
      <sz val="12"/>
      <name val="Arial"/>
      <family val="2"/>
    </font>
    <font>
      <b/>
      <u/>
      <sz val="12"/>
      <name val="Arial"/>
      <family val="2"/>
    </font>
    <font>
      <b/>
      <u/>
      <sz val="12"/>
      <color indexed="8"/>
      <name val="Arial"/>
      <family val="2"/>
    </font>
    <font>
      <sz val="12"/>
      <color indexed="81"/>
      <name val="Arial"/>
      <family val="2"/>
    </font>
    <font>
      <b/>
      <sz val="12"/>
      <color indexed="81"/>
      <name val="Arial"/>
      <family val="2"/>
    </font>
    <font>
      <sz val="10"/>
      <name val="Verdana"/>
      <family val="2"/>
    </font>
    <font>
      <sz val="12"/>
      <color indexed="9"/>
      <name val="Arial"/>
      <family val="2"/>
    </font>
    <font>
      <sz val="12"/>
      <color indexed="18"/>
      <name val="Arial"/>
      <family val="2"/>
    </font>
    <font>
      <sz val="10"/>
      <color rgb="FFFF0000"/>
      <name val="Arial"/>
      <family val="2"/>
    </font>
    <font>
      <u val="singleAccounting"/>
      <sz val="12"/>
      <color theme="1"/>
      <name val="Arial"/>
      <family val="2"/>
    </font>
    <font>
      <u/>
      <sz val="14"/>
      <name val="Arial"/>
      <family val="2"/>
    </font>
  </fonts>
  <fills count="35">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patternFill>
    </fill>
    <fill>
      <patternFill patternType="solid">
        <fgColor indexed="30"/>
      </patternFill>
    </fill>
    <fill>
      <patternFill patternType="solid">
        <fgColor indexed="29"/>
      </patternFill>
    </fill>
    <fill>
      <patternFill patternType="solid">
        <fgColor indexed="11"/>
      </patternFill>
    </fill>
    <fill>
      <patternFill patternType="solid">
        <fgColor indexed="36"/>
      </patternFill>
    </fill>
    <fill>
      <patternFill patternType="solid">
        <fgColor indexed="49"/>
      </patternFill>
    </fill>
    <fill>
      <patternFill patternType="solid">
        <fgColor indexed="52"/>
      </patternFill>
    </fill>
    <fill>
      <patternFill patternType="solid">
        <fgColor indexed="42"/>
      </patternFill>
    </fill>
    <fill>
      <patternFill patternType="solid">
        <fgColor indexed="22"/>
      </patternFill>
    </fill>
    <fill>
      <patternFill patternType="solid">
        <fgColor indexed="55"/>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51"/>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8"/>
        <bgColor indexed="64"/>
      </patternFill>
    </fill>
    <fill>
      <patternFill patternType="solid">
        <fgColor indexed="26"/>
        <bgColor indexed="64"/>
      </patternFill>
    </fill>
    <fill>
      <patternFill patternType="solid">
        <fgColor indexed="22"/>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darkVertical"/>
    </fill>
    <fill>
      <patternFill patternType="solid">
        <fgColor theme="0" tint="-4.9989318521683403E-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medium">
        <color indexed="30"/>
      </bottom>
      <diagonal/>
    </border>
    <border>
      <left/>
      <right/>
      <top style="thin">
        <color indexed="62"/>
      </top>
      <bottom style="double">
        <color indexed="62"/>
      </bottom>
      <diagonal/>
    </border>
    <border>
      <left/>
      <right/>
      <top style="thin">
        <color indexed="64"/>
      </top>
      <bottom style="thin">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rgb="FF000000"/>
      </left>
      <right style="medium">
        <color rgb="FF000000"/>
      </right>
      <top style="medium">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style="medium">
        <color rgb="FF000000"/>
      </right>
      <top style="medium">
        <color rgb="FF000000"/>
      </top>
      <bottom style="thick">
        <color rgb="FF000000"/>
      </bottom>
      <diagonal/>
    </border>
    <border>
      <left style="medium">
        <color rgb="FF000000"/>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thick">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657">
    <xf numFmtId="0" fontId="0" fillId="0" borderId="0"/>
    <xf numFmtId="0" fontId="7"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165" fontId="2" fillId="0" borderId="0" applyFont="0" applyFill="0" applyBorder="0" applyAlignment="0" applyProtection="0"/>
    <xf numFmtId="167" fontId="2" fillId="0" borderId="0" applyFont="0" applyFill="0" applyBorder="0" applyAlignment="0" applyProtection="0"/>
    <xf numFmtId="166" fontId="8" fillId="0" borderId="0" applyFont="0" applyFill="0" applyBorder="0" applyAlignment="0" applyProtection="0"/>
    <xf numFmtId="0" fontId="8" fillId="0" borderId="0"/>
    <xf numFmtId="0" fontId="2" fillId="0" borderId="0"/>
    <xf numFmtId="9" fontId="8" fillId="0" borderId="0" applyFont="0" applyFill="0" applyBorder="0" applyAlignment="0" applyProtection="0"/>
    <xf numFmtId="9" fontId="2" fillId="0" borderId="0" applyFont="0" applyFill="0" applyBorder="0" applyAlignment="0" applyProtection="0"/>
    <xf numFmtId="43" fontId="6" fillId="0" borderId="0" applyFont="0" applyFill="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8" fillId="0" borderId="0" applyFont="0" applyFill="0" applyBorder="0" applyAlignment="0" applyProtection="0"/>
    <xf numFmtId="0" fontId="19" fillId="12" borderId="0" applyNumberFormat="0" applyBorder="0" applyAlignment="0" applyProtection="0"/>
    <xf numFmtId="0" fontId="20" fillId="0" borderId="0" applyNumberFormat="0" applyFill="0" applyBorder="0" applyAlignment="0" applyProtection="0"/>
    <xf numFmtId="0" fontId="21" fillId="13" borderId="11" applyNumberFormat="0" applyAlignment="0" applyProtection="0"/>
    <xf numFmtId="40" fontId="22" fillId="0" borderId="0" applyBorder="0">
      <alignment horizontal="right"/>
    </xf>
    <xf numFmtId="14" fontId="23" fillId="0" borderId="0">
      <alignment horizontal="center" wrapText="1"/>
      <protection locked="0"/>
    </xf>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ill="0" applyBorder="0" applyAlignment="0"/>
    <xf numFmtId="0" fontId="25" fillId="0" borderId="0" applyFill="0" applyBorder="0" applyAlignment="0"/>
    <xf numFmtId="0" fontId="26" fillId="0" borderId="12" applyNumberFormat="0" applyFill="0" applyAlignment="0" applyProtection="0"/>
    <xf numFmtId="0" fontId="24" fillId="0" borderId="0" applyFill="0" applyBorder="0" applyAlignment="0"/>
    <xf numFmtId="0" fontId="25" fillId="0" borderId="0" applyFill="0" applyBorder="0" applyAlignment="0"/>
    <xf numFmtId="0" fontId="27" fillId="0" borderId="0" applyNumberFormat="0" applyFill="0" applyBorder="0" applyAlignment="0" applyProtection="0"/>
    <xf numFmtId="0" fontId="28" fillId="14" borderId="13" applyNumberFormat="0" applyAlignment="0" applyProtection="0"/>
    <xf numFmtId="0" fontId="29" fillId="0" borderId="0"/>
    <xf numFmtId="0" fontId="29" fillId="0" borderId="0"/>
    <xf numFmtId="0" fontId="29" fillId="0" borderId="0"/>
    <xf numFmtId="0" fontId="29" fillId="0" borderId="0"/>
    <xf numFmtId="0" fontId="24" fillId="0" borderId="0" applyFont="0" applyFill="0" applyBorder="0" applyAlignment="0" applyProtection="0"/>
    <xf numFmtId="0" fontId="30" fillId="0" borderId="0" applyFill="0" applyBorder="0" applyAlignment="0"/>
    <xf numFmtId="0" fontId="24" fillId="0" borderId="0" applyFont="0" applyFill="0" applyBorder="0" applyAlignment="0" applyProtection="0"/>
    <xf numFmtId="0" fontId="30" fillId="0" borderId="0" applyFill="0" applyBorder="0" applyAlignment="0"/>
    <xf numFmtId="0" fontId="31" fillId="0" borderId="0" applyFont="0" applyFill="0" applyBorder="0" applyAlignment="0" applyProtection="0"/>
    <xf numFmtId="0" fontId="32" fillId="0" borderId="0">
      <alignment horizontal="center"/>
    </xf>
    <xf numFmtId="40" fontId="24" fillId="0" borderId="0" applyFont="0" applyFill="0" applyBorder="0" applyAlignment="0" applyProtection="0"/>
    <xf numFmtId="0" fontId="33" fillId="0" borderId="14">
      <alignment horizontal="center"/>
    </xf>
    <xf numFmtId="0" fontId="34" fillId="0" borderId="15" applyNumberFormat="0" applyFill="0" applyAlignment="0" applyProtection="0"/>
    <xf numFmtId="14" fontId="35" fillId="0" borderId="0" applyNumberFormat="0" applyFill="0" applyBorder="0" applyAlignment="0" applyProtection="0">
      <alignment horizontal="left"/>
    </xf>
    <xf numFmtId="0" fontId="24" fillId="0" borderId="0" applyNumberFormat="0" applyAlignment="0">
      <alignment horizontal="left"/>
    </xf>
    <xf numFmtId="0" fontId="29" fillId="0" borderId="0"/>
    <xf numFmtId="0" fontId="36" fillId="0" borderId="16" applyNumberFormat="0" applyFill="0" applyAlignment="0" applyProtection="0"/>
    <xf numFmtId="0" fontId="2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8" fillId="0" borderId="0"/>
    <xf numFmtId="0" fontId="37" fillId="0" borderId="0"/>
    <xf numFmtId="0" fontId="37" fillId="0" borderId="0"/>
    <xf numFmtId="0" fontId="2" fillId="0" borderId="0"/>
    <xf numFmtId="0" fontId="2" fillId="0" borderId="0"/>
    <xf numFmtId="0" fontId="2" fillId="0" borderId="0"/>
    <xf numFmtId="0" fontId="38"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9" fillId="0" borderId="0"/>
    <xf numFmtId="0" fontId="37" fillId="0" borderId="0"/>
    <xf numFmtId="0" fontId="39" fillId="0" borderId="0"/>
    <xf numFmtId="0" fontId="37" fillId="0" borderId="0"/>
    <xf numFmtId="0" fontId="37" fillId="0" borderId="0"/>
    <xf numFmtId="0" fontId="39" fillId="0" borderId="0"/>
    <xf numFmtId="0" fontId="38" fillId="0" borderId="0"/>
    <xf numFmtId="0" fontId="38" fillId="0" borderId="0"/>
    <xf numFmtId="0" fontId="38" fillId="0" borderId="0"/>
    <xf numFmtId="0" fontId="39" fillId="0" borderId="0"/>
    <xf numFmtId="0" fontId="37" fillId="0" borderId="0"/>
    <xf numFmtId="0" fontId="29" fillId="0" borderId="0"/>
    <xf numFmtId="0" fontId="29" fillId="0" borderId="0"/>
    <xf numFmtId="0" fontId="29" fillId="0" borderId="0"/>
    <xf numFmtId="0" fontId="29" fillId="0" borderId="0"/>
    <xf numFmtId="0" fontId="40" fillId="15"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29" fillId="0" borderId="0"/>
    <xf numFmtId="0" fontId="29" fillId="0" borderId="0"/>
    <xf numFmtId="0" fontId="40" fillId="20" borderId="0" applyNumberFormat="0" applyBorder="0" applyAlignment="0" applyProtection="0"/>
    <xf numFmtId="0" fontId="40" fillId="20"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1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42" fillId="8" borderId="0" applyNumberFormat="0" applyBorder="0" applyAlignment="0" applyProtection="0"/>
    <xf numFmtId="0" fontId="42" fillId="8"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42" fillId="8" borderId="0" applyNumberFormat="0" applyBorder="0" applyAlignment="0" applyProtection="0"/>
    <xf numFmtId="0" fontId="42" fillId="8"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3" fillId="0" borderId="0">
      <alignment horizontal="center" wrapText="1"/>
      <protection locked="0"/>
    </xf>
    <xf numFmtId="0" fontId="44" fillId="16" borderId="0" applyNumberFormat="0" applyBorder="0" applyAlignment="0" applyProtection="0"/>
    <xf numFmtId="0" fontId="44" fillId="16" borderId="0" applyNumberFormat="0" applyBorder="0" applyAlignment="0" applyProtection="0"/>
    <xf numFmtId="0" fontId="45" fillId="26" borderId="0" applyNumberFormat="0" applyBorder="0" applyAlignment="0"/>
    <xf numFmtId="0" fontId="2" fillId="0" borderId="0" applyNumberFormat="0" applyFill="0" applyBorder="0" applyAlignment="0" applyProtection="0"/>
    <xf numFmtId="0" fontId="2" fillId="0" borderId="0" applyNumberFormat="0" applyFill="0" applyBorder="0" applyAlignment="0" applyProtection="0"/>
    <xf numFmtId="0" fontId="46" fillId="12" borderId="0" applyNumberFormat="0" applyBorder="0" applyAlignment="0" applyProtection="0"/>
    <xf numFmtId="0" fontId="46" fillId="12" borderId="0" applyNumberFormat="0" applyBorder="0" applyAlignment="0" applyProtection="0"/>
    <xf numFmtId="170" fontId="2" fillId="0" borderId="0" applyFill="0" applyBorder="0" applyAlignment="0"/>
    <xf numFmtId="170" fontId="2" fillId="0" borderId="0" applyFill="0" applyBorder="0" applyAlignment="0"/>
    <xf numFmtId="170" fontId="2" fillId="0" borderId="0" applyFill="0" applyBorder="0" applyAlignment="0"/>
    <xf numFmtId="0" fontId="47"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47"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47" fillId="0" borderId="0" applyFill="0" applyBorder="0" applyAlignment="0"/>
    <xf numFmtId="0" fontId="48" fillId="13" borderId="11" applyNumberFormat="0" applyAlignment="0" applyProtection="0"/>
    <xf numFmtId="0" fontId="48" fillId="13" borderId="11" applyNumberFormat="0" applyAlignment="0" applyProtection="0"/>
    <xf numFmtId="0" fontId="48" fillId="13" borderId="11" applyNumberFormat="0" applyAlignment="0" applyProtection="0"/>
    <xf numFmtId="0" fontId="48" fillId="13" borderId="11" applyNumberFormat="0" applyAlignment="0" applyProtection="0"/>
    <xf numFmtId="0" fontId="48" fillId="13" borderId="11" applyNumberFormat="0" applyAlignment="0" applyProtection="0"/>
    <xf numFmtId="0" fontId="49" fillId="0" borderId="0"/>
    <xf numFmtId="0" fontId="50" fillId="14" borderId="13" applyNumberFormat="0" applyAlignment="0" applyProtection="0"/>
    <xf numFmtId="0" fontId="50" fillId="14" borderId="13" applyNumberFormat="0" applyAlignment="0" applyProtection="0"/>
    <xf numFmtId="0" fontId="51" fillId="0" borderId="12" applyNumberFormat="0" applyFill="0" applyAlignment="0" applyProtection="0"/>
    <xf numFmtId="0" fontId="51" fillId="0" borderId="12" applyNumberFormat="0" applyFill="0" applyAlignment="0" applyProtection="0"/>
    <xf numFmtId="0" fontId="50" fillId="14" borderId="13" applyNumberFormat="0" applyAlignment="0" applyProtection="0"/>
    <xf numFmtId="0" fontId="50" fillId="14" borderId="13" applyNumberFormat="0" applyAlignment="0" applyProtection="0"/>
    <xf numFmtId="0" fontId="50" fillId="14" borderId="13" applyNumberFormat="0" applyAlignment="0" applyProtection="0"/>
    <xf numFmtId="17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43" fontId="2" fillId="0" borderId="0" applyFont="0" applyFill="0" applyBorder="0" applyAlignment="0" applyProtection="0"/>
    <xf numFmtId="172"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2" fillId="0" borderId="0" applyFont="0" applyFill="0" applyBorder="0" applyAlignment="0" applyProtection="0"/>
    <xf numFmtId="173" fontId="52" fillId="0" borderId="0" applyFont="0" applyFill="0" applyBorder="0" applyAlignment="0" applyProtection="0"/>
    <xf numFmtId="173" fontId="52" fillId="0" borderId="0" applyFont="0" applyFill="0" applyBorder="0" applyAlignment="0" applyProtection="0"/>
    <xf numFmtId="164" fontId="2" fillId="0" borderId="0" applyFont="0" applyFill="0" applyBorder="0" applyAlignment="0" applyProtection="0"/>
    <xf numFmtId="3" fontId="53" fillId="0" borderId="0" applyFont="0" applyFill="0" applyBorder="0" applyAlignment="0" applyProtection="0"/>
    <xf numFmtId="0" fontId="54" fillId="0" borderId="0" applyNumberFormat="0" applyAlignment="0">
      <alignment horizontal="left"/>
    </xf>
    <xf numFmtId="0" fontId="55" fillId="0" borderId="0" applyNumberFormat="0" applyAlignment="0"/>
    <xf numFmtId="17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3" fontId="53" fillId="0" borderId="0" applyFont="0" applyFill="0" applyBorder="0" applyAlignment="0" applyProtection="0"/>
    <xf numFmtId="0" fontId="56" fillId="0" borderId="0" applyFont="0" applyFill="0" applyBorder="0" applyAlignment="0" applyProtection="0"/>
    <xf numFmtId="14" fontId="47" fillId="0" borderId="0" applyFill="0" applyBorder="0" applyAlignment="0"/>
    <xf numFmtId="0" fontId="17" fillId="25" borderId="0" applyNumberFormat="0" applyBorder="0" applyAlignment="0" applyProtection="0"/>
    <xf numFmtId="0" fontId="57" fillId="0" borderId="0" applyNumberFormat="0" applyFill="0" applyBorder="0" applyAlignment="0" applyProtection="0"/>
    <xf numFmtId="0" fontId="58" fillId="0" borderId="0" applyNumberFormat="0" applyFill="0" applyBorder="0" applyAlignment="0">
      <alignment horizontal="center"/>
    </xf>
    <xf numFmtId="0" fontId="58" fillId="1" borderId="17" applyNumberFormat="0" applyFont="0" applyAlignment="0">
      <alignment horizontal="center"/>
    </xf>
    <xf numFmtId="10" fontId="59" fillId="27" borderId="1" applyNumberFormat="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42" fillId="22"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61" fillId="0" borderId="0" applyFill="0" applyBorder="0" applyAlignment="0"/>
    <xf numFmtId="0" fontId="61" fillId="0" borderId="0" applyFill="0" applyBorder="0" applyAlignment="0"/>
    <xf numFmtId="0" fontId="61"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61" fillId="0" borderId="0" applyFill="0" applyBorder="0" applyAlignment="0"/>
    <xf numFmtId="0" fontId="62" fillId="0" borderId="0" applyNumberFormat="0" applyAlignment="0">
      <alignment horizontal="left"/>
    </xf>
    <xf numFmtId="0" fontId="63" fillId="19" borderId="11" applyNumberFormat="0" applyAlignment="0" applyProtection="0"/>
    <xf numFmtId="0" fontId="63" fillId="19" borderId="11" applyNumberFormat="0" applyAlignment="0" applyProtection="0"/>
    <xf numFmtId="0" fontId="64" fillId="0" borderId="0" applyFill="0" applyBorder="0" applyAlignment="0"/>
    <xf numFmtId="0" fontId="64" fillId="0" borderId="0" applyFill="0" applyBorder="0" applyAlignment="0"/>
    <xf numFmtId="0" fontId="64" fillId="0" borderId="0" applyFill="0" applyBorder="0" applyAlignment="0"/>
    <xf numFmtId="0" fontId="41" fillId="0" borderId="0" applyFill="0" applyBorder="0" applyAlignment="0"/>
    <xf numFmtId="0" fontId="64" fillId="0" borderId="0" applyFill="0" applyBorder="0" applyAlignment="0"/>
    <xf numFmtId="0" fontId="38" fillId="0" borderId="0"/>
    <xf numFmtId="0" fontId="2" fillId="0" borderId="0"/>
    <xf numFmtId="177"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38" fontId="59" fillId="28" borderId="0" applyNumberFormat="0" applyBorder="0" applyAlignment="0" applyProtection="0"/>
    <xf numFmtId="15" fontId="4" fillId="0" borderId="7" applyFont="0" applyFill="0" applyBorder="0" applyAlignment="0" applyProtection="0"/>
    <xf numFmtId="0" fontId="66" fillId="0" borderId="0" applyNumberFormat="0" applyFill="0" applyBorder="0" applyAlignment="0" applyProtection="0">
      <alignment vertical="top"/>
      <protection locked="0"/>
    </xf>
    <xf numFmtId="0" fontId="46" fillId="12" borderId="0" applyNumberFormat="0" applyBorder="0" applyAlignment="0" applyProtection="0"/>
    <xf numFmtId="0" fontId="46" fillId="12" borderId="0" applyNumberFormat="0" applyBorder="0" applyAlignment="0" applyProtection="0"/>
    <xf numFmtId="38" fontId="67" fillId="28" borderId="0" applyNumberFormat="0" applyBorder="0" applyAlignment="0" applyProtection="0"/>
    <xf numFmtId="38" fontId="67" fillId="28" borderId="0" applyNumberFormat="0" applyBorder="0" applyAlignment="0" applyProtection="0"/>
    <xf numFmtId="38" fontId="67" fillId="28" borderId="0" applyNumberFormat="0" applyBorder="0" applyAlignment="0" applyProtection="0"/>
    <xf numFmtId="38" fontId="67" fillId="28" borderId="0" applyNumberFormat="0" applyBorder="0" applyAlignment="0" applyProtection="0"/>
    <xf numFmtId="0" fontId="58" fillId="0" borderId="0">
      <alignment horizontal="center" wrapText="1"/>
      <protection locked="0"/>
    </xf>
    <xf numFmtId="0" fontId="3" fillId="0" borderId="18" applyNumberFormat="0" applyAlignment="0" applyProtection="0">
      <alignment horizontal="left" vertical="center"/>
    </xf>
    <xf numFmtId="0" fontId="3" fillId="0" borderId="17">
      <alignment horizontal="left" vertical="center"/>
    </xf>
    <xf numFmtId="0" fontId="68" fillId="0" borderId="19" applyNumberFormat="0" applyFill="0" applyAlignment="0" applyProtection="0"/>
    <xf numFmtId="0" fontId="68" fillId="0" borderId="19" applyNumberFormat="0" applyFill="0" applyAlignment="0" applyProtection="0"/>
    <xf numFmtId="0" fontId="69" fillId="0" borderId="20" applyNumberFormat="0" applyFill="0" applyAlignment="0" applyProtection="0"/>
    <xf numFmtId="0" fontId="69" fillId="0" borderId="20" applyNumberFormat="0" applyFill="0" applyAlignment="0" applyProtection="0"/>
    <xf numFmtId="0" fontId="60" fillId="0" borderId="15" applyNumberFormat="0" applyFill="0" applyAlignment="0" applyProtection="0"/>
    <xf numFmtId="0" fontId="60" fillId="0" borderId="15" applyNumberFormat="0" applyFill="0" applyAlignment="0" applyProtection="0"/>
    <xf numFmtId="0" fontId="60" fillId="0" borderId="15"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70" fillId="0" borderId="14">
      <alignment horizontal="center"/>
    </xf>
    <xf numFmtId="0" fontId="70" fillId="0" borderId="0">
      <alignment horizontal="center"/>
    </xf>
    <xf numFmtId="0" fontId="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41" fillId="0" borderId="0"/>
    <xf numFmtId="0" fontId="44" fillId="16" borderId="0" applyNumberFormat="0" applyBorder="0" applyAlignment="0" applyProtection="0"/>
    <xf numFmtId="0" fontId="44" fillId="16" borderId="0" applyNumberFormat="0" applyBorder="0" applyAlignment="0" applyProtection="0"/>
    <xf numFmtId="0" fontId="72" fillId="0" borderId="0" applyNumberFormat="0" applyFont="0" applyFill="0" applyBorder="0" applyAlignment="0"/>
    <xf numFmtId="0" fontId="63" fillId="19" borderId="11" applyNumberFormat="0" applyAlignment="0" applyProtection="0"/>
    <xf numFmtId="10" fontId="67" fillId="27" borderId="1" applyNumberFormat="0" applyBorder="0" applyAlignment="0" applyProtection="0"/>
    <xf numFmtId="10" fontId="67" fillId="27" borderId="1" applyNumberFormat="0" applyBorder="0" applyAlignment="0" applyProtection="0"/>
    <xf numFmtId="10" fontId="67" fillId="27" borderId="1" applyNumberFormat="0" applyBorder="0" applyAlignment="0" applyProtection="0"/>
    <xf numFmtId="10" fontId="67" fillId="27" borderId="1" applyNumberFormat="0" applyBorder="0" applyAlignment="0" applyProtection="0"/>
    <xf numFmtId="0" fontId="63" fillId="19" borderId="11" applyNumberFormat="0" applyAlignment="0" applyProtection="0"/>
    <xf numFmtId="0" fontId="63" fillId="19" borderId="11" applyNumberFormat="0" applyAlignment="0" applyProtection="0"/>
    <xf numFmtId="0" fontId="63" fillId="19" borderId="11" applyNumberFormat="0" applyAlignment="0" applyProtection="0"/>
    <xf numFmtId="184" fontId="73" fillId="29" borderId="0"/>
    <xf numFmtId="0" fontId="63" fillId="19" borderId="11" applyNumberFormat="0" applyAlignment="0" applyProtection="0"/>
    <xf numFmtId="0" fontId="74" fillId="0" borderId="0" applyFill="0" applyBorder="0" applyAlignment="0"/>
    <xf numFmtId="0" fontId="41" fillId="0" borderId="0" applyFill="0" applyBorder="0" applyAlignment="0"/>
    <xf numFmtId="0" fontId="75" fillId="19" borderId="11" applyNumberFormat="0" applyAlignment="0" applyProtection="0"/>
    <xf numFmtId="0" fontId="74" fillId="0" borderId="0" applyFill="0" applyBorder="0" applyAlignment="0"/>
    <xf numFmtId="0" fontId="75" fillId="19" borderId="11" applyNumberFormat="0" applyAlignment="0" applyProtection="0"/>
    <xf numFmtId="0" fontId="76" fillId="0" borderId="0" applyFill="0" applyBorder="0" applyAlignment="0"/>
    <xf numFmtId="0" fontId="76" fillId="0" borderId="0" applyFill="0" applyBorder="0" applyAlignment="0"/>
    <xf numFmtId="0" fontId="76"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76" fillId="0" borderId="0" applyFill="0" applyBorder="0" applyAlignment="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184" fontId="77" fillId="30" borderId="0"/>
    <xf numFmtId="0" fontId="78" fillId="0" borderId="0"/>
    <xf numFmtId="185" fontId="2" fillId="0" borderId="0" applyFont="0" applyFill="0" applyBorder="0" applyAlignment="0" applyProtection="0"/>
    <xf numFmtId="186" fontId="2" fillId="0" borderId="0" applyFont="0" applyFill="0" applyBorder="0" applyAlignment="0" applyProtection="0"/>
    <xf numFmtId="171" fontId="13" fillId="0" borderId="0" applyFont="0" applyFill="0" applyBorder="0" applyAlignment="0" applyProtection="0"/>
    <xf numFmtId="43" fontId="7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6" fillId="0" borderId="0" applyFont="0" applyFill="0" applyBorder="0" applyAlignment="0" applyProtection="0"/>
    <xf numFmtId="187" fontId="2" fillId="0" borderId="0" applyFont="0" applyFill="0" applyBorder="0" applyAlignment="0" applyProtection="0"/>
    <xf numFmtId="188" fontId="80" fillId="0" borderId="0" applyFont="0" applyFill="0" applyBorder="0" applyAlignment="0" applyProtection="0"/>
    <xf numFmtId="188" fontId="8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167" fontId="2" fillId="0" borderId="0" applyFont="0" applyFill="0" applyBorder="0" applyAlignment="0" applyProtection="0"/>
    <xf numFmtId="189"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72" fontId="2" fillId="0" borderId="0" applyFont="0" applyFill="0" applyBorder="0" applyAlignment="0" applyProtection="0"/>
    <xf numFmtId="0" fontId="40" fillId="0" borderId="0"/>
    <xf numFmtId="189" fontId="2" fillId="0" borderId="0" applyFont="0" applyFill="0" applyBorder="0" applyAlignment="0" applyProtection="0"/>
    <xf numFmtId="191" fontId="2" fillId="0" borderId="0" applyFont="0" applyFill="0" applyBorder="0" applyAlignment="0" applyProtection="0"/>
    <xf numFmtId="0" fontId="40" fillId="0" borderId="0"/>
    <xf numFmtId="189" fontId="2" fillId="0" borderId="0" applyFont="0" applyFill="0" applyBorder="0" applyAlignment="0" applyProtection="0"/>
    <xf numFmtId="0" fontId="81" fillId="0" borderId="0" applyFont="0" applyFill="0" applyBorder="0" applyAlignment="0" applyProtection="0"/>
    <xf numFmtId="169" fontId="2" fillId="0" borderId="0" applyFont="0" applyFill="0" applyBorder="0" applyAlignment="0" applyProtection="0"/>
    <xf numFmtId="0" fontId="40" fillId="0" borderId="0"/>
    <xf numFmtId="172" fontId="2" fillId="0" borderId="0" applyFont="0" applyFill="0" applyBorder="0" applyAlignment="0" applyProtection="0"/>
    <xf numFmtId="189" fontId="2" fillId="0" borderId="0" applyFont="0" applyFill="0" applyBorder="0" applyAlignment="0" applyProtection="0"/>
    <xf numFmtId="172" fontId="2" fillId="0" borderId="0" applyFont="0" applyFill="0" applyBorder="0" applyAlignment="0" applyProtection="0"/>
    <xf numFmtId="164" fontId="13"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92" fontId="2" fillId="0" borderId="0" applyFont="0" applyFill="0" applyBorder="0" applyAlignment="0" applyProtection="0"/>
    <xf numFmtId="193" fontId="2" fillId="0" borderId="0" applyFont="0" applyFill="0" applyBorder="0" applyAlignment="0" applyProtection="0"/>
    <xf numFmtId="194" fontId="2" fillId="0" borderId="0" applyFont="0" applyFill="0" applyBorder="0" applyAlignment="0" applyProtection="0"/>
    <xf numFmtId="0" fontId="82" fillId="0" borderId="0" applyNumberFormat="0" applyFill="0" applyBorder="0" applyProtection="0">
      <alignment horizontal="left" vertical="center"/>
    </xf>
    <xf numFmtId="191" fontId="2" fillId="0" borderId="0" applyFont="0" applyFill="0" applyBorder="0" applyAlignment="0" applyProtection="0"/>
    <xf numFmtId="191" fontId="40" fillId="0" borderId="0" applyFont="0" applyFill="0" applyBorder="0" applyAlignment="0" applyProtection="0"/>
    <xf numFmtId="19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91" fontId="2" fillId="0" borderId="0" applyFont="0" applyFill="0" applyBorder="0" applyAlignment="0" applyProtection="0"/>
    <xf numFmtId="0" fontId="82" fillId="0" borderId="0" applyNumberFormat="0" applyFill="0" applyBorder="0" applyProtection="0">
      <alignment horizontal="left" vertical="center"/>
    </xf>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6" fontId="2" fillId="0" borderId="0" applyFont="0" applyFill="0" applyBorder="0" applyAlignment="0" applyProtection="0"/>
    <xf numFmtId="197" fontId="2" fillId="0" borderId="0" applyFont="0" applyFill="0" applyBorder="0" applyAlignment="0" applyProtection="0"/>
    <xf numFmtId="0" fontId="83" fillId="31" borderId="0" applyNumberFormat="0" applyBorder="0" applyAlignment="0" applyProtection="0"/>
    <xf numFmtId="0" fontId="83" fillId="31" borderId="0" applyNumberFormat="0" applyBorder="0" applyAlignment="0" applyProtection="0"/>
    <xf numFmtId="0" fontId="83" fillId="31" borderId="0" applyNumberFormat="0" applyBorder="0" applyAlignment="0" applyProtection="0"/>
    <xf numFmtId="37" fontId="84" fillId="0" borderId="0"/>
    <xf numFmtId="0" fontId="55" fillId="0" borderId="0"/>
    <xf numFmtId="198" fontId="2" fillId="0" borderId="0"/>
    <xf numFmtId="198" fontId="2" fillId="0" borderId="0"/>
    <xf numFmtId="198" fontId="2" fillId="0" borderId="0"/>
    <xf numFmtId="0" fontId="85" fillId="0" borderId="0"/>
    <xf numFmtId="0" fontId="6" fillId="0" borderId="0"/>
    <xf numFmtId="0" fontId="13" fillId="0" borderId="0"/>
    <xf numFmtId="0" fontId="2" fillId="0" borderId="0"/>
    <xf numFmtId="0" fontId="6" fillId="0" borderId="0"/>
    <xf numFmtId="0" fontId="6" fillId="0" borderId="0"/>
    <xf numFmtId="0" fontId="6" fillId="0" borderId="0"/>
    <xf numFmtId="0" fontId="6" fillId="0" borderId="0"/>
    <xf numFmtId="0" fontId="2" fillId="0" borderId="0"/>
    <xf numFmtId="0" fontId="52" fillId="0" borderId="0"/>
    <xf numFmtId="0" fontId="40" fillId="0" borderId="0"/>
    <xf numFmtId="0" fontId="40" fillId="0" borderId="0"/>
    <xf numFmtId="0" fontId="6" fillId="0" borderId="0"/>
    <xf numFmtId="0" fontId="6" fillId="0" borderId="0"/>
    <xf numFmtId="0" fontId="40" fillId="0" borderId="0"/>
    <xf numFmtId="0" fontId="2" fillId="0" borderId="0"/>
    <xf numFmtId="0" fontId="47" fillId="0" borderId="0">
      <alignment vertical="top"/>
    </xf>
    <xf numFmtId="0" fontId="2" fillId="0" borderId="0"/>
    <xf numFmtId="0" fontId="2" fillId="0" borderId="0"/>
    <xf numFmtId="0" fontId="47" fillId="0" borderId="0"/>
    <xf numFmtId="0" fontId="2" fillId="0" borderId="0"/>
    <xf numFmtId="0" fontId="47" fillId="0" borderId="0">
      <alignment vertical="top"/>
    </xf>
    <xf numFmtId="0" fontId="2" fillId="0" borderId="0" applyNumberFormat="0" applyFill="0" applyBorder="0" applyAlignment="0" applyProtection="0"/>
    <xf numFmtId="0" fontId="6" fillId="0" borderId="0"/>
    <xf numFmtId="0" fontId="47" fillId="0" borderId="0">
      <alignment vertical="top"/>
    </xf>
    <xf numFmtId="0" fontId="47" fillId="0" borderId="0">
      <alignment vertical="top"/>
    </xf>
    <xf numFmtId="0" fontId="2" fillId="0" borderId="0"/>
    <xf numFmtId="0" fontId="86"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86" fillId="0" borderId="0"/>
    <xf numFmtId="0" fontId="6" fillId="0" borderId="0"/>
    <xf numFmtId="0" fontId="2" fillId="0" borderId="0"/>
    <xf numFmtId="0" fontId="80"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86" fillId="0" borderId="0"/>
    <xf numFmtId="0" fontId="6" fillId="0" borderId="0"/>
    <xf numFmtId="0" fontId="6" fillId="0" borderId="0"/>
    <xf numFmtId="0" fontId="6" fillId="0" borderId="0"/>
    <xf numFmtId="0" fontId="6" fillId="0" borderId="0"/>
    <xf numFmtId="0" fontId="85" fillId="0" borderId="0"/>
    <xf numFmtId="0" fontId="8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2" fillId="0" borderId="0"/>
    <xf numFmtId="0" fontId="2" fillId="0" borderId="0"/>
    <xf numFmtId="0" fontId="40" fillId="0" borderId="0"/>
    <xf numFmtId="0" fontId="85"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5" fillId="0" borderId="0"/>
    <xf numFmtId="0" fontId="87" fillId="0" borderId="0"/>
    <xf numFmtId="0" fontId="40" fillId="0" borderId="0"/>
    <xf numFmtId="0" fontId="2" fillId="0" borderId="0"/>
    <xf numFmtId="0" fontId="49" fillId="0" borderId="0"/>
    <xf numFmtId="0" fontId="2" fillId="32" borderId="21" applyNumberFormat="0" applyFont="0" applyAlignment="0" applyProtection="0"/>
    <xf numFmtId="0" fontId="40" fillId="5" borderId="3" applyNumberFormat="0" applyFont="0" applyAlignment="0" applyProtection="0"/>
    <xf numFmtId="0" fontId="2" fillId="32" borderId="21" applyNumberFormat="0" applyFont="0" applyAlignment="0" applyProtection="0"/>
    <xf numFmtId="0" fontId="2" fillId="32" borderId="21" applyNumberFormat="0" applyFont="0" applyAlignment="0" applyProtection="0"/>
    <xf numFmtId="0" fontId="40" fillId="32" borderId="21" applyNumberFormat="0" applyFont="0" applyAlignment="0" applyProtection="0"/>
    <xf numFmtId="0" fontId="2" fillId="32" borderId="21" applyNumberFormat="0" applyFont="0" applyAlignment="0" applyProtection="0"/>
    <xf numFmtId="0" fontId="2" fillId="32" borderId="21" applyNumberFormat="0" applyFont="0" applyAlignment="0" applyProtection="0"/>
    <xf numFmtId="40" fontId="88" fillId="0" borderId="0" applyFont="0" applyFill="0" applyBorder="0" applyAlignment="0" applyProtection="0"/>
    <xf numFmtId="38" fontId="88" fillId="0" borderId="0" applyFont="0" applyFill="0" applyBorder="0" applyAlignment="0" applyProtection="0"/>
    <xf numFmtId="0" fontId="89" fillId="13" borderId="22" applyNumberFormat="0" applyAlignment="0" applyProtection="0"/>
    <xf numFmtId="0" fontId="89" fillId="13" borderId="22" applyNumberFormat="0" applyAlignment="0" applyProtection="0"/>
    <xf numFmtId="14" fontId="43" fillId="0" borderId="0">
      <alignment horizontal="center" wrapText="1"/>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90" fillId="0" borderId="0">
      <protection locked="0"/>
    </xf>
    <xf numFmtId="9" fontId="6"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0"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91" fillId="0" borderId="0" applyFill="0" applyBorder="0" applyAlignment="0"/>
    <xf numFmtId="0" fontId="91" fillId="0" borderId="0" applyFill="0" applyBorder="0" applyAlignment="0"/>
    <xf numFmtId="0" fontId="91"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91" fillId="0" borderId="0" applyFill="0" applyBorder="0" applyAlignment="0"/>
    <xf numFmtId="200" fontId="92" fillId="0" borderId="0"/>
    <xf numFmtId="0" fontId="49" fillId="0" borderId="0" applyNumberFormat="0" applyFont="0" applyFill="0" applyBorder="0" applyAlignment="0" applyProtection="0">
      <alignment horizontal="left"/>
    </xf>
    <xf numFmtId="0" fontId="93" fillId="0" borderId="14">
      <alignment horizontal="center"/>
    </xf>
    <xf numFmtId="0" fontId="94" fillId="0" borderId="0" applyNumberFormat="0" applyFont="0" applyFill="0" applyBorder="0" applyAlignment="0"/>
    <xf numFmtId="0" fontId="94" fillId="0" borderId="0" applyNumberFormat="0" applyFont="0" applyFill="0" applyBorder="0" applyAlignment="0"/>
    <xf numFmtId="0" fontId="94" fillId="0" borderId="0" applyNumberFormat="0" applyFont="0" applyFill="0" applyBorder="0" applyAlignment="0"/>
    <xf numFmtId="0" fontId="41" fillId="0" borderId="0">
      <alignment horizontal="center"/>
    </xf>
    <xf numFmtId="0" fontId="95" fillId="33" borderId="0" applyNumberFormat="0" applyFont="0" applyBorder="0" applyAlignment="0">
      <alignment horizontal="center"/>
    </xf>
    <xf numFmtId="0" fontId="96" fillId="26" borderId="0" applyNumberFormat="0" applyBorder="0" applyAlignment="0"/>
    <xf numFmtId="201" fontId="97" fillId="0" borderId="0" applyNumberFormat="0" applyFill="0" applyBorder="0" applyAlignment="0" applyProtection="0">
      <alignment horizontal="left"/>
    </xf>
    <xf numFmtId="0" fontId="74" fillId="0" borderId="0" applyFill="0" applyBorder="0" applyAlignment="0"/>
    <xf numFmtId="0" fontId="74" fillId="0" borderId="0" applyFill="0" applyBorder="0" applyAlignment="0"/>
    <xf numFmtId="0" fontId="89" fillId="13" borderId="22" applyNumberFormat="0" applyAlignment="0" applyProtection="0"/>
    <xf numFmtId="0" fontId="89" fillId="13" borderId="22" applyNumberFormat="0" applyAlignment="0" applyProtection="0"/>
    <xf numFmtId="0" fontId="95" fillId="1" borderId="17" applyNumberFormat="0" applyFont="0" applyAlignment="0">
      <alignment horizontal="center"/>
    </xf>
    <xf numFmtId="0" fontId="98" fillId="0" borderId="0" applyNumberFormat="0" applyFill="0" applyBorder="0" applyAlignment="0">
      <alignment horizontal="center"/>
    </xf>
    <xf numFmtId="0" fontId="99" fillId="0" borderId="0"/>
    <xf numFmtId="202" fontId="49" fillId="0" borderId="0">
      <alignment horizontal="center"/>
    </xf>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40" fontId="100" fillId="0" borderId="0" applyBorder="0">
      <alignment horizontal="right"/>
    </xf>
    <xf numFmtId="49" fontId="47"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101" fillId="0" borderId="0" applyNumberFormat="0" applyFill="0" applyBorder="0" applyAlignment="0" applyProtection="0"/>
    <xf numFmtId="0" fontId="101"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68" fillId="0" borderId="19" applyNumberFormat="0" applyFill="0" applyAlignment="0" applyProtection="0"/>
    <xf numFmtId="0" fontId="68" fillId="0" borderId="19" applyNumberFormat="0" applyFill="0" applyAlignment="0" applyProtection="0"/>
    <xf numFmtId="0" fontId="69" fillId="0" borderId="20" applyNumberFormat="0" applyFill="0" applyAlignment="0" applyProtection="0"/>
    <xf numFmtId="0" fontId="69" fillId="0" borderId="20" applyNumberFormat="0" applyFill="0" applyAlignment="0" applyProtection="0"/>
    <xf numFmtId="0" fontId="60" fillId="0" borderId="15" applyNumberFormat="0" applyFill="0" applyAlignment="0" applyProtection="0"/>
    <xf numFmtId="0" fontId="60" fillId="0" borderId="15"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3" fillId="16" borderId="0" applyNumberFormat="0" applyBorder="0" applyAlignment="0" applyProtection="0"/>
    <xf numFmtId="0" fontId="104" fillId="0" borderId="16" applyNumberFormat="0" applyFill="0" applyAlignment="0" applyProtection="0"/>
    <xf numFmtId="0" fontId="104" fillId="0" borderId="16" applyNumberFormat="0" applyFill="0" applyAlignment="0" applyProtection="0"/>
    <xf numFmtId="0" fontId="104" fillId="0" borderId="16" applyNumberFormat="0" applyFill="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41" fillId="0" borderId="0" applyFont="0" applyFill="0" applyBorder="0" applyAlignment="0" applyProtection="0"/>
    <xf numFmtId="0" fontId="18" fillId="0" borderId="0" applyFont="0" applyFill="0" applyBorder="0" applyAlignment="0" applyProtection="0"/>
    <xf numFmtId="0" fontId="105" fillId="0" borderId="0" applyFont="0" applyFill="0" applyBorder="0" applyAlignment="0" applyProtection="0"/>
    <xf numFmtId="0" fontId="41" fillId="0" borderId="0" applyFont="0" applyFill="0" applyBorder="0" applyAlignment="0" applyProtection="0"/>
    <xf numFmtId="0" fontId="106" fillId="0" borderId="18" applyNumberFormat="0" applyAlignment="0" applyProtection="0">
      <alignment horizontal="left" vertical="center"/>
    </xf>
    <xf numFmtId="0" fontId="106" fillId="0" borderId="17">
      <alignment horizontal="left" vertical="center"/>
    </xf>
    <xf numFmtId="0" fontId="41" fillId="0" borderId="0"/>
    <xf numFmtId="0" fontId="107" fillId="0" borderId="0">
      <alignment horizontal="center"/>
    </xf>
    <xf numFmtId="0" fontId="107" fillId="0" borderId="14">
      <alignment horizontal="center"/>
    </xf>
    <xf numFmtId="0" fontId="41" fillId="32" borderId="21" applyNumberFormat="0" applyFont="0" applyAlignment="0" applyProtection="0"/>
    <xf numFmtId="0" fontId="41" fillId="0" borderId="0"/>
    <xf numFmtId="0" fontId="108" fillId="0" borderId="0" applyFill="0" applyBorder="0" applyAlignment="0"/>
    <xf numFmtId="0" fontId="41" fillId="0" borderId="0"/>
    <xf numFmtId="0" fontId="109"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10" fillId="12" borderId="0" applyNumberFormat="0" applyBorder="0" applyAlignment="0" applyProtection="0"/>
    <xf numFmtId="0" fontId="41" fillId="0" borderId="0" applyFont="0" applyFill="0" applyBorder="0" applyAlignment="0" applyProtection="0"/>
    <xf numFmtId="0" fontId="41" fillId="0" borderId="0" applyFill="0" applyBorder="0" applyAlignment="0"/>
    <xf numFmtId="0" fontId="111" fillId="0" borderId="0" applyFill="0" applyBorder="0" applyAlignment="0"/>
    <xf numFmtId="0" fontId="112" fillId="13" borderId="11" applyNumberFormat="0" applyAlignment="0" applyProtection="0"/>
    <xf numFmtId="0" fontId="111" fillId="0" borderId="0" applyFill="0" applyBorder="0" applyAlignment="0"/>
    <xf numFmtId="0" fontId="111" fillId="0" borderId="0" applyFill="0" applyBorder="0" applyAlignment="0"/>
    <xf numFmtId="49" fontId="111" fillId="0" borderId="0" applyFill="0" applyBorder="0" applyAlignment="0"/>
    <xf numFmtId="0" fontId="41" fillId="0" borderId="0" applyFill="0" applyBorder="0" applyAlignment="0"/>
    <xf numFmtId="0" fontId="41" fillId="0" borderId="0" applyFill="0" applyBorder="0" applyAlignment="0"/>
    <xf numFmtId="0" fontId="113" fillId="0" borderId="14">
      <alignment horizontal="center"/>
    </xf>
    <xf numFmtId="0" fontId="114" fillId="0" borderId="0" applyNumberFormat="0" applyFill="0" applyBorder="0" applyAlignment="0" applyProtection="0"/>
    <xf numFmtId="0" fontId="115" fillId="14" borderId="13" applyNumberFormat="0" applyAlignment="0" applyProtection="0"/>
    <xf numFmtId="0" fontId="29" fillId="0" borderId="0"/>
    <xf numFmtId="0" fontId="29" fillId="0" borderId="0"/>
    <xf numFmtId="0" fontId="29" fillId="0" borderId="0"/>
    <xf numFmtId="40" fontId="41" fillId="0" borderId="0" applyFont="0" applyFill="0" applyBorder="0" applyAlignment="0" applyProtection="0"/>
    <xf numFmtId="38" fontId="41" fillId="0" borderId="0" applyFont="0" applyFill="0" applyBorder="0" applyAlignment="0" applyProtection="0"/>
    <xf numFmtId="0" fontId="58" fillId="33" borderId="0" applyNumberFormat="0" applyFont="0" applyBorder="0" applyAlignment="0">
      <alignment horizontal="center"/>
    </xf>
    <xf numFmtId="14" fontId="111" fillId="0" borderId="0" applyFill="0" applyBorder="0" applyAlignment="0"/>
    <xf numFmtId="14" fontId="35" fillId="0" borderId="0" applyNumberFormat="0" applyFill="0" applyBorder="0" applyAlignment="0" applyProtection="0">
      <alignment horizontal="left"/>
    </xf>
    <xf numFmtId="0" fontId="116" fillId="13" borderId="22" applyNumberFormat="0" applyAlignment="0" applyProtection="0"/>
    <xf numFmtId="0" fontId="18" fillId="0" borderId="0"/>
    <xf numFmtId="0" fontId="117" fillId="0" borderId="12" applyNumberFormat="0" applyFill="0" applyAlignment="0" applyProtection="0"/>
    <xf numFmtId="0" fontId="18" fillId="0" borderId="0"/>
    <xf numFmtId="40" fontId="22" fillId="0" borderId="0" applyBorder="0">
      <alignment horizontal="right"/>
    </xf>
    <xf numFmtId="0" fontId="118" fillId="0" borderId="16" applyNumberFormat="0" applyFill="0" applyAlignment="0" applyProtection="0"/>
    <xf numFmtId="0" fontId="119" fillId="0" borderId="0" applyNumberFormat="0" applyFill="0" applyBorder="0" applyAlignment="0" applyProtection="0"/>
    <xf numFmtId="0" fontId="57" fillId="0" borderId="15" applyNumberFormat="0" applyFill="0" applyAlignment="0" applyProtection="0"/>
    <xf numFmtId="14" fontId="58" fillId="0" borderId="0">
      <alignment horizontal="center" wrapText="1"/>
      <protection locked="0"/>
    </xf>
    <xf numFmtId="0" fontId="41" fillId="0" borderId="0" applyFont="0" applyFill="0" applyBorder="0" applyAlignment="0" applyProtection="0"/>
    <xf numFmtId="0" fontId="29" fillId="0" borderId="0"/>
    <xf numFmtId="0" fontId="41" fillId="0" borderId="0" applyFont="0" applyFill="0" applyBorder="0" applyAlignment="0" applyProtection="0"/>
    <xf numFmtId="0" fontId="41" fillId="0" borderId="0" applyFont="0" applyFill="0" applyBorder="0" applyAlignment="0" applyProtection="0"/>
    <xf numFmtId="0" fontId="120" fillId="31" borderId="0" applyNumberFormat="0" applyBorder="0" applyAlignment="0" applyProtection="0"/>
    <xf numFmtId="0" fontId="29" fillId="0" borderId="0"/>
    <xf numFmtId="0" fontId="121" fillId="0" borderId="0" applyNumberFormat="0" applyFill="0" applyBorder="0" applyAlignment="0" applyProtection="0"/>
    <xf numFmtId="0" fontId="41" fillId="0" borderId="0" applyFont="0" applyFill="0" applyBorder="0" applyAlignment="0" applyProtection="0"/>
    <xf numFmtId="0" fontId="109" fillId="0" borderId="0" applyFont="0" applyFill="0" applyBorder="0" applyAlignment="0" applyProtection="0"/>
    <xf numFmtId="0" fontId="41" fillId="0" borderId="0" applyFont="0" applyFill="0" applyBorder="0" applyAlignment="0" applyProtection="0"/>
    <xf numFmtId="0" fontId="108" fillId="0" borderId="0" applyFill="0" applyBorder="0" applyAlignment="0"/>
    <xf numFmtId="0" fontId="108" fillId="0" borderId="0" applyFill="0" applyBorder="0" applyAlignment="0"/>
    <xf numFmtId="0" fontId="29" fillId="0" borderId="0"/>
    <xf numFmtId="0" fontId="41" fillId="0" borderId="0" applyNumberFormat="0" applyAlignment="0">
      <alignment horizontal="left"/>
    </xf>
    <xf numFmtId="0" fontId="41" fillId="0" borderId="0" applyFont="0" applyFill="0" applyBorder="0" applyAlignment="0" applyProtection="0"/>
    <xf numFmtId="43" fontId="6" fillId="0" borderId="0" applyFont="0" applyFill="0" applyBorder="0" applyAlignment="0" applyProtection="0"/>
  </cellStyleXfs>
  <cellXfs count="194">
    <xf numFmtId="0" fontId="0" fillId="0" borderId="0" xfId="0"/>
    <xf numFmtId="0" fontId="9" fillId="0" borderId="0" xfId="0" applyFont="1"/>
    <xf numFmtId="0" fontId="10" fillId="0" borderId="0" xfId="0" applyFont="1" applyAlignment="1"/>
    <xf numFmtId="0" fontId="11" fillId="0" borderId="0" xfId="0" applyFont="1" applyAlignment="1">
      <alignment horizontal="justify"/>
    </xf>
    <xf numFmtId="0" fontId="10" fillId="0" borderId="0" xfId="0" applyFont="1" applyAlignment="1">
      <alignment horizontal="center"/>
    </xf>
    <xf numFmtId="0" fontId="5" fillId="0" borderId="0" xfId="0" applyFont="1"/>
    <xf numFmtId="0" fontId="5" fillId="0" borderId="0" xfId="1" applyFont="1" applyAlignment="1" applyProtection="1"/>
    <xf numFmtId="0" fontId="5" fillId="0" borderId="0" xfId="1" applyFont="1" applyAlignment="1" applyProtection="1">
      <alignment wrapText="1"/>
    </xf>
    <xf numFmtId="0" fontId="10" fillId="0" borderId="0" xfId="0" applyFont="1" applyAlignment="1">
      <alignment horizontal="center"/>
    </xf>
    <xf numFmtId="0" fontId="9" fillId="4" borderId="1" xfId="0" applyFont="1" applyFill="1" applyBorder="1" applyAlignment="1">
      <alignment horizontal="justify" vertical="center" wrapText="1"/>
    </xf>
    <xf numFmtId="0" fontId="9" fillId="0" borderId="0" xfId="0" applyFont="1" applyAlignment="1">
      <alignment wrapText="1"/>
    </xf>
    <xf numFmtId="0" fontId="11" fillId="0" borderId="0" xfId="0" applyFont="1" applyAlignment="1">
      <alignment vertical="center"/>
    </xf>
    <xf numFmtId="0" fontId="9" fillId="0" borderId="0" xfId="0" applyFont="1" applyFill="1" applyBorder="1" applyAlignment="1">
      <alignment horizontal="justify" vertical="center" wrapText="1"/>
    </xf>
    <xf numFmtId="0" fontId="10" fillId="2" borderId="1" xfId="0" applyFont="1" applyFill="1" applyBorder="1" applyAlignment="1">
      <alignment horizontal="center"/>
    </xf>
    <xf numFmtId="0" fontId="10" fillId="2" borderId="1" xfId="0" applyFont="1" applyFill="1" applyBorder="1" applyAlignment="1">
      <alignment horizontal="center" vertical="top"/>
    </xf>
    <xf numFmtId="0" fontId="12" fillId="0" borderId="0" xfId="0" applyFont="1" applyAlignment="1">
      <alignment horizontal="center" vertical="center"/>
    </xf>
    <xf numFmtId="0" fontId="14" fillId="0" borderId="0" xfId="0" applyFont="1" applyAlignment="1">
      <alignment vertical="center"/>
    </xf>
    <xf numFmtId="0" fontId="15" fillId="0" borderId="0" xfId="0" applyFont="1" applyBorder="1" applyAlignment="1">
      <alignment horizontal="left" vertical="top" wrapText="1"/>
    </xf>
    <xf numFmtId="0" fontId="9" fillId="0" borderId="0" xfId="0" applyFont="1" applyBorder="1" applyAlignment="1">
      <alignment horizontal="left"/>
    </xf>
    <xf numFmtId="0" fontId="10" fillId="0" borderId="0" xfId="0" applyFont="1" applyBorder="1" applyAlignment="1">
      <alignment horizontal="center"/>
    </xf>
    <xf numFmtId="0" fontId="3" fillId="3" borderId="1" xfId="6" applyFont="1" applyFill="1" applyBorder="1" applyAlignment="1">
      <alignment horizontal="center" vertical="center" wrapText="1"/>
    </xf>
    <xf numFmtId="0" fontId="4" fillId="0" borderId="1" xfId="6" applyFont="1" applyBorder="1" applyAlignment="1">
      <alignment horizontal="center" vertical="top" wrapText="1"/>
    </xf>
    <xf numFmtId="9" fontId="4" fillId="0" borderId="1" xfId="6" applyNumberFormat="1" applyFont="1" applyBorder="1" applyAlignment="1">
      <alignment horizontal="center" vertical="top" wrapText="1"/>
    </xf>
    <xf numFmtId="169" fontId="4" fillId="0" borderId="1" xfId="6" applyNumberFormat="1" applyFont="1" applyBorder="1" applyAlignment="1">
      <alignment horizontal="center" vertical="top" wrapText="1"/>
    </xf>
    <xf numFmtId="0" fontId="10" fillId="0" borderId="0" xfId="0" applyFont="1" applyAlignment="1">
      <alignment horizontal="left"/>
    </xf>
    <xf numFmtId="0" fontId="10" fillId="0" borderId="4" xfId="0" applyFont="1" applyBorder="1" applyAlignment="1">
      <alignment horizontal="center"/>
    </xf>
    <xf numFmtId="0" fontId="10" fillId="0" borderId="2"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9" fillId="0" borderId="7" xfId="0" applyFont="1" applyBorder="1" applyAlignment="1">
      <alignment vertical="top" wrapText="1"/>
    </xf>
    <xf numFmtId="0" fontId="9" fillId="0" borderId="6" xfId="0" applyFont="1" applyBorder="1" applyAlignment="1">
      <alignment vertical="top" wrapText="1"/>
    </xf>
    <xf numFmtId="0" fontId="9" fillId="0" borderId="0" xfId="0" applyFont="1" applyBorder="1" applyAlignment="1">
      <alignment vertical="top" wrapText="1"/>
    </xf>
    <xf numFmtId="0" fontId="10" fillId="0" borderId="7" xfId="0" applyFont="1" applyBorder="1" applyAlignment="1">
      <alignment horizontal="center"/>
    </xf>
    <xf numFmtId="168" fontId="4" fillId="0" borderId="1" xfId="10" applyNumberFormat="1" applyFont="1" applyBorder="1" applyAlignment="1">
      <alignment horizontal="center" vertical="top" wrapText="1"/>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3" fillId="0" borderId="0" xfId="0" applyFont="1"/>
    <xf numFmtId="0" fontId="11" fillId="0" borderId="0" xfId="0" applyFont="1" applyBorder="1" applyAlignment="1">
      <alignment horizontal="left"/>
    </xf>
    <xf numFmtId="0" fontId="122" fillId="3" borderId="1" xfId="6" applyFont="1" applyFill="1" applyBorder="1" applyAlignment="1">
      <alignment horizontal="center" vertical="center" wrapText="1"/>
    </xf>
    <xf numFmtId="0" fontId="2" fillId="0" borderId="1" xfId="6" applyFont="1" applyFill="1" applyBorder="1" applyAlignment="1">
      <alignment horizontal="center" vertical="top" wrapText="1"/>
    </xf>
    <xf numFmtId="9" fontId="2" fillId="0" borderId="1" xfId="6" applyNumberFormat="1" applyFont="1" applyFill="1" applyBorder="1" applyAlignment="1">
      <alignment horizontal="center" vertical="top" wrapText="1"/>
    </xf>
    <xf numFmtId="169" fontId="2" fillId="0" borderId="1" xfId="6" applyNumberFormat="1" applyFont="1" applyFill="1" applyBorder="1" applyAlignment="1">
      <alignment horizontal="center"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9" fillId="4" borderId="1" xfId="0" applyFont="1" applyFill="1" applyBorder="1" applyAlignment="1">
      <alignment horizontal="justify" vertical="top" wrapText="1"/>
    </xf>
    <xf numFmtId="0" fontId="0" fillId="0" borderId="0" xfId="0" applyFill="1" applyBorder="1"/>
    <xf numFmtId="0" fontId="11" fillId="4" borderId="1" xfId="0" applyFont="1" applyFill="1" applyBorder="1" applyAlignment="1">
      <alignment horizontal="justify" vertical="top" wrapText="1"/>
    </xf>
    <xf numFmtId="0" fontId="11" fillId="0" borderId="0" xfId="0" applyFont="1" applyFill="1" applyBorder="1" applyAlignment="1">
      <alignment horizontal="justify" vertical="top" wrapText="1"/>
    </xf>
    <xf numFmtId="0" fontId="10" fillId="2" borderId="1" xfId="0" applyFont="1" applyFill="1" applyBorder="1" applyAlignment="1">
      <alignment horizontal="center" vertical="top"/>
    </xf>
    <xf numFmtId="0" fontId="10" fillId="2" borderId="1" xfId="0" applyFont="1" applyFill="1" applyBorder="1" applyAlignment="1">
      <alignment horizontal="center" wrapText="1"/>
    </xf>
    <xf numFmtId="0" fontId="10" fillId="2" borderId="1" xfId="0" applyFont="1" applyFill="1" applyBorder="1" applyAlignment="1">
      <alignment horizontal="center" vertical="center"/>
    </xf>
    <xf numFmtId="0" fontId="11" fillId="0" borderId="23" xfId="0" applyFont="1" applyBorder="1" applyAlignment="1">
      <alignment horizontal="justify" wrapText="1"/>
    </xf>
    <xf numFmtId="0" fontId="9" fillId="0" borderId="23" xfId="0" applyFont="1" applyBorder="1" applyAlignment="1">
      <alignment horizontal="justify" wrapText="1"/>
    </xf>
    <xf numFmtId="9" fontId="9" fillId="0" borderId="23" xfId="0" applyNumberFormat="1" applyFont="1" applyBorder="1" applyAlignment="1">
      <alignment horizontal="justify" wrapText="1"/>
    </xf>
    <xf numFmtId="0" fontId="11" fillId="0" borderId="24" xfId="0" applyFont="1" applyBorder="1" applyAlignment="1">
      <alignment horizontal="justify" wrapText="1"/>
    </xf>
    <xf numFmtId="0" fontId="0" fillId="0" borderId="25" xfId="0" applyBorder="1" applyAlignment="1">
      <alignment wrapText="1"/>
    </xf>
    <xf numFmtId="0" fontId="11" fillId="0" borderId="25" xfId="0" applyFont="1" applyBorder="1" applyAlignment="1">
      <alignment horizontal="justify" wrapText="1"/>
    </xf>
    <xf numFmtId="0" fontId="11" fillId="0" borderId="26" xfId="0" applyFont="1" applyBorder="1" applyAlignment="1">
      <alignment horizontal="justify" wrapText="1"/>
    </xf>
    <xf numFmtId="0" fontId="11" fillId="0" borderId="27" xfId="0" applyFont="1" applyBorder="1" applyAlignment="1">
      <alignment horizontal="justify" wrapText="1"/>
    </xf>
    <xf numFmtId="0" fontId="9" fillId="0" borderId="28" xfId="0" applyFont="1" applyBorder="1" applyAlignment="1">
      <alignment horizontal="justify" wrapText="1"/>
    </xf>
    <xf numFmtId="0" fontId="9" fillId="0" borderId="27" xfId="0" applyFont="1" applyBorder="1" applyAlignment="1">
      <alignment horizontal="justify" wrapText="1"/>
    </xf>
    <xf numFmtId="0" fontId="9" fillId="0" borderId="29" xfId="0" applyFont="1" applyBorder="1" applyAlignment="1">
      <alignment horizontal="justify" wrapText="1"/>
    </xf>
    <xf numFmtId="0" fontId="9" fillId="0" borderId="30" xfId="0" applyFont="1" applyBorder="1" applyAlignment="1">
      <alignment horizontal="justify" wrapText="1"/>
    </xf>
    <xf numFmtId="9" fontId="9" fillId="0" borderId="30" xfId="0" applyNumberFormat="1" applyFont="1" applyBorder="1" applyAlignment="1">
      <alignment horizontal="justify" wrapText="1"/>
    </xf>
    <xf numFmtId="0" fontId="9" fillId="0" borderId="31" xfId="0" applyFont="1" applyBorder="1" applyAlignment="1">
      <alignment horizontal="justify" wrapText="1"/>
    </xf>
    <xf numFmtId="0" fontId="10" fillId="2" borderId="1" xfId="0" applyFont="1" applyFill="1" applyBorder="1" applyAlignment="1">
      <alignment horizontal="center"/>
    </xf>
    <xf numFmtId="0" fontId="124" fillId="4" borderId="1" xfId="1" applyFont="1" applyFill="1" applyBorder="1" applyAlignment="1" applyProtection="1">
      <alignment horizontal="center" vertical="top" wrapText="1"/>
    </xf>
    <xf numFmtId="0" fontId="10" fillId="0" borderId="0" xfId="0" applyFont="1" applyFill="1" applyBorder="1" applyAlignment="1">
      <alignment horizontal="left" vertical="center" wrapText="1"/>
    </xf>
    <xf numFmtId="0" fontId="125" fillId="4" borderId="1" xfId="1" applyFont="1" applyFill="1" applyBorder="1" applyAlignment="1" applyProtection="1">
      <alignment horizontal="justify" vertical="center" wrapText="1"/>
    </xf>
    <xf numFmtId="0" fontId="10" fillId="2" borderId="1" xfId="0" applyFont="1" applyFill="1" applyBorder="1" applyAlignment="1">
      <alignment horizontal="center"/>
    </xf>
    <xf numFmtId="0" fontId="11" fillId="0" borderId="0" xfId="0" applyFont="1" applyFill="1" applyBorder="1" applyAlignment="1">
      <alignment vertical="center" textRotation="90" wrapText="1"/>
    </xf>
    <xf numFmtId="0" fontId="0" fillId="0" borderId="0" xfId="0" applyFill="1"/>
    <xf numFmtId="0" fontId="11" fillId="0" borderId="7" xfId="0" applyFont="1" applyFill="1" applyBorder="1" applyAlignment="1">
      <alignment vertical="center" textRotation="90" wrapText="1"/>
    </xf>
    <xf numFmtId="0" fontId="10" fillId="0" borderId="0" xfId="0" applyFont="1" applyFill="1" applyBorder="1" applyAlignment="1">
      <alignment horizontal="center"/>
    </xf>
    <xf numFmtId="0" fontId="11" fillId="0" borderId="0" xfId="0" applyFont="1" applyFill="1" applyBorder="1" applyAlignment="1">
      <alignment vertical="center" wrapText="1"/>
    </xf>
    <xf numFmtId="0" fontId="10" fillId="0" borderId="0" xfId="0" applyFont="1" applyAlignment="1">
      <alignment vertical="center"/>
    </xf>
    <xf numFmtId="0" fontId="11" fillId="0" borderId="7" xfId="0" applyFont="1" applyFill="1" applyBorder="1" applyAlignment="1">
      <alignment horizontal="center" vertical="center" textRotation="90" wrapText="1"/>
    </xf>
    <xf numFmtId="0" fontId="126" fillId="0" borderId="0" xfId="0" applyFont="1"/>
    <xf numFmtId="0" fontId="127" fillId="0" borderId="0" xfId="0" applyFont="1"/>
    <xf numFmtId="0" fontId="10" fillId="0" borderId="9" xfId="0" applyFont="1" applyFill="1" applyBorder="1" applyAlignment="1">
      <alignment horizontal="center"/>
    </xf>
    <xf numFmtId="0" fontId="11" fillId="0" borderId="0" xfId="0" applyFont="1" applyFill="1" applyBorder="1" applyAlignment="1">
      <alignment horizontal="center" vertical="center" wrapText="1"/>
    </xf>
    <xf numFmtId="0" fontId="10" fillId="0" borderId="0" xfId="0" applyFont="1" applyFill="1" applyBorder="1" applyAlignment="1">
      <alignment horizontal="center" vertical="center"/>
    </xf>
    <xf numFmtId="0" fontId="10" fillId="0" borderId="0" xfId="0" applyFont="1" applyFill="1" applyBorder="1" applyAlignment="1">
      <alignment horizontal="center" wrapText="1"/>
    </xf>
    <xf numFmtId="0" fontId="10" fillId="0" borderId="0" xfId="0" applyFont="1" applyAlignment="1">
      <alignment horizontal="center"/>
    </xf>
    <xf numFmtId="0" fontId="5" fillId="34" borderId="1" xfId="1" applyFont="1" applyFill="1" applyBorder="1" applyAlignment="1" applyProtection="1">
      <alignment wrapText="1"/>
    </xf>
    <xf numFmtId="0" fontId="5" fillId="34" borderId="1" xfId="1" applyFont="1" applyFill="1" applyBorder="1" applyAlignment="1" applyProtection="1"/>
    <xf numFmtId="0" fontId="11" fillId="2" borderId="32" xfId="0" applyFont="1" applyFill="1" applyBorder="1" applyAlignment="1">
      <alignment horizontal="center" vertical="center" wrapText="1"/>
    </xf>
    <xf numFmtId="0" fontId="10" fillId="0" borderId="0" xfId="0" applyFont="1" applyAlignment="1">
      <alignment horizontal="center"/>
    </xf>
    <xf numFmtId="0" fontId="10" fillId="2" borderId="1" xfId="0" applyFont="1" applyFill="1" applyBorder="1" applyAlignment="1">
      <alignment horizontal="center"/>
    </xf>
    <xf numFmtId="0" fontId="4" fillId="0" borderId="0" xfId="0" applyFont="1" applyAlignment="1">
      <alignment vertical="center"/>
    </xf>
    <xf numFmtId="0" fontId="4" fillId="0" borderId="0" xfId="0" applyFont="1" applyAlignment="1">
      <alignment vertical="top" wrapText="1"/>
    </xf>
    <xf numFmtId="0" fontId="3" fillId="0" borderId="0" xfId="0" applyFont="1" applyAlignment="1">
      <alignment vertical="center"/>
    </xf>
    <xf numFmtId="0" fontId="9" fillId="0" borderId="0" xfId="0" applyFont="1" applyAlignment="1">
      <alignment vertical="center" wrapText="1"/>
    </xf>
    <xf numFmtId="0" fontId="11" fillId="0" borderId="0" xfId="0" applyFont="1"/>
    <xf numFmtId="0" fontId="0" fillId="0" borderId="0" xfId="0" applyBorder="1"/>
    <xf numFmtId="0" fontId="10" fillId="4" borderId="1" xfId="0" applyFont="1" applyFill="1" applyBorder="1" applyAlignment="1">
      <alignment horizontal="center" wrapText="1"/>
    </xf>
    <xf numFmtId="0" fontId="3" fillId="4" borderId="1" xfId="0" applyFont="1" applyFill="1" applyBorder="1" applyAlignment="1">
      <alignment horizontal="justify"/>
    </xf>
    <xf numFmtId="0" fontId="4" fillId="0" borderId="0" xfId="0" applyFont="1" applyBorder="1" applyAlignment="1">
      <alignment horizontal="justify"/>
    </xf>
    <xf numFmtId="0" fontId="11" fillId="4" borderId="1" xfId="0" applyFont="1" applyFill="1" applyBorder="1" applyAlignment="1">
      <alignment horizontal="center" vertical="center" wrapText="1"/>
    </xf>
    <xf numFmtId="0" fontId="3" fillId="0" borderId="1" xfId="0" applyFont="1" applyBorder="1" applyAlignment="1">
      <alignment horizontal="justify" vertical="top"/>
    </xf>
    <xf numFmtId="0" fontId="3" fillId="4" borderId="34" xfId="0" applyFont="1" applyFill="1" applyBorder="1" applyAlignment="1">
      <alignment horizontal="justify" vertical="center"/>
    </xf>
    <xf numFmtId="0" fontId="4" fillId="0" borderId="35" xfId="0" applyFont="1" applyBorder="1" applyAlignment="1">
      <alignment horizontal="justify"/>
    </xf>
    <xf numFmtId="0" fontId="4" fillId="0" borderId="35" xfId="0" applyFont="1" applyBorder="1" applyAlignment="1">
      <alignment horizontal="justify" vertical="top"/>
    </xf>
    <xf numFmtId="0" fontId="4" fillId="0" borderId="36" xfId="0" applyFont="1" applyBorder="1" applyAlignment="1">
      <alignment horizontal="justify"/>
    </xf>
    <xf numFmtId="0" fontId="11" fillId="0" borderId="1" xfId="0" applyFont="1" applyBorder="1" applyAlignment="1">
      <alignment horizontal="justify" vertical="top"/>
    </xf>
    <xf numFmtId="0" fontId="4" fillId="0" borderId="0" xfId="1" applyFont="1" applyAlignment="1" applyProtection="1">
      <alignment vertical="center" wrapText="1"/>
    </xf>
    <xf numFmtId="0" fontId="9" fillId="0" borderId="0" xfId="0" applyFont="1" applyAlignment="1">
      <alignment horizontal="left" vertical="center" wrapText="1"/>
    </xf>
    <xf numFmtId="0" fontId="9" fillId="0" borderId="0" xfId="0" applyFont="1" applyAlignment="1">
      <alignment vertical="center"/>
    </xf>
    <xf numFmtId="0" fontId="9" fillId="0" borderId="4" xfId="0" applyFont="1" applyBorder="1"/>
    <xf numFmtId="0" fontId="9" fillId="0" borderId="2" xfId="0" applyFont="1" applyBorder="1"/>
    <xf numFmtId="168" fontId="9" fillId="0" borderId="0" xfId="656" applyNumberFormat="1" applyFont="1"/>
    <xf numFmtId="0" fontId="9" fillId="0" borderId="6" xfId="0" applyFont="1" applyBorder="1"/>
    <xf numFmtId="0" fontId="9" fillId="0" borderId="0" xfId="0" applyFont="1" applyBorder="1"/>
    <xf numFmtId="168" fontId="9" fillId="0" borderId="35" xfId="656" applyNumberFormat="1" applyFont="1" applyBorder="1"/>
    <xf numFmtId="0" fontId="9" fillId="0" borderId="6" xfId="0" applyFont="1" applyBorder="1" applyAlignment="1">
      <alignment wrapText="1"/>
    </xf>
    <xf numFmtId="168" fontId="9" fillId="0" borderId="36" xfId="656" applyNumberFormat="1" applyFont="1" applyBorder="1"/>
    <xf numFmtId="0" fontId="11" fillId="0" borderId="32" xfId="0" applyFont="1" applyBorder="1" applyAlignment="1">
      <alignment vertical="center"/>
    </xf>
    <xf numFmtId="0" fontId="11" fillId="0" borderId="17" xfId="0" applyFont="1" applyBorder="1"/>
    <xf numFmtId="0" fontId="11" fillId="0" borderId="32" xfId="0" applyFont="1" applyBorder="1" applyAlignment="1">
      <alignment vertical="top" wrapText="1"/>
    </xf>
    <xf numFmtId="3" fontId="11" fillId="4" borderId="33" xfId="0" applyNumberFormat="1" applyFont="1" applyFill="1" applyBorder="1"/>
    <xf numFmtId="0" fontId="11" fillId="4" borderId="1" xfId="0" applyFont="1" applyFill="1" applyBorder="1"/>
    <xf numFmtId="168" fontId="11" fillId="4" borderId="1" xfId="656" applyNumberFormat="1" applyFont="1" applyFill="1" applyBorder="1"/>
    <xf numFmtId="0" fontId="9" fillId="0" borderId="7" xfId="0" applyFont="1" applyBorder="1"/>
    <xf numFmtId="3" fontId="9" fillId="0" borderId="7" xfId="0" applyNumberFormat="1" applyFont="1" applyBorder="1"/>
    <xf numFmtId="0" fontId="9" fillId="0" borderId="32" xfId="0" applyFont="1" applyBorder="1"/>
    <xf numFmtId="0" fontId="9" fillId="0" borderId="17" xfId="0" applyFont="1" applyBorder="1"/>
    <xf numFmtId="168" fontId="9" fillId="0" borderId="1" xfId="656" applyNumberFormat="1" applyFont="1" applyBorder="1"/>
    <xf numFmtId="0" fontId="2" fillId="0" borderId="0" xfId="446"/>
    <xf numFmtId="0" fontId="2" fillId="0" borderId="37" xfId="446" applyBorder="1"/>
    <xf numFmtId="0" fontId="2" fillId="0" borderId="38" xfId="446" applyBorder="1"/>
    <xf numFmtId="0" fontId="2" fillId="0" borderId="39" xfId="446" applyBorder="1"/>
    <xf numFmtId="0" fontId="2" fillId="0" borderId="40" xfId="446" applyBorder="1"/>
    <xf numFmtId="0" fontId="2" fillId="0" borderId="0" xfId="446" applyBorder="1"/>
    <xf numFmtId="0" fontId="2" fillId="0" borderId="41" xfId="446" applyBorder="1"/>
    <xf numFmtId="0" fontId="4" fillId="0" borderId="0" xfId="446" applyFont="1" applyBorder="1"/>
    <xf numFmtId="0" fontId="4" fillId="0" borderId="41" xfId="446" applyFont="1" applyBorder="1"/>
    <xf numFmtId="3" fontId="4" fillId="4" borderId="42" xfId="446" applyNumberFormat="1" applyFont="1" applyFill="1" applyBorder="1" applyProtection="1">
      <protection locked="0"/>
    </xf>
    <xf numFmtId="0" fontId="134" fillId="0" borderId="0" xfId="446" applyFont="1"/>
    <xf numFmtId="3" fontId="4" fillId="2" borderId="42" xfId="446" applyNumberFormat="1" applyFont="1" applyFill="1" applyBorder="1"/>
    <xf numFmtId="0" fontId="135" fillId="0" borderId="0" xfId="446" applyFont="1" applyBorder="1"/>
    <xf numFmtId="0" fontId="3" fillId="0" borderId="1" xfId="446" applyFont="1" applyBorder="1"/>
    <xf numFmtId="0" fontId="3" fillId="0" borderId="1" xfId="446" applyFont="1" applyBorder="1" applyAlignment="1">
      <alignment vertical="center"/>
    </xf>
    <xf numFmtId="0" fontId="3" fillId="0" borderId="1" xfId="446" applyFont="1" applyBorder="1" applyAlignment="1">
      <alignment horizontal="center"/>
    </xf>
    <xf numFmtId="203" fontId="136" fillId="0" borderId="1" xfId="363" applyNumberFormat="1" applyFont="1" applyBorder="1"/>
    <xf numFmtId="9" fontId="136" fillId="0" borderId="1" xfId="446" applyNumberFormat="1" applyFont="1" applyBorder="1"/>
    <xf numFmtId="0" fontId="136" fillId="0" borderId="1" xfId="446" applyFont="1" applyBorder="1" applyAlignment="1">
      <alignment horizontal="center"/>
    </xf>
    <xf numFmtId="0" fontId="136" fillId="0" borderId="1" xfId="446" applyFont="1" applyBorder="1" applyAlignment="1">
      <alignment horizontal="center" wrapText="1"/>
    </xf>
    <xf numFmtId="203" fontId="136" fillId="0" borderId="1" xfId="363" applyNumberFormat="1" applyFont="1" applyBorder="1" applyAlignment="1">
      <alignment horizontal="center" wrapText="1"/>
    </xf>
    <xf numFmtId="9" fontId="136" fillId="0" borderId="1" xfId="446" applyNumberFormat="1" applyFont="1" applyBorder="1" applyAlignment="1">
      <alignment horizontal="center" wrapText="1"/>
    </xf>
    <xf numFmtId="0" fontId="135" fillId="0" borderId="41" xfId="446" applyFont="1" applyBorder="1"/>
    <xf numFmtId="3" fontId="2" fillId="0" borderId="0" xfId="446" applyNumberFormat="1"/>
    <xf numFmtId="0" fontId="2" fillId="0" borderId="43" xfId="446" applyBorder="1"/>
    <xf numFmtId="0" fontId="4" fillId="0" borderId="14" xfId="446" applyFont="1" applyBorder="1"/>
    <xf numFmtId="0" fontId="4" fillId="0" borderId="44" xfId="446" applyFont="1" applyBorder="1"/>
    <xf numFmtId="0" fontId="4" fillId="0" borderId="0" xfId="446" applyFont="1"/>
    <xf numFmtId="0" fontId="137" fillId="0" borderId="0" xfId="446" applyFont="1"/>
    <xf numFmtId="168" fontId="11" fillId="2" borderId="1" xfId="656" applyNumberFormat="1" applyFont="1" applyFill="1" applyBorder="1" applyAlignment="1">
      <alignment vertical="center"/>
    </xf>
    <xf numFmtId="0" fontId="11" fillId="0" borderId="8" xfId="0" applyFont="1" applyBorder="1"/>
    <xf numFmtId="3" fontId="11" fillId="0" borderId="10" xfId="0" applyNumberFormat="1" applyFont="1" applyBorder="1"/>
    <xf numFmtId="168" fontId="138" fillId="0" borderId="7" xfId="656" applyNumberFormat="1" applyFont="1" applyBorder="1"/>
    <xf numFmtId="168" fontId="9" fillId="4" borderId="34" xfId="656" applyNumberFormat="1" applyFont="1" applyFill="1" applyBorder="1" applyProtection="1">
      <protection locked="0"/>
    </xf>
    <xf numFmtId="168" fontId="9" fillId="4" borderId="35" xfId="656" applyNumberFormat="1" applyFont="1" applyFill="1" applyBorder="1" applyProtection="1">
      <protection locked="0"/>
    </xf>
    <xf numFmtId="0" fontId="139" fillId="0" borderId="0" xfId="1" applyFont="1" applyAlignment="1" applyProtection="1"/>
    <xf numFmtId="168" fontId="11" fillId="2" borderId="1" xfId="656" applyNumberFormat="1" applyFont="1" applyFill="1" applyBorder="1" applyAlignment="1" applyProtection="1">
      <alignment vertical="center"/>
      <protection locked="0"/>
    </xf>
    <xf numFmtId="0" fontId="14" fillId="0" borderId="34" xfId="0" applyFont="1" applyBorder="1" applyAlignment="1">
      <alignment horizontal="center"/>
    </xf>
    <xf numFmtId="0" fontId="0" fillId="0" borderId="35" xfId="0" applyBorder="1"/>
    <xf numFmtId="0" fontId="0" fillId="0" borderId="36" xfId="0" applyBorder="1"/>
    <xf numFmtId="0" fontId="5" fillId="0" borderId="35" xfId="1" applyFont="1" applyBorder="1" applyAlignment="1" applyProtection="1"/>
    <xf numFmtId="0" fontId="5" fillId="0" borderId="35" xfId="0" applyFont="1" applyBorder="1"/>
    <xf numFmtId="0" fontId="3" fillId="0" borderId="32" xfId="446" applyFont="1" applyBorder="1" applyAlignment="1">
      <alignment horizontal="center"/>
    </xf>
    <xf numFmtId="0" fontId="3" fillId="0" borderId="33" xfId="446" applyFont="1" applyBorder="1" applyAlignment="1">
      <alignment horizontal="center"/>
    </xf>
    <xf numFmtId="0" fontId="10" fillId="4" borderId="32"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0" fillId="4" borderId="33" xfId="0" applyFont="1" applyFill="1" applyBorder="1" applyAlignment="1">
      <alignment horizontal="center" vertical="center" wrapText="1"/>
    </xf>
    <xf numFmtId="0" fontId="10" fillId="2" borderId="32"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10" fillId="0" borderId="0" xfId="0" applyFont="1" applyAlignment="1">
      <alignment horizontal="center"/>
    </xf>
    <xf numFmtId="0" fontId="15" fillId="0" borderId="0" xfId="0" applyFont="1" applyBorder="1" applyAlignment="1">
      <alignment horizontal="left" vertical="top" wrapText="1"/>
    </xf>
    <xf numFmtId="0" fontId="3" fillId="3" borderId="1" xfId="6" applyFont="1" applyFill="1" applyBorder="1" applyAlignment="1">
      <alignment horizontal="center" vertical="center" wrapText="1"/>
    </xf>
    <xf numFmtId="0" fontId="122" fillId="3" borderId="1" xfId="6"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top"/>
    </xf>
    <xf numFmtId="0" fontId="10" fillId="2" borderId="1" xfId="0" applyFont="1" applyFill="1" applyBorder="1" applyAlignment="1">
      <alignment horizontal="center"/>
    </xf>
    <xf numFmtId="0" fontId="11" fillId="0" borderId="0" xfId="0" applyFont="1" applyAlignment="1">
      <alignment horizontal="center"/>
    </xf>
    <xf numFmtId="0" fontId="11" fillId="4" borderId="1" xfId="0" applyFont="1" applyFill="1" applyBorder="1" applyAlignment="1">
      <alignment horizontal="left"/>
    </xf>
    <xf numFmtId="0" fontId="11" fillId="0" borderId="0" xfId="0" applyFont="1" applyAlignment="1">
      <alignment horizontal="left" vertical="top"/>
    </xf>
    <xf numFmtId="168" fontId="9" fillId="0" borderId="6" xfId="656" applyNumberFormat="1" applyFont="1" applyBorder="1" applyAlignment="1">
      <alignment horizontal="center" wrapText="1"/>
    </xf>
  </cellXfs>
  <cellStyles count="657">
    <cellStyle name="% - Énfasis1. " xfId="11"/>
    <cellStyle name="% - Énfasis2. " xfId="12"/>
    <cellStyle name="% - Énfasis3. " xfId="13"/>
    <cellStyle name="% - Énfasis4. " xfId="14"/>
    <cellStyle name="% - Énfasis5. " xfId="15"/>
    <cellStyle name="% - Énfasis6. " xfId="16"/>
    <cellStyle name="????" xfId="17"/>
    <cellStyle name="?????" xfId="18"/>
    <cellStyle name="??????" xfId="19"/>
    <cellStyle name="???????" xfId="20"/>
    <cellStyle name="????????" xfId="21"/>
    <cellStyle name="?????????" xfId="22"/>
    <cellStyle name="??????????" xfId="23"/>
    <cellStyle name="???????????" xfId="24"/>
    <cellStyle name="????????????" xfId="25"/>
    <cellStyle name="?????????????" xfId="26"/>
    <cellStyle name="??????????????" xfId="27"/>
    <cellStyle name="???????????????" xfId="28"/>
    <cellStyle name="????????????????" xfId="29"/>
    <cellStyle name="?????????????????" xfId="30"/>
    <cellStyle name="??????????????????" xfId="31"/>
    <cellStyle name="?????????????????????" xfId="32"/>
    <cellStyle name="???????????????????????" xfId="33"/>
    <cellStyle name="????????????????????????" xfId="34"/>
    <cellStyle name="????????????????????????????? ?????" xfId="35"/>
    <cellStyle name="????????????????????????????? ?????_x0001_" xfId="36"/>
    <cellStyle name="??????????????????_Varios Junio" xfId="37"/>
    <cellStyle name="?????????????????_Varios Junio" xfId="38"/>
    <cellStyle name="???????????????_Varios Junio" xfId="39"/>
    <cellStyle name="??????????????_Varios Junio" xfId="40"/>
    <cellStyle name="?????????????_Varios Junio" xfId="41"/>
    <cellStyle name="???????????_Varios Junio" xfId="42"/>
    <cellStyle name="??????????_Varios Junio" xfId="43"/>
    <cellStyle name="?????????_Varios Junio" xfId="44"/>
    <cellStyle name="????????_Varios Junio" xfId="45"/>
    <cellStyle name="???????_Varios Junio" xfId="46"/>
    <cellStyle name="??????_Varios Junio" xfId="47"/>
    <cellStyle name="??????†?????????????????????? ?" xfId="48"/>
    <cellStyle name="?????_Varios Junio" xfId="49"/>
    <cellStyle name="?????e???" xfId="50"/>
    <cellStyle name="_02 Octubre" xfId="51"/>
    <cellStyle name="_04 setiembre" xfId="52"/>
    <cellStyle name="_11 JULIO" xfId="53"/>
    <cellStyle name="_19 junio" xfId="54"/>
    <cellStyle name="_22 mayo" xfId="55"/>
    <cellStyle name="_23 AGOSTO" xfId="56"/>
    <cellStyle name="_425035" xfId="57"/>
    <cellStyle name="_6 febrero" xfId="58"/>
    <cellStyle name="_AN07" xfId="59"/>
    <cellStyle name="_ANEXO AUTORRETENCIONES 2007" xfId="60"/>
    <cellStyle name="_ANEXO AUTORRETENCIONES 2007 2" xfId="61"/>
    <cellStyle name="_ANEXO AUTORRETENCIONES 2007 3" xfId="62"/>
    <cellStyle name="_Anexos Renta 2007" xfId="63"/>
    <cellStyle name="_Cartera Mayo 2 de 2006" xfId="64"/>
    <cellStyle name="_Cartera Mayo 2 de 20061" xfId="65"/>
    <cellStyle name="_Cartera Sed international 05 Mayo-08" xfId="66"/>
    <cellStyle name="_CUENTA HP A 02 de mayo" xfId="67"/>
    <cellStyle name="_Estado Cuenta SED  2  Mar-2006" xfId="68"/>
    <cellStyle name="_Estado de Cta Sed International al 02-09-081" xfId="69"/>
    <cellStyle name="_Estado de Cta Sed International al 05-08-08" xfId="70"/>
    <cellStyle name="_Estado de Cta Sed International al 05-11-08" xfId="71"/>
    <cellStyle name="_Estado de Cta Sed International al 06-10-08" xfId="72"/>
    <cellStyle name="_Estado de Cta. SED INT. 01-08-2006" xfId="73"/>
    <cellStyle name="_Estado de Cta. SED INT. 01-08-20061" xfId="74"/>
    <cellStyle name="_Estado de Cta. SED INT. 04-07-2006" xfId="75"/>
    <cellStyle name="_Estado de Cta. SED INT. 06-07-2006" xfId="76"/>
    <cellStyle name="_Estado de Cta. SED INT. 18-12-2006" xfId="77"/>
    <cellStyle name="_Estado de Cta. Sed Internacional 31-05-2006" xfId="78"/>
    <cellStyle name="_Estado de Cta. Sed Internacional 31-05-20061" xfId="79"/>
    <cellStyle name="_Hoja1" xfId="80"/>
    <cellStyle name="_Hoja2" xfId="81"/>
    <cellStyle name="_Hoja3" xfId="82"/>
    <cellStyle name="_IMPORTACIONES" xfId="83"/>
    <cellStyle name="_Nov3008" xfId="84"/>
    <cellStyle name="_Oct3008" xfId="85"/>
    <cellStyle name="_P" xfId="86"/>
    <cellStyle name="_Pago Aportes Parafiscales y Seguridad Social" xfId="87"/>
    <cellStyle name="_Pasivos Estimados" xfId="88"/>
    <cellStyle name="_PASIVOS ESTIMADOS DEFINITIVOS" xfId="89"/>
    <cellStyle name="_Renta 20061" xfId="90"/>
    <cellStyle name="_SEPTIEMBRE " xfId="91"/>
    <cellStyle name="‹????e???" xfId="92"/>
    <cellStyle name="‹番楮浯牢e쀀∠∤" xfId="93"/>
    <cellStyle name="‱啊䥌浏牢e쀀∠∤" xfId="94"/>
    <cellStyle name="2 mayoom" xfId="95"/>
    <cellStyle name="20% - Accent1" xfId="96"/>
    <cellStyle name="20% - Accent1 2" xfId="97"/>
    <cellStyle name="20% - Accent2" xfId="98"/>
    <cellStyle name="20% - Accent2 2" xfId="99"/>
    <cellStyle name="20% - Accent3" xfId="100"/>
    <cellStyle name="20% - Accent3 2" xfId="101"/>
    <cellStyle name="20% - Accent4" xfId="102"/>
    <cellStyle name="20% - Accent4 2" xfId="103"/>
    <cellStyle name="20% - Accent5" xfId="104"/>
    <cellStyle name="20% - Accent5 2" xfId="105"/>
    <cellStyle name="20% - Accent6" xfId="106"/>
    <cellStyle name="20% - Accent6 2" xfId="107"/>
    <cellStyle name="20% - Énfasis1 2" xfId="108"/>
    <cellStyle name="20% - Énfasis1 3" xfId="109"/>
    <cellStyle name="20% - Énfasis2 2" xfId="110"/>
    <cellStyle name="20% - Énfasis2 3" xfId="111"/>
    <cellStyle name="20% - Énfasis3 2" xfId="112"/>
    <cellStyle name="20% - Énfasis3 3" xfId="113"/>
    <cellStyle name="20% - Énfasis4 2" xfId="114"/>
    <cellStyle name="20% - Énfasis4 3" xfId="115"/>
    <cellStyle name="20% - Énfasis5 2" xfId="116"/>
    <cellStyle name="20% - Énfasis5 3" xfId="117"/>
    <cellStyle name="20% - Énfasis6 2" xfId="118"/>
    <cellStyle name="20% - Énfasis6 3" xfId="119"/>
    <cellStyle name="3 AGOSTObr" xfId="120"/>
    <cellStyle name="4 setiembre" xfId="121"/>
    <cellStyle name="40% - Accent1" xfId="122"/>
    <cellStyle name="40% - Accent1 2" xfId="123"/>
    <cellStyle name="40% - Accent2" xfId="124"/>
    <cellStyle name="40% - Accent2 2" xfId="125"/>
    <cellStyle name="40% - Accent3" xfId="126"/>
    <cellStyle name="40% - Accent3 2" xfId="127"/>
    <cellStyle name="40% - Accent4" xfId="128"/>
    <cellStyle name="40% - Accent4 2" xfId="129"/>
    <cellStyle name="40% - Accent5" xfId="130"/>
    <cellStyle name="40% - Accent5 2" xfId="131"/>
    <cellStyle name="40% - Accent6" xfId="132"/>
    <cellStyle name="40% - Accent6 2" xfId="133"/>
    <cellStyle name="40% - Énfasis1 2" xfId="134"/>
    <cellStyle name="40% - Énfasis1 3" xfId="135"/>
    <cellStyle name="40% - Énfasis2 2" xfId="136"/>
    <cellStyle name="40% - Énfasis2 3" xfId="137"/>
    <cellStyle name="40% - Énfasis3 2" xfId="138"/>
    <cellStyle name="40% - Énfasis3 3" xfId="139"/>
    <cellStyle name="40% - Énfasis4 2" xfId="140"/>
    <cellStyle name="40% - Énfasis4 3" xfId="141"/>
    <cellStyle name="40% - Énfasis5 2" xfId="142"/>
    <cellStyle name="40% - Énfasis5 3" xfId="143"/>
    <cellStyle name="40% - Énfasis6 2" xfId="144"/>
    <cellStyle name="40% - Énfasis6 3" xfId="145"/>
    <cellStyle name="⁴㉛嵝潩⁮牏敤獲⠠⤲牥" xfId="146"/>
    <cellStyle name="⁴せ崰潩⁮牏敤獲⠠⤲牥⁳" xfId="147"/>
    <cellStyle name="⁴せ杝潩⁮牏敤獲⠠⤲牥" xfId="148"/>
    <cellStyle name="60% - Accent1" xfId="149"/>
    <cellStyle name="60% - Accent1 2" xfId="150"/>
    <cellStyle name="60% - Accent2" xfId="151"/>
    <cellStyle name="60% - Accent2 2" xfId="152"/>
    <cellStyle name="60% - Accent3" xfId="153"/>
    <cellStyle name="60% - Accent3 2" xfId="154"/>
    <cellStyle name="60% - Accent4" xfId="155"/>
    <cellStyle name="60% - Accent4 2" xfId="156"/>
    <cellStyle name="60% - Accent5" xfId="157"/>
    <cellStyle name="60% - Accent5 2" xfId="158"/>
    <cellStyle name="60% - Accent6" xfId="159"/>
    <cellStyle name="60% - Accent6 2" xfId="160"/>
    <cellStyle name="60% - Énfasis1 2" xfId="161"/>
    <cellStyle name="60% - Énfasis1 3" xfId="162"/>
    <cellStyle name="60% - Énfasis2 2" xfId="163"/>
    <cellStyle name="60% - Énfasis2 3" xfId="164"/>
    <cellStyle name="60% - Énfasis3 2" xfId="165"/>
    <cellStyle name="60% - Énfasis3 3" xfId="166"/>
    <cellStyle name="60% - Énfasis4 2" xfId="167"/>
    <cellStyle name="60% - Énfasis4 3" xfId="168"/>
    <cellStyle name="60% - Énfasis5 2" xfId="169"/>
    <cellStyle name="60% - Énfasis5 3" xfId="170"/>
    <cellStyle name="60% - Énfasis6 2" xfId="171"/>
    <cellStyle name="60% - Énfasis6 3" xfId="172"/>
    <cellStyle name="Accent1" xfId="173"/>
    <cellStyle name="Accent1 2" xfId="174"/>
    <cellStyle name="Accent2" xfId="175"/>
    <cellStyle name="Accent2 2" xfId="176"/>
    <cellStyle name="Accent3" xfId="177"/>
    <cellStyle name="Accent3 2" xfId="178"/>
    <cellStyle name="Accent4" xfId="179"/>
    <cellStyle name="Accent4 2" xfId="180"/>
    <cellStyle name="Accent5" xfId="181"/>
    <cellStyle name="Accent5 2" xfId="182"/>
    <cellStyle name="Accent6" xfId="183"/>
    <cellStyle name="Accent6 2" xfId="184"/>
    <cellStyle name="args.style" xfId="185"/>
    <cellStyle name="Bad" xfId="186"/>
    <cellStyle name="Bad 2" xfId="187"/>
    <cellStyle name="black bar" xfId="188"/>
    <cellStyle name="Body" xfId="189"/>
    <cellStyle name="Body 2" xfId="190"/>
    <cellStyle name="Buena 2" xfId="191"/>
    <cellStyle name="Buena 3" xfId="192"/>
    <cellStyle name="Calc Currency (0)" xfId="193"/>
    <cellStyle name="Calc Currency (0) 2" xfId="194"/>
    <cellStyle name="Calc Currency (0) 3" xfId="195"/>
    <cellStyle name="Calc Currency (2)" xfId="196"/>
    <cellStyle name="Calc Percent (0)" xfId="197"/>
    <cellStyle name="Calc Percent (0) 2" xfId="198"/>
    <cellStyle name="Calc Percent (0) 3" xfId="199"/>
    <cellStyle name="Calc Percent (1)" xfId="200"/>
    <cellStyle name="Calc Percent (1) 2" xfId="201"/>
    <cellStyle name="Calc Percent (1) 3" xfId="202"/>
    <cellStyle name="Calc Percent (2)" xfId="203"/>
    <cellStyle name="Calc Percent (2) 2" xfId="204"/>
    <cellStyle name="Calc Percent (2) 3" xfId="205"/>
    <cellStyle name="Calc Units (0)" xfId="206"/>
    <cellStyle name="Calc Units (1)" xfId="207"/>
    <cellStyle name="Calc Units (1) 2" xfId="208"/>
    <cellStyle name="Calc Units (1) 3" xfId="209"/>
    <cellStyle name="Calc Units (2)" xfId="210"/>
    <cellStyle name="Calculation" xfId="211"/>
    <cellStyle name="Calculation 2" xfId="212"/>
    <cellStyle name="Calculation_Anexos Marzo 11" xfId="213"/>
    <cellStyle name="Cálculo 2" xfId="214"/>
    <cellStyle name="Cálculo 3" xfId="215"/>
    <cellStyle name="Cambiar to&amp;do" xfId="216"/>
    <cellStyle name="Celda de comprobación 2" xfId="217"/>
    <cellStyle name="Celda de comprobación 3" xfId="218"/>
    <cellStyle name="Celda vinculada 2" xfId="219"/>
    <cellStyle name="Celda vinculada 3" xfId="220"/>
    <cellStyle name="Check Cell" xfId="221"/>
    <cellStyle name="Check Cell 2" xfId="222"/>
    <cellStyle name="Check Cell_Anexos Marzo 11" xfId="223"/>
    <cellStyle name="Comma [0]_!!!GO" xfId="224"/>
    <cellStyle name="Comma [00]" xfId="225"/>
    <cellStyle name="Comma [00] 2" xfId="226"/>
    <cellStyle name="Comma 2" xfId="227"/>
    <cellStyle name="Comma 3" xfId="228"/>
    <cellStyle name="Comma 3 2" xfId="229"/>
    <cellStyle name="Comma 3 2 2" xfId="230"/>
    <cellStyle name="Comma 4" xfId="231"/>
    <cellStyle name="Comma 5" xfId="232"/>
    <cellStyle name="Comma 6" xfId="233"/>
    <cellStyle name="Comma_!!!GO" xfId="234"/>
    <cellStyle name="Comma0" xfId="235"/>
    <cellStyle name="Copied" xfId="236"/>
    <cellStyle name="COST1" xfId="237"/>
    <cellStyle name="Currency [0]_!!!GO" xfId="238"/>
    <cellStyle name="Currency [00]" xfId="239"/>
    <cellStyle name="Currency [00] 2" xfId="240"/>
    <cellStyle name="Currency 2" xfId="241"/>
    <cellStyle name="Currency_!!!GO" xfId="242"/>
    <cellStyle name="Currency0" xfId="243"/>
    <cellStyle name="Date" xfId="244"/>
    <cellStyle name="Date Short" xfId="245"/>
    <cellStyle name="do 4GO!!" xfId="246"/>
    <cellStyle name="do 4GO!!GOió" xfId="247"/>
    <cellStyle name="ecstoresES" xfId="248"/>
    <cellStyle name="EDSTORESmspe" xfId="249"/>
    <cellStyle name="ellow]" xfId="250"/>
    <cellStyle name="Encabezado 4 2" xfId="251"/>
    <cellStyle name="Encabezado 4 3" xfId="252"/>
    <cellStyle name="Énfasis1 2" xfId="253"/>
    <cellStyle name="Énfasis1 3" xfId="254"/>
    <cellStyle name="Énfasis2 2" xfId="255"/>
    <cellStyle name="Énfasis2 3" xfId="256"/>
    <cellStyle name="Énfasis3 2" xfId="257"/>
    <cellStyle name="Énfasis3 3" xfId="258"/>
    <cellStyle name="Énfasis4 2" xfId="259"/>
    <cellStyle name="Énfasis4 3" xfId="260"/>
    <cellStyle name="Énfasis5 2" xfId="261"/>
    <cellStyle name="Énfasis5 3" xfId="262"/>
    <cellStyle name="Énfasis6 2" xfId="263"/>
    <cellStyle name="Énfasis6 3" xfId="264"/>
    <cellStyle name="Enter Currency (0)" xfId="265"/>
    <cellStyle name="Enter Currency (2)" xfId="266"/>
    <cellStyle name="Enter Units (0)" xfId="267"/>
    <cellStyle name="Enter Units (1)" xfId="268"/>
    <cellStyle name="Enter Units (1) 2" xfId="269"/>
    <cellStyle name="Enter Units (1) 3" xfId="270"/>
    <cellStyle name="Enter Units (2)" xfId="271"/>
    <cellStyle name="Entered" xfId="272"/>
    <cellStyle name="Entrada 2" xfId="273"/>
    <cellStyle name="Entrada 3" xfId="274"/>
    <cellStyle name="ePop Currency (0)l" xfId="275"/>
    <cellStyle name="ePop Currency (2)l" xfId="276"/>
    <cellStyle name="ePop Units (0)(2" xfId="277"/>
    <cellStyle name="ePop Units (1)(2" xfId="278"/>
    <cellStyle name="ePop Units (2)(2" xfId="279"/>
    <cellStyle name="Estilo 1" xfId="280"/>
    <cellStyle name="Estilo 1 2" xfId="281"/>
    <cellStyle name="Estilo 1_Aportes Parafiscales 2009" xfId="282"/>
    <cellStyle name="Estilo 2" xfId="283"/>
    <cellStyle name="Estilo 2 2" xfId="284"/>
    <cellStyle name="Estilo 3" xfId="285"/>
    <cellStyle name="Estilo 3 2" xfId="286"/>
    <cellStyle name="Estilo 4" xfId="287"/>
    <cellStyle name="Estilo 4 2" xfId="288"/>
    <cellStyle name="Euro" xfId="289"/>
    <cellStyle name="Euro 2" xfId="290"/>
    <cellStyle name="Euro 3" xfId="291"/>
    <cellStyle name="Euro_Xl0000024" xfId="292"/>
    <cellStyle name="Explanatory Text" xfId="293"/>
    <cellStyle name="Explanatory Text 2" xfId="294"/>
    <cellStyle name="eylo" xfId="295"/>
    <cellStyle name="fecha" xfId="296"/>
    <cellStyle name="Followed Hyperlink" xfId="297"/>
    <cellStyle name="Good" xfId="298"/>
    <cellStyle name="Good 2" xfId="299"/>
    <cellStyle name="Grey" xfId="300"/>
    <cellStyle name="Grey 2" xfId="301"/>
    <cellStyle name="Grey 3" xfId="302"/>
    <cellStyle name="Grey_Anexo pasivos estmados" xfId="303"/>
    <cellStyle name="gs.stylesi" xfId="304"/>
    <cellStyle name="Header1" xfId="305"/>
    <cellStyle name="Header2" xfId="306"/>
    <cellStyle name="Heading 1" xfId="307"/>
    <cellStyle name="Heading 1 2" xfId="308"/>
    <cellStyle name="Heading 2" xfId="309"/>
    <cellStyle name="Heading 2 2" xfId="310"/>
    <cellStyle name="Heading 3" xfId="311"/>
    <cellStyle name="Heading 3 2" xfId="312"/>
    <cellStyle name="Heading 3_Anexos Marzo 11" xfId="313"/>
    <cellStyle name="Heading 4" xfId="314"/>
    <cellStyle name="Heading 4 2" xfId="315"/>
    <cellStyle name="HEADINGS" xfId="316"/>
    <cellStyle name="HEADINGSTOP" xfId="317"/>
    <cellStyle name="Hipervínculo" xfId="1" builtinId="8"/>
    <cellStyle name="Hipervínculo 2" xfId="2"/>
    <cellStyle name="Hipervínculo 3" xfId="318"/>
    <cellStyle name="Hyperlink" xfId="319"/>
    <cellStyle name="icingUn" xfId="320"/>
    <cellStyle name="Incorrecto 2" xfId="321"/>
    <cellStyle name="Incorrecto 3" xfId="322"/>
    <cellStyle name="ing" xfId="323"/>
    <cellStyle name="Input" xfId="324"/>
    <cellStyle name="Input [yellow]" xfId="325"/>
    <cellStyle name="Input [yellow] 2" xfId="326"/>
    <cellStyle name="Input [yellow] 3" xfId="327"/>
    <cellStyle name="Input [yellow]_Anexo pasivos estmados" xfId="328"/>
    <cellStyle name="Input 2" xfId="329"/>
    <cellStyle name="Input 3" xfId="330"/>
    <cellStyle name="Input 4" xfId="331"/>
    <cellStyle name="Input Cells" xfId="332"/>
    <cellStyle name="Input_131020 MES JUNIO" xfId="333"/>
    <cellStyle name="its (0)(2)iónnt" xfId="334"/>
    <cellStyle name="its (1)(2)iónnt" xfId="335"/>
    <cellStyle name="its (2)" xfId="336"/>
    <cellStyle name="its (2)(2)iónnt" xfId="337"/>
    <cellStyle name="its (2)_131020 MES JUNIO" xfId="338"/>
    <cellStyle name="Link Currency (0)" xfId="339"/>
    <cellStyle name="Link Currency (2)" xfId="340"/>
    <cellStyle name="Link Units (0)" xfId="341"/>
    <cellStyle name="Link Units (1)" xfId="342"/>
    <cellStyle name="Link Units (1) 2" xfId="343"/>
    <cellStyle name="Link Units (1) 3" xfId="344"/>
    <cellStyle name="Link Units (2)" xfId="345"/>
    <cellStyle name="Linked Cell" xfId="346"/>
    <cellStyle name="Linked Cell 2" xfId="347"/>
    <cellStyle name="Linked Cell_Anexos Marzo 11" xfId="348"/>
    <cellStyle name="Linked Cells" xfId="349"/>
    <cellStyle name="macroname" xfId="350"/>
    <cellStyle name="Millares" xfId="656" builtinId="3"/>
    <cellStyle name="Millares [0] 2" xfId="3"/>
    <cellStyle name="Millares [0] 2 2" xfId="351"/>
    <cellStyle name="Millares [0] 3" xfId="352"/>
    <cellStyle name="Millares [0] 4" xfId="353"/>
    <cellStyle name="Millares 10" xfId="354"/>
    <cellStyle name="Millares 11" xfId="355"/>
    <cellStyle name="Millares 11 2" xfId="356"/>
    <cellStyle name="Millares 12" xfId="357"/>
    <cellStyle name="Millares 2" xfId="4"/>
    <cellStyle name="Millares 2 2" xfId="358"/>
    <cellStyle name="Millares 2 2 2" xfId="359"/>
    <cellStyle name="Millares 2 2 3" xfId="360"/>
    <cellStyle name="Millares 2 2 4" xfId="361"/>
    <cellStyle name="Millares 2 2_Anexo pasivos estmados" xfId="362"/>
    <cellStyle name="Millares 2 3" xfId="363"/>
    <cellStyle name="Millares 2 4" xfId="364"/>
    <cellStyle name="Millares 2 5" xfId="365"/>
    <cellStyle name="Millares 2 6" xfId="366"/>
    <cellStyle name="Millares 2 7" xfId="367"/>
    <cellStyle name="Millares 2_INFO ENVIADA POR GLORIA" xfId="368"/>
    <cellStyle name="Millares 3" xfId="10"/>
    <cellStyle name="Millares 3 2" xfId="369"/>
    <cellStyle name="Millares 3 3" xfId="370"/>
    <cellStyle name="Millares 3_INFO ENVIADA POR GLORIA" xfId="371"/>
    <cellStyle name="Millares 4" xfId="372"/>
    <cellStyle name="Millares 4 2" xfId="373"/>
    <cellStyle name="Millares 4 3" xfId="374"/>
    <cellStyle name="Millares 4_INFO ENVIADA POR GLORIA" xfId="375"/>
    <cellStyle name="Millares 5" xfId="376"/>
    <cellStyle name="Millares 6" xfId="377"/>
    <cellStyle name="Millares 7" xfId="378"/>
    <cellStyle name="Millares 8" xfId="379"/>
    <cellStyle name="Millares 9" xfId="380"/>
    <cellStyle name="Millares 9 2" xfId="381"/>
    <cellStyle name="Milliers [0]_!!!GO" xfId="382"/>
    <cellStyle name="Milliers_!!!GO" xfId="383"/>
    <cellStyle name="Moneda [0] 2" xfId="384"/>
    <cellStyle name="Moneda 10" xfId="385"/>
    <cellStyle name="Moneda 2" xfId="5"/>
    <cellStyle name="Moneda 2 2" xfId="386"/>
    <cellStyle name="Moneda 2 3" xfId="387"/>
    <cellStyle name="Moneda 2 4" xfId="388"/>
    <cellStyle name="Moneda 2 5" xfId="389"/>
    <cellStyle name="Moneda 3" xfId="390"/>
    <cellStyle name="Moneda 4" xfId="391"/>
    <cellStyle name="Moneda 5" xfId="392"/>
    <cellStyle name="Moneda 6" xfId="393"/>
    <cellStyle name="Moneda 7" xfId="394"/>
    <cellStyle name="Moneda 8" xfId="395"/>
    <cellStyle name="Moneda 9" xfId="396"/>
    <cellStyle name="Monétaire [0]_!!!GO" xfId="397"/>
    <cellStyle name="Monétaire_!!!GO" xfId="398"/>
    <cellStyle name="Neutral 2" xfId="399"/>
    <cellStyle name="Neutral 3" xfId="400"/>
    <cellStyle name="Neutral 4" xfId="401"/>
    <cellStyle name="no dec" xfId="402"/>
    <cellStyle name="No-definido" xfId="403"/>
    <cellStyle name="Normal" xfId="0" builtinId="0"/>
    <cellStyle name="Normal - Style1" xfId="404"/>
    <cellStyle name="Normal - Style1 2" xfId="405"/>
    <cellStyle name="Normal - Style1 3" xfId="406"/>
    <cellStyle name="Normal 10" xfId="407"/>
    <cellStyle name="Normal 101" xfId="408"/>
    <cellStyle name="Normal 11" xfId="409"/>
    <cellStyle name="Normal 12" xfId="410"/>
    <cellStyle name="Normal 12 2" xfId="411"/>
    <cellStyle name="Normal 12 3" xfId="412"/>
    <cellStyle name="Normal 12 4" xfId="413"/>
    <cellStyle name="Normal 13" xfId="414"/>
    <cellStyle name="Normal 14" xfId="415"/>
    <cellStyle name="Normal 15" xfId="416"/>
    <cellStyle name="Normal 16" xfId="417"/>
    <cellStyle name="Normal 17" xfId="418"/>
    <cellStyle name="Normal 17 2" xfId="419"/>
    <cellStyle name="Normal 18" xfId="420"/>
    <cellStyle name="Normal 19" xfId="421"/>
    <cellStyle name="Normal 2" xfId="6"/>
    <cellStyle name="Normal 2 2" xfId="422"/>
    <cellStyle name="Normal 2 2 2" xfId="423"/>
    <cellStyle name="Normal 2 2 2 2" xfId="424"/>
    <cellStyle name="Normal 2 2 2 3" xfId="425"/>
    <cellStyle name="Normal 2 2 2_Anexo pasivos estmados" xfId="426"/>
    <cellStyle name="Normal 2 2 3" xfId="427"/>
    <cellStyle name="Normal 2 2 4" xfId="428"/>
    <cellStyle name="Normal 2 2_Xl0000024" xfId="429"/>
    <cellStyle name="Normal 2 3" xfId="430"/>
    <cellStyle name="Normal 2 3 2" xfId="431"/>
    <cellStyle name="Normal 2 3 3" xfId="432"/>
    <cellStyle name="Normal 2 4" xfId="433"/>
    <cellStyle name="Normal 2 5" xfId="434"/>
    <cellStyle name="Normal 2_ADMINISTRACION FINANCIERA" xfId="435"/>
    <cellStyle name="Normal 20" xfId="436"/>
    <cellStyle name="Normal 21" xfId="437"/>
    <cellStyle name="Normal 22" xfId="438"/>
    <cellStyle name="Normal 23" xfId="439"/>
    <cellStyle name="Normal 24" xfId="440"/>
    <cellStyle name="Normal 25" xfId="441"/>
    <cellStyle name="Normal 26" xfId="442"/>
    <cellStyle name="Normal 27" xfId="443"/>
    <cellStyle name="Normal 28" xfId="444"/>
    <cellStyle name="Normal 29" xfId="445"/>
    <cellStyle name="Normal 3" xfId="7"/>
    <cellStyle name="Normal 3 2" xfId="446"/>
    <cellStyle name="Normal 3 3" xfId="447"/>
    <cellStyle name="Normal 3 4" xfId="448"/>
    <cellStyle name="Normal 3_Anexo pasivos estmados" xfId="449"/>
    <cellStyle name="Normal 30" xfId="450"/>
    <cellStyle name="Normal 31" xfId="451"/>
    <cellStyle name="Normal 32" xfId="452"/>
    <cellStyle name="Normal 33" xfId="453"/>
    <cellStyle name="Normal 34" xfId="454"/>
    <cellStyle name="Normal 35" xfId="455"/>
    <cellStyle name="Normal 36" xfId="456"/>
    <cellStyle name="Normal 37" xfId="457"/>
    <cellStyle name="Normal 38" xfId="458"/>
    <cellStyle name="Normal 39" xfId="459"/>
    <cellStyle name="Normal 4" xfId="460"/>
    <cellStyle name="Normal 4 2" xfId="461"/>
    <cellStyle name="Normal 40" xfId="462"/>
    <cellStyle name="Normal 41" xfId="463"/>
    <cellStyle name="Normal 42" xfId="464"/>
    <cellStyle name="Normal 43" xfId="465"/>
    <cellStyle name="Normal 44" xfId="466"/>
    <cellStyle name="Normal 45" xfId="467"/>
    <cellStyle name="Normal 46" xfId="468"/>
    <cellStyle name="Normal 47" xfId="469"/>
    <cellStyle name="Normal 48" xfId="470"/>
    <cellStyle name="Normal 49" xfId="471"/>
    <cellStyle name="Normal 5" xfId="472"/>
    <cellStyle name="Normal 5 2" xfId="473"/>
    <cellStyle name="Normal 50" xfId="474"/>
    <cellStyle name="Normal 51" xfId="475"/>
    <cellStyle name="Normal 52" xfId="476"/>
    <cellStyle name="Normal 53" xfId="477"/>
    <cellStyle name="Normal 54" xfId="478"/>
    <cellStyle name="Normal 55" xfId="479"/>
    <cellStyle name="Normal 56" xfId="480"/>
    <cellStyle name="Normal 57" xfId="481"/>
    <cellStyle name="Normal 58" xfId="482"/>
    <cellStyle name="Normal 6" xfId="483"/>
    <cellStyle name="Normal 6 2" xfId="484"/>
    <cellStyle name="Normal 6 3" xfId="485"/>
    <cellStyle name="Normal 6_BALANCE 6 DÍGITOS" xfId="486"/>
    <cellStyle name="Normal 7" xfId="487"/>
    <cellStyle name="Normal 71" xfId="488"/>
    <cellStyle name="Normal 72" xfId="489"/>
    <cellStyle name="Normal 73" xfId="490"/>
    <cellStyle name="Normal 74" xfId="491"/>
    <cellStyle name="Normal 75" xfId="492"/>
    <cellStyle name="Normal 8" xfId="493"/>
    <cellStyle name="Normal 81" xfId="494"/>
    <cellStyle name="Normal 82" xfId="495"/>
    <cellStyle name="Normal 83" xfId="496"/>
    <cellStyle name="Normal 84" xfId="497"/>
    <cellStyle name="Normal 85" xfId="498"/>
    <cellStyle name="Normal 87" xfId="499"/>
    <cellStyle name="Normal 88" xfId="500"/>
    <cellStyle name="Normal 9" xfId="501"/>
    <cellStyle name="Normal 9 2" xfId="502"/>
    <cellStyle name="Normal 9_13109501 - HP" xfId="503"/>
    <cellStyle name="Normal 96" xfId="504"/>
    <cellStyle name="Normale_LSCO0697" xfId="505"/>
    <cellStyle name="Notas 2" xfId="506"/>
    <cellStyle name="Notas 2 2" xfId="507"/>
    <cellStyle name="Notas 2_Anexos Marzo 11" xfId="508"/>
    <cellStyle name="Notas 3" xfId="509"/>
    <cellStyle name="Note" xfId="510"/>
    <cellStyle name="Note 2" xfId="511"/>
    <cellStyle name="Note_Anexos Marzo 11" xfId="512"/>
    <cellStyle name="Œ…‹æØ‚è [0.00]_!!!GO" xfId="513"/>
    <cellStyle name="Œ…‹æØ‚è_!!!GO" xfId="514"/>
    <cellStyle name="Output" xfId="515"/>
    <cellStyle name="Output 2" xfId="516"/>
    <cellStyle name="per.style" xfId="517"/>
    <cellStyle name="Percent [0]" xfId="518"/>
    <cellStyle name="Percent [0] 2" xfId="519"/>
    <cellStyle name="Percent [0] 3" xfId="520"/>
    <cellStyle name="Percent [00]" xfId="521"/>
    <cellStyle name="Percent [00] 2" xfId="522"/>
    <cellStyle name="Percent [00] 3" xfId="523"/>
    <cellStyle name="Percent [2]" xfId="524"/>
    <cellStyle name="Percent [2] 2" xfId="525"/>
    <cellStyle name="Percent [2] 3" xfId="526"/>
    <cellStyle name="Percent 2" xfId="527"/>
    <cellStyle name="Percent 3" xfId="528"/>
    <cellStyle name="Porcentaje 2" xfId="529"/>
    <cellStyle name="Porcentaje 2 2" xfId="530"/>
    <cellStyle name="Porcentual 2" xfId="8"/>
    <cellStyle name="Porcentual 2 2" xfId="531"/>
    <cellStyle name="Porcentual 2 3" xfId="532"/>
    <cellStyle name="Porcentual 2_INFO ENVIADA POR GLORIA" xfId="533"/>
    <cellStyle name="Porcentual 3" xfId="9"/>
    <cellStyle name="Porcentual 4" xfId="534"/>
    <cellStyle name="Porcentual 5" xfId="535"/>
    <cellStyle name="Porcentual 6" xfId="536"/>
    <cellStyle name="Porcentual 7" xfId="537"/>
    <cellStyle name="PrePop Currency (0)" xfId="538"/>
    <cellStyle name="PrePop Currency (2)" xfId="539"/>
    <cellStyle name="PrePop Units (0)" xfId="540"/>
    <cellStyle name="PrePop Units (1)" xfId="541"/>
    <cellStyle name="PrePop Units (1) 2" xfId="542"/>
    <cellStyle name="PrePop Units (1) 3" xfId="543"/>
    <cellStyle name="PrePop Units (2)" xfId="544"/>
    <cellStyle name="pricing" xfId="545"/>
    <cellStyle name="PSChar" xfId="546"/>
    <cellStyle name="PSHeading" xfId="547"/>
    <cellStyle name="QDF" xfId="548"/>
    <cellStyle name="QDF 2" xfId="549"/>
    <cellStyle name="QDF 3" xfId="550"/>
    <cellStyle name="RDesESms" xfId="551"/>
    <cellStyle name="regstoresfromspecstores" xfId="552"/>
    <cellStyle name="resis6. S" xfId="553"/>
    <cellStyle name="RevList" xfId="554"/>
    <cellStyle name="rrency (0)iónntern" xfId="555"/>
    <cellStyle name="rrency (2)iónntern" xfId="556"/>
    <cellStyle name="Salida 2" xfId="557"/>
    <cellStyle name="Salida 3" xfId="558"/>
    <cellStyle name="SHADEDSTORES" xfId="559"/>
    <cellStyle name="specstores" xfId="560"/>
    <cellStyle name="st" xfId="561"/>
    <cellStyle name="STANDARD" xfId="562"/>
    <cellStyle name="Style 1" xfId="563"/>
    <cellStyle name="Style 2" xfId="564"/>
    <cellStyle name="Style 3" xfId="565"/>
    <cellStyle name="Style 4" xfId="566"/>
    <cellStyle name="Subtotal" xfId="567"/>
    <cellStyle name="Text Indent A" xfId="568"/>
    <cellStyle name="Text Indent B" xfId="569"/>
    <cellStyle name="Text Indent B 2" xfId="570"/>
    <cellStyle name="Text Indent B 3" xfId="571"/>
    <cellStyle name="Text Indent C" xfId="572"/>
    <cellStyle name="Text Indent C 2" xfId="573"/>
    <cellStyle name="Text Indent C 3" xfId="574"/>
    <cellStyle name="Texto de advertencia 2" xfId="575"/>
    <cellStyle name="Texto de advertencia 3" xfId="576"/>
    <cellStyle name="Texto explicativo 2" xfId="577"/>
    <cellStyle name="Texto explicativo 3" xfId="578"/>
    <cellStyle name="Title" xfId="579"/>
    <cellStyle name="Title 2" xfId="580"/>
    <cellStyle name="Título 1 2" xfId="581"/>
    <cellStyle name="Título 1 3" xfId="582"/>
    <cellStyle name="Título 2 2" xfId="583"/>
    <cellStyle name="Título 2 3" xfId="584"/>
    <cellStyle name="Título 3 2" xfId="585"/>
    <cellStyle name="Título 3 3" xfId="586"/>
    <cellStyle name="Título 4" xfId="587"/>
    <cellStyle name="Título 5" xfId="588"/>
    <cellStyle name="to" xfId="589"/>
    <cellStyle name="Total 2" xfId="590"/>
    <cellStyle name="Total 3" xfId="591"/>
    <cellStyle name="Total 4" xfId="592"/>
    <cellStyle name="Warning Text" xfId="593"/>
    <cellStyle name="Warning Text 2" xfId="594"/>
    <cellStyle name="⁥せ彝℡䜡く㔹㄰" xfId="595"/>
    <cellStyle name="ㄠ瑩⁳㈨" xfId="596"/>
    <cellStyle name="剟来潩⁮牏敤獲⠠⤲牥⁳㈨椩琀愀搀漀" xfId="597"/>
    <cellStyle name="嬠⸰〰彝敒楧湯传摲牥⁳㈨椩琀愀搀漀" xfId="598"/>
    <cellStyle name="ㄱ瑩⁳㈨⠩⤲" xfId="599"/>
    <cellStyle name="ㄲ瑩⁳㈨⠩⤲" xfId="600"/>
    <cellStyle name="匠祴敬ℱ䜡く㔹㄰" xfId="601"/>
    <cellStyle name="升佔⁐㈨⠩⤲湮整湲捡" xfId="602"/>
    <cellStyle name="升瑩⁳㈨⠩⤲湮" xfId="603"/>
    <cellStyle name="卌佃㘰㜹ㄳ" xfId="604"/>
    <cellStyle name="卌佃㘰㜹ㄳ㤰〵ㄱ" xfId="605"/>
    <cellStyle name="唠楮獴⠠⤰㈨挩甀氀漀 瘀椀猀" xfId="606"/>
    <cellStyle name="塅剁ⴠㄠㄳ㤰〵ㄱ" xfId="607"/>
    <cellStyle name="崰℡䜡扏捡湮整湲捡" xfId="608"/>
    <cellStyle name="彝℡䜡扏捡湮整湲捡潩慮⁬ㄳ〭" xfId="609"/>
    <cellStyle name="彥℡䜡⅏䜡く㔹㄰" xfId="610"/>
    <cellStyle name="慢敲楳㙳‮" xfId="611"/>
    <cellStyle name="扩潲ㄳⵐ㌱〱㔹㄰" xfId="612"/>
    <cellStyle name="捬倠牥散瑮⠠⤰攩⁤湉整湲捡潩慮⁬" xfId="613"/>
    <cellStyle name="捬唠楮獴⠠⤰⤲攩⁤湉整湲捡潩" xfId="614"/>
    <cellStyle name="捬汵楯獴⠠⤲⤲" xfId="615"/>
    <cellStyle name="捬䌠牵敲据⁹〨攩⁤湉整湲捡潩慮⁬ㄳ" xfId="616"/>
    <cellStyle name="捬䌠牵敲据⁹㈨攩⁤湉整湲捡潩慮⁬ㄳ" xfId="617"/>
    <cellStyle name="摮湥⁴獁数獣潴敲⡳⤲牥⁳㈨" xfId="618"/>
    <cellStyle name="摮湥⁴獂数獣潴敲⡳⤲牥⁳㈨" xfId="619"/>
    <cellStyle name="摮湥⁴獃数獣潴敲⡳⤲牥⁳㈨" xfId="620"/>
    <cellStyle name="效摡湩楧獴⠠⤲㈨氩" xfId="621"/>
    <cellStyle name="敤愠癤牥整据慩敲⡳⤲牥⁳㈨椩琀愀搀漀" xfId="622"/>
    <cellStyle name="敤挠浯牰扯捡湮整湲捡潩慮⁬ㄳ〭ⴵ〲㘰彀㼩" xfId="623"/>
    <cellStyle name="⁯敤䌠慴‮敓⁤湉整湲捡潩慮⁬ㄳ〭ⴵ〲㘰彀㼩尿∠≆ⵟ弻䀭ⵟ彀 쨈Ḅ?⅛Ḝ_x0001_" xfId="624"/>
    <cellStyle name="⁯敤䌠慴‮䕓⁄义⹔〠ⴱ㠰㈭〰ⴶ㼢弿㬩⡟彀㼩尿∠≆ⵟ弻䀭ⵟ彀 쨈Ḅ?⅛Ḝ" xfId="625"/>
    <cellStyle name="⁯敤䌠慴‮䕓⁄义⹔ㄠⴸ㈱㈭〰ⴶ㼢弿㬩⡟彀㼩尿∠≆ⵟ弻䀭ⵟ彀 쨈Ḅ?⅛Ḝ" xfId="626"/>
    <cellStyle name="敩獲⅟℡佇℡佇嬀　崀" xfId="627"/>
    <cellStyle name="敩獲嬠崰⅟℡佇嬀　崀" xfId="628"/>
    <cellStyle name="敲晳潲獭数獣潴敲⡳⤲牥⁳㈨椩琀愀搀漀" xfId="629"/>
    <cellStyle name="整匠潨瑲℡佇℡佇湮" xfId="630"/>
    <cellStyle name="整晳潲獭数獣潴" xfId="631"/>
    <cellStyle name="楬慤整晳潲獭" xfId="632"/>
    <cellStyle name="楴潬ㄠ瑩⁳㈨⠩⤲" xfId="633"/>
    <cellStyle name="楶据汵摡扡捡湮整湲捡潩慮⁬ㄳ" xfId="634"/>
    <cellStyle name="橯ㅡ敬ℱ䜡く㔹㄰" xfId="635"/>
    <cellStyle name="污獥卅獭数獣潴敲" xfId="636"/>
    <cellStyle name="汰捩瑡癩捯" xfId="637"/>
    <cellStyle name="汰捩瑡癩捯慩" xfId="638"/>
    <cellStyle name="汰捩瑡癩捯慩敲⡳" xfId="639"/>
    <cellStyle name="汹剥来潩⁮牏敤獲⠠" xfId="640"/>
    <cellStyle name="灯慩䠠ⵐ㌱〱㔹㄰" xfId="641"/>
    <cellStyle name="牡整慲䴠祡⁯′敤㈠〰ㄶ⸰〰尰⠩‪ⴢ㼢弿㬩⡟彀㼩尿" xfId="642"/>
    <cellStyle name="牡獥束牡湡楴獡嬀　崀" xfId="643"/>
    <cellStyle name="牡獥䱟扩潲ㄳ獡嬀　崀" xfId="644"/>
    <cellStyle name="牬彥℡䜡⅏䜡く" xfId="645"/>
    <cellStyle name="⁯畃湥慴匠䑅†′䴠牡㈭〰⠶‪ⴢ㼢弿㬩⡟彀㼩尿∠≆ⵟ弻䀭ⵟ彀 쨈" xfId="646"/>
    <cellStyle name="硥汰捩瑡癩捯慩敲⡳⤲牥⁳㈨椩琀愀搀" xfId="647"/>
    <cellStyle name="祣⅟℡佇℡佇湮整湲捡潩慮⁬" xfId="648"/>
    <cellStyle name="祣嬠〰⅝℡佇湮整湲捡潩慮" xfId="649"/>
    <cellStyle name="祣嬠崰⅟℡佇湮整湲捡潩慮⁬ㄳ〭ⴵ〲" xfId="650"/>
    <cellStyle name="䌠牵敲据⁹〨挩甀氀漀 瘀椀猀椀琀愀" xfId="651"/>
    <cellStyle name="䌠牵敲据⁹㈨挩甀氀漀 瘀椀猀椀琀愀" xfId="652"/>
    <cellStyle name="䕕呎⁁偈䄠〠′敤洠祡ㅯ⸰〰尰⠩‪ⴢ㼢弿㬩⡟彀㼩" xfId="653"/>
    <cellStyle name="䜡⅏䜡扏捡" xfId="654"/>
    <cellStyle name="䜡⅏䜡扏捡湮整湲捡潩" xfId="65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externalLink" Target="externalLinks/externalLink2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4.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5.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6.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7.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hyperlink" Target="#'RESUMEN NATURALES'!A1"/></Relationships>
</file>

<file path=xl/drawings/_rels/drawing8.xml.rels><?xml version="1.0" encoding="UTF-8" standalone="yes"?>
<Relationships xmlns="http://schemas.openxmlformats.org/package/2006/relationships"><Relationship Id="rId2" Type="http://schemas.openxmlformats.org/officeDocument/2006/relationships/hyperlink" Target="#'TARIFA CG'!A1"/><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hyperlink" Target="#'TARIFA CG'!A1"/><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png"/><Relationship Id="rId1" Type="http://schemas.openxmlformats.org/officeDocument/2006/relationships/hyperlink" Target="#'RESUMEN NATURALES'!A1"/></Relationships>
</file>

<file path=xl/drawings/_rels/drawing11.xml.rels><?xml version="1.0" encoding="UTF-8" standalone="yes"?>
<Relationships xmlns="http://schemas.openxmlformats.org/package/2006/relationships"><Relationship Id="rId2" Type="http://schemas.openxmlformats.org/officeDocument/2006/relationships/hyperlink" Target="#'RESUMEN NATURALES'!A1"/><Relationship Id="rId1" Type="http://schemas.openxmlformats.org/officeDocument/2006/relationships/hyperlink" Target="#'RESUMEN NATURALES'!A1"/></Relationships>
</file>

<file path=xl/drawings/_rels/drawing12.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3.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4.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5.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6.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7.xml.rels><?xml version="1.0" encoding="UTF-8" standalone="yes"?>
<Relationships xmlns="http://schemas.openxmlformats.org/package/2006/relationships"><Relationship Id="rId2" Type="http://schemas.openxmlformats.org/officeDocument/2006/relationships/hyperlink" Target="#'C&#201;DULA GENERAL'!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hyperlink" Target="#'RESUMEN NATURALES'!A1"/></Relationships>
</file>

<file path=xl/drawings/_rels/drawing19.xml.rels><?xml version="1.0" encoding="UTF-8" standalone="yes"?>
<Relationships xmlns="http://schemas.openxmlformats.org/package/2006/relationships"><Relationship Id="rId2" Type="http://schemas.openxmlformats.org/officeDocument/2006/relationships/hyperlink" Target="#'RETENCI&#211;N SALARIOS'!A1"/><Relationship Id="rId1" Type="http://schemas.openxmlformats.org/officeDocument/2006/relationships/image" Target="../media/image6.emf"/></Relationships>
</file>

<file path=xl/drawings/_rels/drawing20.xml.rels><?xml version="1.0" encoding="UTF-8" standalone="yes"?>
<Relationships xmlns="http://schemas.openxmlformats.org/package/2006/relationships"><Relationship Id="rId2" Type="http://schemas.openxmlformats.org/officeDocument/2006/relationships/hyperlink" Target="#'RESUMEN NATURALES'!A1"/><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0</xdr:row>
      <xdr:rowOff>0</xdr:rowOff>
    </xdr:from>
    <xdr:to>
      <xdr:col>9</xdr:col>
      <xdr:colOff>238125</xdr:colOff>
      <xdr:row>9</xdr:row>
      <xdr:rowOff>19050</xdr:rowOff>
    </xdr:to>
    <xdr:pic>
      <xdr:nvPicPr>
        <xdr:cNvPr id="2" name="Imagen 2"/>
        <xdr:cNvPicPr>
          <a:picLocks noChangeAspect="1"/>
        </xdr:cNvPicPr>
      </xdr:nvPicPr>
      <xdr:blipFill>
        <a:blip xmlns:r="http://schemas.openxmlformats.org/officeDocument/2006/relationships" r:embed="rId1" cstate="print"/>
        <a:srcRect/>
        <a:stretch>
          <a:fillRect/>
        </a:stretch>
      </xdr:blipFill>
      <xdr:spPr bwMode="auto">
        <a:xfrm>
          <a:off x="6076950" y="0"/>
          <a:ext cx="1685925" cy="16954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0</xdr:row>
      <xdr:rowOff>161925</xdr:rowOff>
    </xdr:from>
    <xdr:to>
      <xdr:col>3</xdr:col>
      <xdr:colOff>1714500</xdr:colOff>
      <xdr:row>7</xdr:row>
      <xdr:rowOff>95250</xdr:rowOff>
    </xdr:to>
    <xdr:pic>
      <xdr:nvPicPr>
        <xdr:cNvPr id="58497" name="Imagen 2"/>
        <xdr:cNvPicPr>
          <a:picLocks noChangeAspect="1"/>
        </xdr:cNvPicPr>
      </xdr:nvPicPr>
      <xdr:blipFill>
        <a:blip xmlns:r="http://schemas.openxmlformats.org/officeDocument/2006/relationships" r:embed="rId1" cstate="print"/>
        <a:srcRect/>
        <a:stretch>
          <a:fillRect/>
        </a:stretch>
      </xdr:blipFill>
      <xdr:spPr bwMode="auto">
        <a:xfrm>
          <a:off x="4362450" y="161925"/>
          <a:ext cx="1695450" cy="17049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15</xdr:row>
      <xdr:rowOff>0</xdr:rowOff>
    </xdr:from>
    <xdr:to>
      <xdr:col>0</xdr:col>
      <xdr:colOff>266700</xdr:colOff>
      <xdr:row>16</xdr:row>
      <xdr:rowOff>95250</xdr:rowOff>
    </xdr:to>
    <xdr:sp macro="" textlink="">
      <xdr:nvSpPr>
        <xdr:cNvPr id="56399" name="11 Flecha izquierda">
          <a:hlinkClick xmlns:r="http://schemas.openxmlformats.org/officeDocument/2006/relationships" r:id="rId1"/>
        </xdr:cNvPr>
        <xdr:cNvSpPr>
          <a:spLocks noChangeArrowheads="1"/>
        </xdr:cNvSpPr>
      </xdr:nvSpPr>
      <xdr:spPr bwMode="auto">
        <a:xfrm>
          <a:off x="857250" y="2365057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10</xdr:row>
      <xdr:rowOff>0</xdr:rowOff>
    </xdr:from>
    <xdr:to>
      <xdr:col>0</xdr:col>
      <xdr:colOff>266700</xdr:colOff>
      <xdr:row>11</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857250" y="959167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18</xdr:row>
      <xdr:rowOff>0</xdr:rowOff>
    </xdr:from>
    <xdr:to>
      <xdr:col>0</xdr:col>
      <xdr:colOff>266700</xdr:colOff>
      <xdr:row>19</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495300" y="671512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10</xdr:row>
      <xdr:rowOff>0</xdr:rowOff>
    </xdr:from>
    <xdr:to>
      <xdr:col>0</xdr:col>
      <xdr:colOff>266700</xdr:colOff>
      <xdr:row>11</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1828800" y="52578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29</xdr:row>
      <xdr:rowOff>0</xdr:rowOff>
    </xdr:from>
    <xdr:to>
      <xdr:col>0</xdr:col>
      <xdr:colOff>266700</xdr:colOff>
      <xdr:row>30</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495300" y="869632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twoCellAnchor editAs="oneCell">
    <xdr:from>
      <xdr:col>4</xdr:col>
      <xdr:colOff>0</xdr:colOff>
      <xdr:row>7</xdr:row>
      <xdr:rowOff>190499</xdr:rowOff>
    </xdr:from>
    <xdr:to>
      <xdr:col>4</xdr:col>
      <xdr:colOff>7143750</xdr:colOff>
      <xdr:row>27</xdr:row>
      <xdr:rowOff>38099</xdr:rowOff>
    </xdr:to>
    <xdr:pic>
      <xdr:nvPicPr>
        <xdr:cNvPr id="4097"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0172700" y="3648074"/>
          <a:ext cx="7143750" cy="38957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85725</xdr:colOff>
      <xdr:row>1</xdr:row>
      <xdr:rowOff>9525</xdr:rowOff>
    </xdr:from>
    <xdr:to>
      <xdr:col>9</xdr:col>
      <xdr:colOff>238125</xdr:colOff>
      <xdr:row>7</xdr:row>
      <xdr:rowOff>361950</xdr:rowOff>
    </xdr:to>
    <xdr:pic>
      <xdr:nvPicPr>
        <xdr:cNvPr id="2" name="Imagen 2"/>
        <xdr:cNvPicPr>
          <a:picLocks noChangeAspect="1"/>
        </xdr:cNvPicPr>
      </xdr:nvPicPr>
      <xdr:blipFill>
        <a:blip xmlns:r="http://schemas.openxmlformats.org/officeDocument/2006/relationships" r:embed="rId1" cstate="print"/>
        <a:srcRect/>
        <a:stretch>
          <a:fillRect/>
        </a:stretch>
      </xdr:blipFill>
      <xdr:spPr bwMode="auto">
        <a:xfrm>
          <a:off x="6372225" y="200025"/>
          <a:ext cx="1676400" cy="1724025"/>
        </a:xfrm>
        <a:prstGeom prst="rect">
          <a:avLst/>
        </a:prstGeom>
        <a:noFill/>
        <a:ln w="9525">
          <a:noFill/>
          <a:miter lim="800000"/>
          <a:headEnd/>
          <a:tailEnd/>
        </a:ln>
      </xdr:spPr>
    </xdr:pic>
    <xdr:clientData/>
  </xdr:twoCellAnchor>
  <xdr:twoCellAnchor>
    <xdr:from>
      <xdr:col>2</xdr:col>
      <xdr:colOff>552450</xdr:colOff>
      <xdr:row>19</xdr:row>
      <xdr:rowOff>0</xdr:rowOff>
    </xdr:from>
    <xdr:to>
      <xdr:col>2</xdr:col>
      <xdr:colOff>790575</xdr:colOff>
      <xdr:row>20</xdr:row>
      <xdr:rowOff>57150</xdr:rowOff>
    </xdr:to>
    <xdr:sp macro="" textlink="">
      <xdr:nvSpPr>
        <xdr:cNvPr id="3" name="11 Flecha izquierda">
          <a:hlinkClick xmlns:r="http://schemas.openxmlformats.org/officeDocument/2006/relationships" r:id="rId2"/>
        </xdr:cNvPr>
        <xdr:cNvSpPr>
          <a:spLocks noChangeArrowheads="1"/>
        </xdr:cNvSpPr>
      </xdr:nvSpPr>
      <xdr:spPr bwMode="auto">
        <a:xfrm>
          <a:off x="1495425" y="5581650"/>
          <a:ext cx="209550" cy="2571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171450</xdr:colOff>
      <xdr:row>0</xdr:row>
      <xdr:rowOff>0</xdr:rowOff>
    </xdr:from>
    <xdr:to>
      <xdr:col>15</xdr:col>
      <xdr:colOff>323850</xdr:colOff>
      <xdr:row>7</xdr:row>
      <xdr:rowOff>180975</xdr:rowOff>
    </xdr:to>
    <xdr:pic>
      <xdr:nvPicPr>
        <xdr:cNvPr id="2" name="Imagen 2"/>
        <xdr:cNvPicPr>
          <a:picLocks noChangeAspect="1"/>
        </xdr:cNvPicPr>
      </xdr:nvPicPr>
      <xdr:blipFill>
        <a:blip xmlns:r="http://schemas.openxmlformats.org/officeDocument/2006/relationships" r:embed="rId1" cstate="print"/>
        <a:srcRect/>
        <a:stretch>
          <a:fillRect/>
        </a:stretch>
      </xdr:blipFill>
      <xdr:spPr bwMode="auto">
        <a:xfrm>
          <a:off x="11029950" y="0"/>
          <a:ext cx="1676400" cy="1743075"/>
        </a:xfrm>
        <a:prstGeom prst="rect">
          <a:avLst/>
        </a:prstGeom>
        <a:noFill/>
        <a:ln w="9525">
          <a:noFill/>
          <a:miter lim="800000"/>
          <a:headEnd/>
          <a:tailEnd/>
        </a:ln>
      </xdr:spPr>
    </xdr:pic>
    <xdr:clientData/>
  </xdr:twoCellAnchor>
  <xdr:twoCellAnchor>
    <xdr:from>
      <xdr:col>2</xdr:col>
      <xdr:colOff>552450</xdr:colOff>
      <xdr:row>20</xdr:row>
      <xdr:rowOff>123825</xdr:rowOff>
    </xdr:from>
    <xdr:to>
      <xdr:col>2</xdr:col>
      <xdr:colOff>790575</xdr:colOff>
      <xdr:row>22</xdr:row>
      <xdr:rowOff>57150</xdr:rowOff>
    </xdr:to>
    <xdr:sp macro="" textlink="">
      <xdr:nvSpPr>
        <xdr:cNvPr id="3" name="11 Flecha izquierda">
          <a:hlinkClick xmlns:r="http://schemas.openxmlformats.org/officeDocument/2006/relationships" r:id="rId2"/>
        </xdr:cNvPr>
        <xdr:cNvSpPr>
          <a:spLocks noChangeArrowheads="1"/>
        </xdr:cNvSpPr>
      </xdr:nvSpPr>
      <xdr:spPr bwMode="auto">
        <a:xfrm>
          <a:off x="1495425" y="5819775"/>
          <a:ext cx="209550" cy="3333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23</xdr:row>
      <xdr:rowOff>0</xdr:rowOff>
    </xdr:from>
    <xdr:to>
      <xdr:col>0</xdr:col>
      <xdr:colOff>266700</xdr:colOff>
      <xdr:row>24</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1352550" y="43053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twoCellAnchor editAs="oneCell">
    <xdr:from>
      <xdr:col>2</xdr:col>
      <xdr:colOff>66676</xdr:colOff>
      <xdr:row>7</xdr:row>
      <xdr:rowOff>28575</xdr:rowOff>
    </xdr:from>
    <xdr:to>
      <xdr:col>2</xdr:col>
      <xdr:colOff>4505326</xdr:colOff>
      <xdr:row>16</xdr:row>
      <xdr:rowOff>123825</xdr:rowOff>
    </xdr:to>
    <xdr:pic>
      <xdr:nvPicPr>
        <xdr:cNvPr id="4" name="3 Imagen" descr="http://uploadgerencie.com/medios/dividendos-reforma-tributaria-2.gif"/>
        <xdr:cNvPicPr>
          <a:picLocks noChangeAspect="1" noChangeArrowheads="1"/>
        </xdr:cNvPicPr>
      </xdr:nvPicPr>
      <xdr:blipFill>
        <a:blip xmlns:r="http://schemas.openxmlformats.org/officeDocument/2006/relationships" r:embed="rId2" cstate="print"/>
        <a:srcRect/>
        <a:stretch>
          <a:fillRect/>
        </a:stretch>
      </xdr:blipFill>
      <xdr:spPr bwMode="auto">
        <a:xfrm>
          <a:off x="1400176" y="2771775"/>
          <a:ext cx="4438650" cy="2000250"/>
        </a:xfrm>
        <a:prstGeom prst="rect">
          <a:avLst/>
        </a:prstGeom>
        <a:noFill/>
        <a:ln w="9525">
          <a:noFill/>
          <a:miter lim="800000"/>
          <a:headEnd/>
          <a:tailEnd/>
        </a:ln>
      </xdr:spPr>
    </xdr:pic>
    <xdr:clientData/>
  </xdr:twoCellAnchor>
  <xdr:twoCellAnchor editAs="oneCell">
    <xdr:from>
      <xdr:col>4</xdr:col>
      <xdr:colOff>0</xdr:colOff>
      <xdr:row>7</xdr:row>
      <xdr:rowOff>47625</xdr:rowOff>
    </xdr:from>
    <xdr:to>
      <xdr:col>4</xdr:col>
      <xdr:colOff>7248525</xdr:colOff>
      <xdr:row>16</xdr:row>
      <xdr:rowOff>85724</xdr:rowOff>
    </xdr:to>
    <xdr:pic>
      <xdr:nvPicPr>
        <xdr:cNvPr id="5121" name="Picture 1"/>
        <xdr:cNvPicPr>
          <a:picLocks noChangeAspect="1" noChangeArrowheads="1"/>
        </xdr:cNvPicPr>
      </xdr:nvPicPr>
      <xdr:blipFill>
        <a:blip xmlns:r="http://schemas.openxmlformats.org/officeDocument/2006/relationships" r:embed="rId3" cstate="print"/>
        <a:srcRect/>
        <a:stretch>
          <a:fillRect/>
        </a:stretch>
      </xdr:blipFill>
      <xdr:spPr bwMode="auto">
        <a:xfrm>
          <a:off x="10172700" y="3800475"/>
          <a:ext cx="7248525" cy="1943099"/>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xdr:colOff>
      <xdr:row>8</xdr:row>
      <xdr:rowOff>0</xdr:rowOff>
    </xdr:from>
    <xdr:to>
      <xdr:col>0</xdr:col>
      <xdr:colOff>266700</xdr:colOff>
      <xdr:row>9</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2209800" y="33528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twoCellAnchor>
    <xdr:from>
      <xdr:col>0</xdr:col>
      <xdr:colOff>19050</xdr:colOff>
      <xdr:row>8</xdr:row>
      <xdr:rowOff>0</xdr:rowOff>
    </xdr:from>
    <xdr:to>
      <xdr:col>0</xdr:col>
      <xdr:colOff>266700</xdr:colOff>
      <xdr:row>9</xdr:row>
      <xdr:rowOff>95250</xdr:rowOff>
    </xdr:to>
    <xdr:sp macro="" textlink="">
      <xdr:nvSpPr>
        <xdr:cNvPr id="3" name="11 Flecha izquierda">
          <a:hlinkClick xmlns:r="http://schemas.openxmlformats.org/officeDocument/2006/relationships" r:id="rId2"/>
        </xdr:cNvPr>
        <xdr:cNvSpPr>
          <a:spLocks noChangeArrowheads="1"/>
        </xdr:cNvSpPr>
      </xdr:nvSpPr>
      <xdr:spPr bwMode="auto">
        <a:xfrm>
          <a:off x="2209800" y="33528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19050</xdr:colOff>
      <xdr:row>9</xdr:row>
      <xdr:rowOff>0</xdr:rowOff>
    </xdr:from>
    <xdr:to>
      <xdr:col>0</xdr:col>
      <xdr:colOff>266700</xdr:colOff>
      <xdr:row>10</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1352550" y="1004887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xdr:colOff>
      <xdr:row>16</xdr:row>
      <xdr:rowOff>0</xdr:rowOff>
    </xdr:from>
    <xdr:to>
      <xdr:col>0</xdr:col>
      <xdr:colOff>266700</xdr:colOff>
      <xdr:row>17</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1352550" y="10048875"/>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19050</xdr:colOff>
      <xdr:row>16</xdr:row>
      <xdr:rowOff>0</xdr:rowOff>
    </xdr:from>
    <xdr:to>
      <xdr:col>0</xdr:col>
      <xdr:colOff>266700</xdr:colOff>
      <xdr:row>17</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895350" y="889635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19050</xdr:colOff>
      <xdr:row>7</xdr:row>
      <xdr:rowOff>0</xdr:rowOff>
    </xdr:from>
    <xdr:to>
      <xdr:col>0</xdr:col>
      <xdr:colOff>266700</xdr:colOff>
      <xdr:row>8</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895350" y="57531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19050</xdr:colOff>
      <xdr:row>9</xdr:row>
      <xdr:rowOff>0</xdr:rowOff>
    </xdr:from>
    <xdr:to>
      <xdr:col>0</xdr:col>
      <xdr:colOff>266700</xdr:colOff>
      <xdr:row>10</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781050" y="241935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200025</xdr:colOff>
      <xdr:row>2</xdr:row>
      <xdr:rowOff>0</xdr:rowOff>
    </xdr:from>
    <xdr:to>
      <xdr:col>4</xdr:col>
      <xdr:colOff>342900</xdr:colOff>
      <xdr:row>6</xdr:row>
      <xdr:rowOff>0</xdr:rowOff>
    </xdr:to>
    <xdr:pic>
      <xdr:nvPicPr>
        <xdr:cNvPr id="2" name="Imagen 2"/>
        <xdr:cNvPicPr>
          <a:picLocks noChangeAspect="1"/>
        </xdr:cNvPicPr>
      </xdr:nvPicPr>
      <xdr:blipFill>
        <a:blip xmlns:r="http://schemas.openxmlformats.org/officeDocument/2006/relationships" r:embed="rId1" cstate="print"/>
        <a:srcRect/>
        <a:stretch>
          <a:fillRect/>
        </a:stretch>
      </xdr:blipFill>
      <xdr:spPr bwMode="auto">
        <a:xfrm>
          <a:off x="6486525" y="419100"/>
          <a:ext cx="1666875" cy="1771650"/>
        </a:xfrm>
        <a:prstGeom prst="rect">
          <a:avLst/>
        </a:prstGeom>
        <a:noFill/>
        <a:ln w="9525">
          <a:noFill/>
          <a:miter lim="800000"/>
          <a:headEnd/>
          <a:tailEnd/>
        </a:ln>
      </xdr:spPr>
    </xdr:pic>
    <xdr:clientData/>
  </xdr:twoCellAnchor>
  <xdr:twoCellAnchor>
    <xdr:from>
      <xdr:col>1</xdr:col>
      <xdr:colOff>0</xdr:colOff>
      <xdr:row>17</xdr:row>
      <xdr:rowOff>0</xdr:rowOff>
    </xdr:from>
    <xdr:to>
      <xdr:col>1</xdr:col>
      <xdr:colOff>219075</xdr:colOff>
      <xdr:row>18</xdr:row>
      <xdr:rowOff>57150</xdr:rowOff>
    </xdr:to>
    <xdr:sp macro="" textlink="">
      <xdr:nvSpPr>
        <xdr:cNvPr id="3" name="11 Flecha izquierda">
          <a:hlinkClick xmlns:r="http://schemas.openxmlformats.org/officeDocument/2006/relationships" r:id="rId2"/>
        </xdr:cNvPr>
        <xdr:cNvSpPr>
          <a:spLocks noChangeArrowheads="1"/>
        </xdr:cNvSpPr>
      </xdr:nvSpPr>
      <xdr:spPr bwMode="auto">
        <a:xfrm>
          <a:off x="1390650" y="8210550"/>
          <a:ext cx="219075" cy="257175"/>
        </a:xfrm>
        <a:prstGeom prst="leftArrow">
          <a:avLst>
            <a:gd name="adj1" fmla="val 50000"/>
            <a:gd name="adj2" fmla="val 51514"/>
          </a:avLst>
        </a:prstGeom>
        <a:solidFill>
          <a:srgbClr val="1F497D"/>
        </a:solidFill>
        <a:ln w="9525" algn="ctr">
          <a:solidFill>
            <a:srgbClr val="000000"/>
          </a:solidFill>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19050</xdr:colOff>
      <xdr:row>15</xdr:row>
      <xdr:rowOff>0</xdr:rowOff>
    </xdr:from>
    <xdr:to>
      <xdr:col>0</xdr:col>
      <xdr:colOff>266700</xdr:colOff>
      <xdr:row>16</xdr:row>
      <xdr:rowOff>95250</xdr:rowOff>
    </xdr:to>
    <xdr:sp macro="" textlink="">
      <xdr:nvSpPr>
        <xdr:cNvPr id="2" name="11 Flecha izquierda">
          <a:hlinkClick xmlns:r="http://schemas.openxmlformats.org/officeDocument/2006/relationships" r:id="rId1"/>
        </xdr:cNvPr>
        <xdr:cNvSpPr>
          <a:spLocks noChangeArrowheads="1"/>
        </xdr:cNvSpPr>
      </xdr:nvSpPr>
      <xdr:spPr bwMode="auto">
        <a:xfrm>
          <a:off x="895350" y="57531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761999</xdr:colOff>
      <xdr:row>2</xdr:row>
      <xdr:rowOff>180974</xdr:rowOff>
    </xdr:from>
    <xdr:to>
      <xdr:col>11</xdr:col>
      <xdr:colOff>752474</xdr:colOff>
      <xdr:row>14</xdr:row>
      <xdr:rowOff>95249</xdr:rowOff>
    </xdr:to>
    <xdr:pic>
      <xdr:nvPicPr>
        <xdr:cNvPr id="2" name="1 Imagen"/>
        <xdr:cNvPicPr/>
      </xdr:nvPicPr>
      <xdr:blipFill>
        <a:blip xmlns:r="http://schemas.openxmlformats.org/officeDocument/2006/relationships" r:embed="rId1" cstate="print"/>
        <a:srcRect/>
        <a:stretch>
          <a:fillRect/>
        </a:stretch>
      </xdr:blipFill>
      <xdr:spPr bwMode="auto">
        <a:xfrm>
          <a:off x="4914899" y="600074"/>
          <a:ext cx="5324475" cy="4067175"/>
        </a:xfrm>
        <a:prstGeom prst="rect">
          <a:avLst/>
        </a:prstGeom>
        <a:noFill/>
        <a:ln w="9525">
          <a:noFill/>
          <a:miter lim="800000"/>
          <a:headEnd/>
          <a:tailEnd/>
        </a:ln>
      </xdr:spPr>
    </xdr:pic>
    <xdr:clientData/>
  </xdr:twoCellAnchor>
  <xdr:twoCellAnchor>
    <xdr:from>
      <xdr:col>0</xdr:col>
      <xdr:colOff>19050</xdr:colOff>
      <xdr:row>16</xdr:row>
      <xdr:rowOff>0</xdr:rowOff>
    </xdr:from>
    <xdr:to>
      <xdr:col>0</xdr:col>
      <xdr:colOff>266700</xdr:colOff>
      <xdr:row>17</xdr:row>
      <xdr:rowOff>95250</xdr:rowOff>
    </xdr:to>
    <xdr:sp macro="" textlink="">
      <xdr:nvSpPr>
        <xdr:cNvPr id="3" name="11 Flecha izquierda">
          <a:hlinkClick xmlns:r="http://schemas.openxmlformats.org/officeDocument/2006/relationships" r:id="rId2"/>
        </xdr:cNvPr>
        <xdr:cNvSpPr>
          <a:spLocks noChangeArrowheads="1"/>
        </xdr:cNvSpPr>
      </xdr:nvSpPr>
      <xdr:spPr bwMode="auto">
        <a:xfrm>
          <a:off x="895350" y="68961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0</xdr:colOff>
      <xdr:row>3</xdr:row>
      <xdr:rowOff>142875</xdr:rowOff>
    </xdr:from>
    <xdr:to>
      <xdr:col>5</xdr:col>
      <xdr:colOff>1581150</xdr:colOff>
      <xdr:row>11</xdr:row>
      <xdr:rowOff>171450</xdr:rowOff>
    </xdr:to>
    <xdr:pic>
      <xdr:nvPicPr>
        <xdr:cNvPr id="2" name="Imagen 2"/>
        <xdr:cNvPicPr>
          <a:picLocks noChangeAspect="1"/>
        </xdr:cNvPicPr>
      </xdr:nvPicPr>
      <xdr:blipFill>
        <a:blip xmlns:r="http://schemas.openxmlformats.org/officeDocument/2006/relationships" r:embed="rId1" cstate="print"/>
        <a:srcRect/>
        <a:stretch>
          <a:fillRect/>
        </a:stretch>
      </xdr:blipFill>
      <xdr:spPr bwMode="auto">
        <a:xfrm>
          <a:off x="5419725" y="542925"/>
          <a:ext cx="1581150" cy="1628775"/>
        </a:xfrm>
        <a:prstGeom prst="rect">
          <a:avLst/>
        </a:prstGeom>
        <a:noFill/>
        <a:ln w="9525">
          <a:noFill/>
          <a:miter lim="800000"/>
          <a:headEnd/>
          <a:tailEnd/>
        </a:ln>
      </xdr:spPr>
    </xdr:pic>
    <xdr:clientData/>
  </xdr:twoCellAnchor>
  <xdr:twoCellAnchor>
    <xdr:from>
      <xdr:col>4</xdr:col>
      <xdr:colOff>123825</xdr:colOff>
      <xdr:row>12</xdr:row>
      <xdr:rowOff>38100</xdr:rowOff>
    </xdr:from>
    <xdr:to>
      <xdr:col>4</xdr:col>
      <xdr:colOff>790575</xdr:colOff>
      <xdr:row>13</xdr:row>
      <xdr:rowOff>38100</xdr:rowOff>
    </xdr:to>
    <xdr:sp macro="" textlink="">
      <xdr:nvSpPr>
        <xdr:cNvPr id="4" name="3 Flecha izquierda y derecha"/>
        <xdr:cNvSpPr/>
      </xdr:nvSpPr>
      <xdr:spPr>
        <a:xfrm>
          <a:off x="5229225" y="2438400"/>
          <a:ext cx="666750" cy="400050"/>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p>
      </xdr:txBody>
    </xdr:sp>
    <xdr:clientData/>
  </xdr:twoCellAnchor>
  <xdr:twoCellAnchor>
    <xdr:from>
      <xdr:col>1</xdr:col>
      <xdr:colOff>19050</xdr:colOff>
      <xdr:row>28</xdr:row>
      <xdr:rowOff>0</xdr:rowOff>
    </xdr:from>
    <xdr:to>
      <xdr:col>1</xdr:col>
      <xdr:colOff>266700</xdr:colOff>
      <xdr:row>29</xdr:row>
      <xdr:rowOff>95250</xdr:rowOff>
    </xdr:to>
    <xdr:sp macro="" textlink="">
      <xdr:nvSpPr>
        <xdr:cNvPr id="5" name="11 Flecha izquierda">
          <a:hlinkClick xmlns:r="http://schemas.openxmlformats.org/officeDocument/2006/relationships" r:id="rId2"/>
        </xdr:cNvPr>
        <xdr:cNvSpPr>
          <a:spLocks noChangeArrowheads="1"/>
        </xdr:cNvSpPr>
      </xdr:nvSpPr>
      <xdr:spPr bwMode="auto">
        <a:xfrm>
          <a:off x="19050" y="9829800"/>
          <a:ext cx="247650" cy="295275"/>
        </a:xfrm>
        <a:prstGeom prst="leftArrow">
          <a:avLst>
            <a:gd name="adj1" fmla="val 50000"/>
            <a:gd name="adj2" fmla="val 50000"/>
          </a:avLst>
        </a:prstGeom>
        <a:solidFill>
          <a:srgbClr val="1F497D"/>
        </a:solidFill>
        <a:ln w="9525" algn="ctr">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REVISORIA1\Escritorio\CICLOS\LEGAJO%20CORRIENTE\CICLO%20ADMINISTRACION%20FINANCIERA\INVERSIONES\ESTADOS%20FINANCIER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REVISORIA1/Escritorio/CICLOS/LEGAJO%20CORRIENTE/CICLO%20ADMINISTRACION%20FINANCIERA/INVERSIONES/ESTADOS%20FINANCIER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redy_marin\c\jhon\WINDOWS\Archivos%20temporales%20de%20Internet\Content.IE5\GPA10DM3\PYG060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sclient\C\Documents%20and%20Settings\MARIA%20ELENA\Configuraci&#243;n%20local\Archivos%20temporales%20de%20Internet\OLKB\PROVISION%20PROVEEDORES%20NOVIEMBR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1\NataliaR\CONFIG~1\Temp\Rar$DI00.875\Documents%20and%20Settings\Iris_Andrade\Configuraci&#243;n%20local\Archivos%20temporales%20de%20Internet\Content.IE5\2LYB0DE3\PLANTA-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1/NataliaR/CONFIG~1/Temp/Rar$DI00.875/Documents%20and%20Settings/Iris_Andrade/Configuraci&#243;n%20local/Archivos%20temporales%20de%20Internet/Content.IE5/2LYB0DE3/PLANTA-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1\NataliaR\CONFIG~1\Temp\Rar$DI00.875\data\Excel%20bvc\Planta\PLANTA-9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1/NataliaR/CONFIG~1/Temp/Rar$DI00.875/data/Excel%20bvc/Planta/PLANTA-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ocuments%20and%20Settings\MARIA%20ELENA\Configuraci&#243;n%20local\Archivos%20temporales%20de%20Internet\OLKB\PROVISION%20PROVEEDORES%20NOVIEMBR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MARIA%20ELENA/Configuraci&#243;n%20local/Archivos%20temporales%20de%20Internet/OLKB/PROVISION%20PROVEEDORES%20NOVIEMBR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2007\MEDIOS%202006\n101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07/MEDIOS%202006/n101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HP\Documents\ADMINISTRACION\BVC\PROVISION%20RENTA%202008\PROVISION%20RENTA%20NOV%202008%20BVC\PROVISION%20PROVEEDORES%20SEPTIEMBRE%2020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HP/Documents/ADMINISTRACION/BVC/PROVISION%20RENTA%202008/PROVISION%20RENTA%20NOV%202008%20BVC/PROVISION%20PROVEEDORES%20SEPTIEMBRE%2020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1\NataliaR\CONFIG~1\Temp\Rar$DI00.875\Claker%20Modet\n1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1/NataliaR/CONFIG~1/Temp/Rar$DI00.875/Claker%20Modet/n10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sclient\C\Documents%20and%20Settings\impuestos2\Configuraci&#243;n%20local\Archivos%20temporales%20de%20Internet\OLK2\Consolidado%20de%20Proyectos%20Final%2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UME~1\GERENC~1\CONFIG~1\Temp\PLANTA-9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1\NataliaR\CONFIG~1\Temp\Rar$DI00.875\Datos\a&#241;o2007\Provis%20a&#241;o%202007\Documents%20and%20Settings\nlozano\Local%20Settings\Temporary%20Internet%20Files\OLK19\ANEXOC%202003%20PARA%20SOCIEDAD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CUME~1/NataliaR/CONFIG~1/Temp/Rar$DI00.875/Datos/a&#241;o2007/Provis%20a&#241;o%202007/Documents%20and%20Settings/nlozano/Local%20Settings/Temporary%20Internet%20Files/OLK19/ANEXOC%202003%20PARA%20SOCIEDAD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em924\prueb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Margarita_Mantilla\Configuraci&#243;n%20local\Archivos%20temporales%20de%20Internet\OLK516\PROVISION%20PROVEEDORES%20DICIEMB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Margarita_Mantilla/Configuraci&#243;n%20local/Archivos%20temporales%20de%20Internet/OLK516/PROVISION%20PROVEEDORES%20DICIEMBR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FINAN"/>
      <sheetName val="Datos Fisc"/>
    </sheetNames>
    <sheetDataSet>
      <sheetData sheetId="0">
        <row r="1">
          <cell r="A1" t="str">
            <v>Cuenta</v>
          </cell>
          <cell r="B1" t="str">
            <v>Texto p.posición balance/PyG</v>
          </cell>
          <cell r="C1" t="str">
            <v>Total per.informe</v>
          </cell>
        </row>
        <row r="2">
          <cell r="A2" t="str">
            <v/>
          </cell>
          <cell r="B2" t="str">
            <v>1. Activos</v>
          </cell>
          <cell r="C2">
            <v>0</v>
          </cell>
        </row>
        <row r="3">
          <cell r="A3" t="str">
            <v/>
          </cell>
          <cell r="B3" t="str">
            <v>11. Disponible</v>
          </cell>
          <cell r="C3">
            <v>0</v>
          </cell>
        </row>
        <row r="4">
          <cell r="A4" t="str">
            <v/>
          </cell>
          <cell r="B4" t="str">
            <v>1105. Caja</v>
          </cell>
          <cell r="C4">
            <v>0</v>
          </cell>
        </row>
        <row r="5">
          <cell r="A5" t="str">
            <v/>
          </cell>
          <cell r="B5" t="str">
            <v>110505. Caja General</v>
          </cell>
          <cell r="C5">
            <v>0</v>
          </cell>
        </row>
        <row r="6">
          <cell r="A6" t="str">
            <v>110505001</v>
          </cell>
          <cell r="B6" t="str">
            <v>110505001 CAJA  EFECTIVO AYC</v>
          </cell>
          <cell r="C6">
            <v>0</v>
          </cell>
        </row>
        <row r="7">
          <cell r="A7" t="str">
            <v>110505002</v>
          </cell>
          <cell r="B7" t="str">
            <v>110505002 CAJA  CHEQUES AYC</v>
          </cell>
          <cell r="C7">
            <v>34117680</v>
          </cell>
        </row>
        <row r="8">
          <cell r="A8" t="str">
            <v>110505011</v>
          </cell>
          <cell r="B8" t="str">
            <v>110505011 INGRESOS A CAJA</v>
          </cell>
          <cell r="C8">
            <v>0</v>
          </cell>
        </row>
        <row r="9">
          <cell r="A9" t="str">
            <v/>
          </cell>
          <cell r="B9" t="str">
            <v>110505 Caja General</v>
          </cell>
          <cell r="C9">
            <v>34117680</v>
          </cell>
        </row>
        <row r="10">
          <cell r="A10" t="str">
            <v/>
          </cell>
          <cell r="B10" t="str">
            <v>110510. Caja Menor</v>
          </cell>
          <cell r="C10">
            <v>0</v>
          </cell>
        </row>
        <row r="11">
          <cell r="A11" t="str">
            <v>110510001</v>
          </cell>
          <cell r="B11" t="str">
            <v>110510001 CAJA MENOR- ALEXANDRA MEJIA (PEREIRA)</v>
          </cell>
          <cell r="C11">
            <v>5000000</v>
          </cell>
        </row>
        <row r="12">
          <cell r="A12" t="str">
            <v>110510002</v>
          </cell>
          <cell r="B12" t="str">
            <v>110510002 CAJA MENOR-LILIANA GUERRERO (BARRANQUILLA)</v>
          </cell>
          <cell r="C12">
            <v>4000000</v>
          </cell>
        </row>
        <row r="13">
          <cell r="A13" t="str">
            <v>110510003</v>
          </cell>
          <cell r="B13" t="str">
            <v>110510003 CAJA MENOR-LIGIA MALDONADO (BOGOTA)</v>
          </cell>
          <cell r="C13">
            <v>11000000</v>
          </cell>
        </row>
        <row r="14">
          <cell r="A14" t="str">
            <v>110510005</v>
          </cell>
          <cell r="B14" t="str">
            <v>110510005 CAJA MENOR-LIBIA TRIANA(MEDELLIN)</v>
          </cell>
          <cell r="C14">
            <v>6000000</v>
          </cell>
        </row>
        <row r="15">
          <cell r="A15" t="str">
            <v>110510006</v>
          </cell>
          <cell r="B15" t="str">
            <v>110510006 CAJA MENOR-FONDO PARA GASTOS BUCARAMANGA</v>
          </cell>
          <cell r="C15">
            <v>0</v>
          </cell>
        </row>
        <row r="16">
          <cell r="A16" t="str">
            <v>110510007</v>
          </cell>
          <cell r="B16" t="str">
            <v>110510007 CAJA MENOR-YAMILEA LAURIDO (CALI)</v>
          </cell>
          <cell r="C16">
            <v>3000000</v>
          </cell>
        </row>
        <row r="17">
          <cell r="A17" t="str">
            <v/>
          </cell>
          <cell r="B17" t="str">
            <v>110510 Caja Menor</v>
          </cell>
          <cell r="C17">
            <v>29000000</v>
          </cell>
        </row>
        <row r="18">
          <cell r="A18" t="str">
            <v/>
          </cell>
          <cell r="B18" t="str">
            <v>Total 1105 Caja</v>
          </cell>
          <cell r="C18">
            <v>63117680</v>
          </cell>
        </row>
        <row r="19">
          <cell r="A19" t="str">
            <v/>
          </cell>
          <cell r="B19" t="str">
            <v>1110. Bancos y Otras Entidades</v>
          </cell>
          <cell r="C19">
            <v>0</v>
          </cell>
        </row>
        <row r="20">
          <cell r="A20" t="str">
            <v/>
          </cell>
          <cell r="B20" t="str">
            <v>111005. Bancos Comerciales</v>
          </cell>
          <cell r="C20">
            <v>0</v>
          </cell>
        </row>
        <row r="21">
          <cell r="A21" t="str">
            <v>111005000</v>
          </cell>
          <cell r="B21" t="str">
            <v>111005000 BANCAFE CUENTA CTE # 42990051  Concilia.</v>
          </cell>
          <cell r="C21">
            <v>717247383</v>
          </cell>
        </row>
        <row r="22">
          <cell r="A22" t="str">
            <v>111005001</v>
          </cell>
          <cell r="B22" t="str">
            <v>111005001 BANCAFE CUENTA CTE # 42990051  Entradas</v>
          </cell>
          <cell r="C22">
            <v>347828317</v>
          </cell>
        </row>
        <row r="23">
          <cell r="A23" t="str">
            <v>111005002</v>
          </cell>
          <cell r="B23" t="str">
            <v>111005002 BANCAFE CUENTA CTE # 42990051  Ch. Emitidos</v>
          </cell>
          <cell r="C23">
            <v>-26840530</v>
          </cell>
        </row>
        <row r="24">
          <cell r="A24" t="str">
            <v>111005003</v>
          </cell>
          <cell r="B24" t="str">
            <v>111005003 BANCAFE CUENTA CTE # 42990051  Ch. Entregados</v>
          </cell>
          <cell r="C24">
            <v>15239486</v>
          </cell>
        </row>
        <row r="25">
          <cell r="A25" t="str">
            <v>111005010</v>
          </cell>
          <cell r="B25" t="str">
            <v>111005010 BANCO POPULAR CUENTA  CTE #063120695   Concilia.</v>
          </cell>
          <cell r="C25">
            <v>0</v>
          </cell>
        </row>
        <row r="26">
          <cell r="A26" t="str">
            <v>111005011</v>
          </cell>
          <cell r="B26" t="str">
            <v>111005011 BANCO POPULAR CUENTA  CTE #063120695  Entradas</v>
          </cell>
          <cell r="C26">
            <v>0</v>
          </cell>
        </row>
        <row r="27">
          <cell r="A27" t="str">
            <v>111005013</v>
          </cell>
          <cell r="B27" t="str">
            <v>111005013 BANCO POPULAR CUENTA  CTE #063120695 Ch.Entregados</v>
          </cell>
          <cell r="C27">
            <v>0</v>
          </cell>
        </row>
        <row r="28">
          <cell r="A28" t="str">
            <v>111005020</v>
          </cell>
          <cell r="B28" t="str">
            <v>111005020 BANCO DE BOGOTA CUENTA CTE # 78063674 Concilia.</v>
          </cell>
          <cell r="C28">
            <v>1467761679</v>
          </cell>
        </row>
        <row r="29">
          <cell r="A29" t="str">
            <v>111005021</v>
          </cell>
          <cell r="B29" t="str">
            <v>111005021 BANCO DE BOGOTA CUENTA CTE # 78063674 Entradas</v>
          </cell>
          <cell r="C29">
            <v>-516706426</v>
          </cell>
        </row>
        <row r="30">
          <cell r="A30" t="str">
            <v>111005022</v>
          </cell>
          <cell r="B30" t="str">
            <v>111005022 BANCO DE BOGOTA CUENTA CTE # 78063674 Ch. Emitidos</v>
          </cell>
          <cell r="C30">
            <v>0</v>
          </cell>
        </row>
        <row r="31">
          <cell r="A31" t="str">
            <v>111005023</v>
          </cell>
          <cell r="B31" t="str">
            <v>111005023 BANCO DE BOGOTA CUENTA CTE # 78063674 Ch. Entregad</v>
          </cell>
          <cell r="C31">
            <v>497066760</v>
          </cell>
        </row>
        <row r="32">
          <cell r="A32" t="str">
            <v>111005030</v>
          </cell>
          <cell r="B32" t="str">
            <v>111005030 MEGABANCO CUENTA  CTE # 7035-700018  Concilia.</v>
          </cell>
          <cell r="C32">
            <v>223255890</v>
          </cell>
        </row>
        <row r="33">
          <cell r="A33" t="str">
            <v>111005031</v>
          </cell>
          <cell r="B33" t="str">
            <v>111005031 MEGABANCO CUENTA  CTE # 7035-700018   Entradas</v>
          </cell>
          <cell r="C33">
            <v>3590066202</v>
          </cell>
        </row>
        <row r="34">
          <cell r="A34" t="str">
            <v>111005032</v>
          </cell>
          <cell r="B34" t="str">
            <v>111005032 MEGABANCO CUENTA  CTE # 7035-700018   Ch. Emitidos</v>
          </cell>
          <cell r="C34">
            <v>-3626222756</v>
          </cell>
        </row>
        <row r="35">
          <cell r="A35" t="str">
            <v>111005033</v>
          </cell>
          <cell r="B35" t="str">
            <v>111005033 MEGABANCO CUENTA  CTE # 7035-700018   Ch. Entregad</v>
          </cell>
          <cell r="C35">
            <v>0</v>
          </cell>
        </row>
        <row r="36">
          <cell r="A36" t="str">
            <v>111005040</v>
          </cell>
          <cell r="B36" t="str">
            <v>111005040 BANCOLOMBIA CUENTA CTE # 1960640727  Concilia.</v>
          </cell>
          <cell r="C36">
            <v>0</v>
          </cell>
        </row>
        <row r="37">
          <cell r="A37" t="str">
            <v>111005041</v>
          </cell>
          <cell r="B37" t="str">
            <v>111005041 BANCOLOMBIA CUENTA CTE # 1960640727   Entradas</v>
          </cell>
          <cell r="C37">
            <v>0</v>
          </cell>
        </row>
        <row r="38">
          <cell r="A38" t="str">
            <v>111005043</v>
          </cell>
          <cell r="B38" t="str">
            <v>111005043 BANCOLOMBIA CUENTA CTE # 1960640727   Ch. Entregad</v>
          </cell>
          <cell r="C38">
            <v>0</v>
          </cell>
        </row>
        <row r="39">
          <cell r="A39" t="str">
            <v>111005050</v>
          </cell>
          <cell r="B39" t="str">
            <v>111005050 MEGABANCO(PEREIRA)CUENTA CTE 7276-70045 Concilia</v>
          </cell>
          <cell r="C39">
            <v>717549</v>
          </cell>
        </row>
        <row r="40">
          <cell r="A40" t="str">
            <v>111005051</v>
          </cell>
          <cell r="B40" t="str">
            <v>111005051 MEGABANCO(PEREIRA)CUENTA CTE 7276-70045 Entrada</v>
          </cell>
          <cell r="C40">
            <v>99888397</v>
          </cell>
        </row>
        <row r="41">
          <cell r="A41" t="str">
            <v>111005052</v>
          </cell>
          <cell r="B41" t="str">
            <v>111005052 MEGABANCO(PEREIRA)CUENTA CTE 7276-70045 Ch.Emitido</v>
          </cell>
          <cell r="C41">
            <v>-91732162</v>
          </cell>
        </row>
        <row r="42">
          <cell r="A42" t="str">
            <v>111005053</v>
          </cell>
          <cell r="B42" t="str">
            <v>111005053 MEGABANCO(PEREIRA)CUENTA CTE 7276-70045 Ch.Entrega</v>
          </cell>
          <cell r="C42">
            <v>0</v>
          </cell>
        </row>
        <row r="43">
          <cell r="A43" t="str">
            <v>111005061</v>
          </cell>
          <cell r="B43" t="str">
            <v>111005061 BANCO DE BOGOTA CTA # 07808742-6    AYC</v>
          </cell>
          <cell r="C43">
            <v>243913718</v>
          </cell>
        </row>
        <row r="44">
          <cell r="A44" t="str">
            <v>111005062</v>
          </cell>
          <cell r="B44" t="str">
            <v>111005062 BANCO COLOMBIA BIC SALITRE 001996-9   AYC</v>
          </cell>
          <cell r="C44">
            <v>244616058</v>
          </cell>
        </row>
        <row r="45">
          <cell r="A45" t="str">
            <v>111005064</v>
          </cell>
          <cell r="B45" t="str">
            <v>111005064 BANCO AGRARIO CTA # 3028-0000004-4  AYC</v>
          </cell>
          <cell r="C45">
            <v>10838596</v>
          </cell>
        </row>
        <row r="46">
          <cell r="A46" t="str">
            <v>111005066</v>
          </cell>
          <cell r="B46" t="str">
            <v>111005066 BANCAFE  Cta 038990149  AYC</v>
          </cell>
          <cell r="C46">
            <v>442271905</v>
          </cell>
        </row>
        <row r="47">
          <cell r="A47" t="str">
            <v>111005067</v>
          </cell>
          <cell r="B47" t="str">
            <v>111005067 BANCOLOMBIA  17124252885 AYC</v>
          </cell>
          <cell r="C47">
            <v>152113725</v>
          </cell>
        </row>
        <row r="48">
          <cell r="A48" t="str">
            <v>111005068</v>
          </cell>
          <cell r="B48" t="str">
            <v>111005068 DAVIVIENDA  Cta. 007969999502 AYC</v>
          </cell>
          <cell r="C48">
            <v>-1</v>
          </cell>
        </row>
        <row r="49">
          <cell r="A49" t="str">
            <v>111005069</v>
          </cell>
          <cell r="B49" t="str">
            <v>111005069 COLMENA  Cta Cte  14750016832 AYC</v>
          </cell>
          <cell r="C49">
            <v>5217828</v>
          </cell>
        </row>
        <row r="50">
          <cell r="A50" t="str">
            <v>111005070</v>
          </cell>
          <cell r="B50" t="str">
            <v>111005070 MEGABANCO AYC</v>
          </cell>
          <cell r="C50">
            <v>78591755</v>
          </cell>
        </row>
        <row r="51">
          <cell r="A51" t="str">
            <v>111005071</v>
          </cell>
          <cell r="B51" t="str">
            <v>111005071 BBVA  AYC #180015844 AYC</v>
          </cell>
          <cell r="C51">
            <v>28930352</v>
          </cell>
        </row>
        <row r="52">
          <cell r="A52" t="str">
            <v>111005080</v>
          </cell>
          <cell r="B52" t="str">
            <v>111005080 MEGABANCO (B/Q) CUENTA CTE #  7376-70076-8 Concili</v>
          </cell>
          <cell r="C52">
            <v>54244413</v>
          </cell>
        </row>
        <row r="53">
          <cell r="A53" t="str">
            <v>111005081</v>
          </cell>
          <cell r="B53" t="str">
            <v>111005081 MEGABANCO (B/Q) CUENTA CTE #  7376-70076-8 Entrada</v>
          </cell>
          <cell r="C53">
            <v>174647705</v>
          </cell>
        </row>
        <row r="54">
          <cell r="A54" t="str">
            <v>111005082</v>
          </cell>
          <cell r="B54" t="str">
            <v>111005082 MEGABANCO (B/Q) CUENTA CTE #  7376-70076-8 Ch.Emit</v>
          </cell>
          <cell r="C54">
            <v>-159656118</v>
          </cell>
        </row>
        <row r="55">
          <cell r="A55" t="str">
            <v>111005083</v>
          </cell>
          <cell r="B55" t="str">
            <v>111005083 MEGABANCO (B/Q) CUENTA CTE #  7376-70076-8 Ch.Entr</v>
          </cell>
          <cell r="C55">
            <v>-69236000</v>
          </cell>
        </row>
        <row r="56">
          <cell r="A56" t="str">
            <v>111005090</v>
          </cell>
          <cell r="B56" t="str">
            <v>111005090 BCO DE OCCIDENTE CUENTA  CTE # 225-05282 Concilia</v>
          </cell>
          <cell r="C56">
            <v>713966607</v>
          </cell>
        </row>
        <row r="57">
          <cell r="A57" t="str">
            <v>111005091</v>
          </cell>
          <cell r="B57" t="str">
            <v>111005091 BCO DE OCCIDENTE CUENTA  CTE # 225-05282 Entradas</v>
          </cell>
          <cell r="C57">
            <v>-6246250</v>
          </cell>
        </row>
        <row r="58">
          <cell r="A58" t="str">
            <v>111005092</v>
          </cell>
          <cell r="B58" t="str">
            <v>111005092 BCO DE OCCIDENTE CUENTA  CTE # 225-05282 Ch.Emitid</v>
          </cell>
          <cell r="C58">
            <v>-64883420</v>
          </cell>
        </row>
        <row r="59">
          <cell r="A59" t="str">
            <v>111005093</v>
          </cell>
          <cell r="B59" t="str">
            <v>111005093 BCO DE OCCIDENTE CUENTA  CTE # 225-05282 Ch.Entreg</v>
          </cell>
          <cell r="C59">
            <v>-494720400</v>
          </cell>
        </row>
        <row r="60">
          <cell r="A60" t="str">
            <v>111005100</v>
          </cell>
          <cell r="B60" t="str">
            <v>111005100 BANCO AGRARIO CUENTA CTE 3192000042-4 Concilia</v>
          </cell>
          <cell r="C60">
            <v>1039859611</v>
          </cell>
        </row>
        <row r="61">
          <cell r="A61" t="str">
            <v>111005101</v>
          </cell>
          <cell r="B61" t="str">
            <v>111005101 BANCO AGRARIO CUENTA CTE 3192000042-4 Entradas</v>
          </cell>
          <cell r="C61">
            <v>3439793554</v>
          </cell>
        </row>
        <row r="62">
          <cell r="A62" t="str">
            <v>111005102</v>
          </cell>
          <cell r="B62" t="str">
            <v>111005102 BANCO AGRARIO CUENTA CTE 3192000042-4 Ch. Emitidos</v>
          </cell>
          <cell r="C62">
            <v>-1948576279</v>
          </cell>
        </row>
        <row r="63">
          <cell r="A63" t="str">
            <v>111005103</v>
          </cell>
          <cell r="B63" t="str">
            <v>111005103 BANCO AGRARIO CUENTA CTE 3192000042-4 Ch. Entregad</v>
          </cell>
          <cell r="C63">
            <v>-1797878684</v>
          </cell>
        </row>
        <row r="64">
          <cell r="A64" t="str">
            <v>111005110</v>
          </cell>
          <cell r="B64" t="str">
            <v>111005110 MEGABANCO CL 100  CUENTA CTE # 7035702940 Concilia</v>
          </cell>
          <cell r="C64">
            <v>360730724</v>
          </cell>
        </row>
        <row r="65">
          <cell r="A65" t="str">
            <v>111005111</v>
          </cell>
          <cell r="B65" t="str">
            <v>111005111 MEGABANCO CL 100  CUENTA CTE # 7035702940 Entrada</v>
          </cell>
          <cell r="C65">
            <v>-6801355</v>
          </cell>
        </row>
        <row r="66">
          <cell r="A66" t="str">
            <v>111005113</v>
          </cell>
          <cell r="B66" t="str">
            <v>111005113 MEGABANCO CL 100  CUENTA CTE # 7035702940 Ch.Entre</v>
          </cell>
          <cell r="C66">
            <v>34360841</v>
          </cell>
        </row>
        <row r="67">
          <cell r="A67" t="str">
            <v>111005120</v>
          </cell>
          <cell r="B67" t="str">
            <v>111005120 BANCOLOMBIA (SAL) CUENTA CTE 171-050155-54 Concili</v>
          </cell>
          <cell r="C67">
            <v>100462606</v>
          </cell>
        </row>
        <row r="68">
          <cell r="A68" t="str">
            <v>111005121</v>
          </cell>
          <cell r="B68" t="str">
            <v>111005121 BANCOLOMBIA (SAL) CUENTA CTE 171-050155-54 Entrad</v>
          </cell>
          <cell r="C68">
            <v>-76188499</v>
          </cell>
        </row>
        <row r="69">
          <cell r="A69" t="str">
            <v>111005123</v>
          </cell>
          <cell r="B69" t="str">
            <v>111005123 BANCOLOMBIA (SAL) CUENTA CTE 171-050155-54 Ch.Entr</v>
          </cell>
          <cell r="C69">
            <v>3794727</v>
          </cell>
        </row>
        <row r="70">
          <cell r="A70" t="str">
            <v>111005130</v>
          </cell>
          <cell r="B70" t="str">
            <v>111005130 BANCO COLPATRIA CUENTA CTE 4901001292 Concilia</v>
          </cell>
          <cell r="C70">
            <v>0</v>
          </cell>
        </row>
        <row r="71">
          <cell r="A71" t="str">
            <v>111005131</v>
          </cell>
          <cell r="B71" t="str">
            <v>111005131 BANCO COLPATRIA CUENTA CTE 4901001292 Entradas</v>
          </cell>
          <cell r="C71">
            <v>0</v>
          </cell>
        </row>
        <row r="72">
          <cell r="A72" t="str">
            <v>111005132</v>
          </cell>
          <cell r="B72" t="str">
            <v>111005132 BANCO COLPATRIA CUENTA CTE 4901001292 Ch.Emitidos</v>
          </cell>
          <cell r="C72">
            <v>0</v>
          </cell>
        </row>
        <row r="73">
          <cell r="A73" t="str">
            <v>111005133</v>
          </cell>
          <cell r="B73" t="str">
            <v>111005133 BANCO COLPATRIA CUENTA CTE 4901001292 Ch.Entregado</v>
          </cell>
          <cell r="C73">
            <v>0</v>
          </cell>
        </row>
        <row r="74">
          <cell r="A74" t="str">
            <v>111005140</v>
          </cell>
          <cell r="B74" t="str">
            <v>111005140 BANCO POPULAR  220065061566  Concilia</v>
          </cell>
          <cell r="C74">
            <v>9418555</v>
          </cell>
        </row>
        <row r="75">
          <cell r="A75" t="str">
            <v>111005141</v>
          </cell>
          <cell r="B75" t="str">
            <v>111005141 BANCO POPULAR  220065061566  Entradas</v>
          </cell>
          <cell r="C75">
            <v>-9409750</v>
          </cell>
        </row>
        <row r="76">
          <cell r="A76" t="str">
            <v>111005142</v>
          </cell>
          <cell r="B76" t="str">
            <v>111005142 BANCO POPULAR  220065061566  Ch.emitidos</v>
          </cell>
          <cell r="C76">
            <v>-30435197</v>
          </cell>
        </row>
        <row r="77">
          <cell r="A77" t="str">
            <v>111005143</v>
          </cell>
          <cell r="B77" t="str">
            <v>111005143 BANCO POPULAR  220065061566  Ch.entregados</v>
          </cell>
          <cell r="C77">
            <v>30615758</v>
          </cell>
        </row>
        <row r="78">
          <cell r="A78" t="str">
            <v>111005150</v>
          </cell>
          <cell r="B78" t="str">
            <v>111005150 MEGABANCO (RENTAYA) 3276-2217-1  Conciliatoria</v>
          </cell>
          <cell r="C78">
            <v>0</v>
          </cell>
        </row>
        <row r="79">
          <cell r="A79" t="str">
            <v>111005151</v>
          </cell>
          <cell r="B79" t="str">
            <v>111005151 MEGABANCO (RENTAYA) 3276-2217-1  Entradas</v>
          </cell>
          <cell r="C79">
            <v>0</v>
          </cell>
        </row>
        <row r="80">
          <cell r="A80" t="str">
            <v>111005153</v>
          </cell>
          <cell r="B80" t="str">
            <v>111005153 MEGABANCO (RENTAYA) 3276-2217-1  Ch. Entregados</v>
          </cell>
          <cell r="C80">
            <v>0</v>
          </cell>
        </row>
        <row r="81">
          <cell r="A81" t="str">
            <v>111005170</v>
          </cell>
          <cell r="B81" t="str">
            <v>111005170 COLMENA CTA CTE METROPOLIS 21500010427 Concilia.</v>
          </cell>
          <cell r="C81">
            <v>296890279</v>
          </cell>
        </row>
        <row r="82">
          <cell r="A82" t="str">
            <v>111005171</v>
          </cell>
          <cell r="B82" t="str">
            <v>111005171 COLMENA CTA CTE METROPOLIS 21500010427 Entradas</v>
          </cell>
          <cell r="C82">
            <v>0</v>
          </cell>
        </row>
        <row r="83">
          <cell r="A83" t="str">
            <v>111005172</v>
          </cell>
          <cell r="B83" t="str">
            <v>111005172 COLMENA CTA CTE METROPOLIS 21500010427 Ch.Emitido</v>
          </cell>
          <cell r="C83">
            <v>0</v>
          </cell>
        </row>
        <row r="84">
          <cell r="A84" t="str">
            <v>111005173</v>
          </cell>
          <cell r="B84" t="str">
            <v>111005173 COLMENA CTA CTE METROPOLIS 21500010427 Ch.Entrega</v>
          </cell>
          <cell r="C84">
            <v>0</v>
          </cell>
        </row>
        <row r="85">
          <cell r="A85" t="str">
            <v>111005180</v>
          </cell>
          <cell r="B85" t="str">
            <v>111005180 MEGABANCO CTE CALI 7120702690 CONCILIATORIA</v>
          </cell>
          <cell r="C85">
            <v>44341275</v>
          </cell>
        </row>
        <row r="86">
          <cell r="A86" t="str">
            <v>111005181</v>
          </cell>
          <cell r="B86" t="str">
            <v>111005181 MEGABANCO CTE CALI 7120702690 Entradas</v>
          </cell>
          <cell r="C86">
            <v>105332395</v>
          </cell>
        </row>
        <row r="87">
          <cell r="A87" t="str">
            <v>111005182</v>
          </cell>
          <cell r="B87" t="str">
            <v>111005182 MEGABANCO CTE CALI 7120702690 CH. emitidos</v>
          </cell>
          <cell r="C87">
            <v>-149673670</v>
          </cell>
        </row>
        <row r="88">
          <cell r="A88" t="str">
            <v>111005183</v>
          </cell>
          <cell r="B88" t="str">
            <v>111005183 MEGABANCO CTE CALI 7120702690 CH. entregados</v>
          </cell>
          <cell r="C88">
            <v>0</v>
          </cell>
        </row>
        <row r="89">
          <cell r="A89" t="str">
            <v>111005190</v>
          </cell>
          <cell r="B89" t="str">
            <v>111005190 BANCOLOMBIA CCTE(BIC SAL.)171-00199731 Conciliator</v>
          </cell>
          <cell r="C89">
            <v>2657413500</v>
          </cell>
        </row>
        <row r="90">
          <cell r="A90" t="str">
            <v>111005191</v>
          </cell>
          <cell r="B90" t="str">
            <v>111005191 BANCOLOMBIA CCTE(BIC SAL.)171-00199731 Entradas</v>
          </cell>
          <cell r="C90">
            <v>3944989</v>
          </cell>
        </row>
        <row r="91">
          <cell r="A91" t="str">
            <v>111005192</v>
          </cell>
          <cell r="B91" t="str">
            <v>111005192 BANCOLOMBIA CCTE(BIC SAL.)171-00199731 Ch. Emitido</v>
          </cell>
          <cell r="C91">
            <v>0</v>
          </cell>
        </row>
        <row r="92">
          <cell r="A92" t="str">
            <v>111005193</v>
          </cell>
          <cell r="B92" t="str">
            <v>111005193 BANCOLOMBIA CCTE(BIC SAL.)171-001799731 Ch. Entreg</v>
          </cell>
          <cell r="C92">
            <v>-65667492</v>
          </cell>
        </row>
        <row r="93">
          <cell r="A93" t="str">
            <v>111005200</v>
          </cell>
          <cell r="B93" t="str">
            <v>111005200 BANCOLOMBIA CCTE(MEDELLIN) 0051635903-3</v>
          </cell>
          <cell r="C93">
            <v>84396908</v>
          </cell>
        </row>
        <row r="94">
          <cell r="A94" t="str">
            <v>111005201</v>
          </cell>
          <cell r="B94" t="str">
            <v>111005201 BANCOLOMBIA CCTE(MEDELLIN) 0051635903-3 entradas</v>
          </cell>
          <cell r="C94">
            <v>0</v>
          </cell>
        </row>
        <row r="95">
          <cell r="A95" t="str">
            <v>111005202</v>
          </cell>
          <cell r="B95" t="str">
            <v>111005202 BANCOLOMBIA CCTE(MEDELLIN) 0051635903-3 Ch.emitido</v>
          </cell>
          <cell r="C95">
            <v>-24657297</v>
          </cell>
        </row>
        <row r="96">
          <cell r="A96" t="str">
            <v>111005203</v>
          </cell>
          <cell r="B96" t="str">
            <v>111005203 BANCOLOMBIA CCTE(MEDELLIN) 0051635903-3 Ch.entrega</v>
          </cell>
          <cell r="C96">
            <v>0</v>
          </cell>
        </row>
        <row r="97">
          <cell r="A97" t="str">
            <v>111005210</v>
          </cell>
          <cell r="B97" t="str">
            <v>111005210 MEGABANCO CL.68 703170108-7   Conciliatoria</v>
          </cell>
          <cell r="C97">
            <v>111548135</v>
          </cell>
        </row>
        <row r="98">
          <cell r="A98" t="str">
            <v>111005211</v>
          </cell>
          <cell r="B98" t="str">
            <v>111005211 MEGABANCO CL.68 703170108-7   Entradas</v>
          </cell>
          <cell r="C98">
            <v>2297619299</v>
          </cell>
        </row>
        <row r="99">
          <cell r="A99" t="str">
            <v>111005212</v>
          </cell>
          <cell r="B99" t="str">
            <v>111005212 MEGABANCO CL.68 703170108-7   Ch. Emitidos</v>
          </cell>
          <cell r="C99">
            <v>-2262167434</v>
          </cell>
        </row>
        <row r="100">
          <cell r="A100" t="str">
            <v>111005213</v>
          </cell>
          <cell r="B100" t="str">
            <v>111005213 MEGABANCO CL.68 703170108-7   Ch. Entregado</v>
          </cell>
          <cell r="C100">
            <v>-147000000</v>
          </cell>
        </row>
        <row r="101">
          <cell r="A101" t="str">
            <v>111005280</v>
          </cell>
          <cell r="B101" t="str">
            <v>111005280 GRANAHORRAR CUENTA 10280040027  Conciliatoria</v>
          </cell>
          <cell r="C101">
            <v>2224200367</v>
          </cell>
        </row>
        <row r="102">
          <cell r="A102" t="str">
            <v>111005281</v>
          </cell>
          <cell r="B102" t="str">
            <v>111005281 GRANAHORRAR CUENTA 10280040027  Entradas</v>
          </cell>
          <cell r="C102">
            <v>1812130235</v>
          </cell>
        </row>
        <row r="103">
          <cell r="A103" t="str">
            <v>111005282</v>
          </cell>
          <cell r="B103" t="str">
            <v>111005282 GRANAHORRAR CUENTA 10280040027  Ch. Emitidos</v>
          </cell>
          <cell r="C103">
            <v>-1514184178</v>
          </cell>
        </row>
        <row r="104">
          <cell r="A104" t="str">
            <v>111005283</v>
          </cell>
          <cell r="B104" t="str">
            <v>111005283 GRANAHORRAR CUENTA 10280040027  Ch. Entregados</v>
          </cell>
          <cell r="C104">
            <v>-1800000000</v>
          </cell>
        </row>
        <row r="105">
          <cell r="A105" t="str">
            <v>111005300</v>
          </cell>
          <cell r="B105" t="str">
            <v>111005300 COLMENA AHOR.METROP.CUENTA 26501945127 Concili</v>
          </cell>
          <cell r="C105">
            <v>846847437</v>
          </cell>
        </row>
        <row r="106">
          <cell r="A106" t="str">
            <v>111005301</v>
          </cell>
          <cell r="B106" t="str">
            <v>111005301 COLMENA AHOR.METROP.CUENTA 26501945127 Entradas</v>
          </cell>
          <cell r="C106">
            <v>-86427194</v>
          </cell>
        </row>
        <row r="107">
          <cell r="A107" t="str">
            <v>111005303</v>
          </cell>
          <cell r="B107" t="str">
            <v>111005303 COLMENA AHOR.METROP.CUENTA 26501945127 Ch.Entrega</v>
          </cell>
          <cell r="C107">
            <v>-210244556</v>
          </cell>
        </row>
        <row r="108">
          <cell r="A108" t="str">
            <v>111005310</v>
          </cell>
          <cell r="B108" t="str">
            <v>111005310 BOGOTA AHOR.METROP.CUENTA 078174596 Concili</v>
          </cell>
          <cell r="C108">
            <v>0</v>
          </cell>
        </row>
        <row r="109">
          <cell r="A109" t="str">
            <v>111005311</v>
          </cell>
          <cell r="B109" t="str">
            <v>111005311 BOGOTA AHOR.METROP.CUENTA 078174596 Entrad.</v>
          </cell>
          <cell r="C109">
            <v>0</v>
          </cell>
        </row>
        <row r="110">
          <cell r="A110" t="str">
            <v>111005313</v>
          </cell>
          <cell r="B110" t="str">
            <v>111005313 BOGOTA AHOR.METROP.CUENTA 078174596 Ch.Entregados</v>
          </cell>
          <cell r="C110">
            <v>0</v>
          </cell>
        </row>
        <row r="111">
          <cell r="A111" t="str">
            <v>111005320</v>
          </cell>
          <cell r="B111" t="str">
            <v>111005320 MEGABANCO R/TAYA FERIAS.CUENTA 3031343444 Concili</v>
          </cell>
          <cell r="C111">
            <v>39046491</v>
          </cell>
        </row>
        <row r="112">
          <cell r="A112" t="str">
            <v>111005321</v>
          </cell>
          <cell r="B112" t="str">
            <v>111005321 MEGABANCO R/TAYA FERIAS.CUENTA 3031343444 Entradas</v>
          </cell>
          <cell r="C112">
            <v>0</v>
          </cell>
        </row>
        <row r="113">
          <cell r="A113" t="str">
            <v>111005323</v>
          </cell>
          <cell r="B113" t="str">
            <v>111005323 MEGABANCO R/TAYA FERIAS.CUENTA 3031343444 Ch.Entre</v>
          </cell>
          <cell r="C113">
            <v>0</v>
          </cell>
        </row>
        <row r="114">
          <cell r="A114" t="str">
            <v>111005330</v>
          </cell>
          <cell r="B114" t="str">
            <v>111005330 COLPATRIA SALITRE AHORROS.CUENTA 4902031842 Concil</v>
          </cell>
          <cell r="C114">
            <v>0</v>
          </cell>
        </row>
        <row r="115">
          <cell r="A115" t="str">
            <v>111005340</v>
          </cell>
          <cell r="B115" t="str">
            <v>111005340 GANADERO FOMIPYME 180-004780 Concili</v>
          </cell>
          <cell r="C115">
            <v>0</v>
          </cell>
        </row>
        <row r="116">
          <cell r="A116" t="str">
            <v>111005341</v>
          </cell>
          <cell r="B116" t="str">
            <v>111005341 GANADERO FOMIPYME 180-004780 Entradas</v>
          </cell>
          <cell r="C116">
            <v>0</v>
          </cell>
        </row>
        <row r="117">
          <cell r="A117" t="str">
            <v>111005343</v>
          </cell>
          <cell r="B117" t="str">
            <v>111005343 GANADERO FOMIPYME 180-004780 Ch.Entregados</v>
          </cell>
          <cell r="C117">
            <v>0</v>
          </cell>
        </row>
        <row r="118">
          <cell r="A118" t="str">
            <v>111005660</v>
          </cell>
          <cell r="B118" t="str">
            <v>111005660 GANADERO SUC (80) CUENTA CTE # 180-125 Concilia</v>
          </cell>
          <cell r="C118">
            <v>645303450</v>
          </cell>
        </row>
        <row r="119">
          <cell r="A119" t="str">
            <v>111005661</v>
          </cell>
          <cell r="B119" t="str">
            <v>111005661 GANADERO SUC (80) CUENTA CTE # 180-125 Entradas</v>
          </cell>
          <cell r="C119">
            <v>-5061232</v>
          </cell>
        </row>
        <row r="120">
          <cell r="A120" t="str">
            <v>111005662</v>
          </cell>
          <cell r="B120" t="str">
            <v>111005662 GANADERO SUC (80) CUENTA CTE # 180-125 Ch. Emitido</v>
          </cell>
          <cell r="C120">
            <v>-232515170</v>
          </cell>
        </row>
        <row r="121">
          <cell r="A121" t="str">
            <v>111005663</v>
          </cell>
          <cell r="B121" t="str">
            <v>111005663 GANADERO SUC (80) CUENTA CTE # 180-125 Ch. Entrega</v>
          </cell>
          <cell r="C121">
            <v>0</v>
          </cell>
        </row>
        <row r="122">
          <cell r="A122" t="str">
            <v>111005691</v>
          </cell>
          <cell r="B122" t="str">
            <v>111005691 POPULAR  AHORROS 220065061566 Entradas</v>
          </cell>
          <cell r="C122">
            <v>9352367</v>
          </cell>
        </row>
        <row r="123">
          <cell r="A123" t="str">
            <v>111005692</v>
          </cell>
          <cell r="B123" t="str">
            <v>111005692 POPULAR  AHORROS 220065061566 Che. emitidos</v>
          </cell>
          <cell r="C123">
            <v>0</v>
          </cell>
        </row>
        <row r="124">
          <cell r="A124" t="str">
            <v>111005700</v>
          </cell>
          <cell r="B124" t="str">
            <v>111005700 MEGABANCO 3304348509  CONCIL BUCARAMANGA</v>
          </cell>
          <cell r="C124">
            <v>509589</v>
          </cell>
        </row>
        <row r="125">
          <cell r="A125" t="str">
            <v>111005701</v>
          </cell>
          <cell r="B125" t="str">
            <v>111005701 MEGABANCO 3304348509 BUCARAMANGA</v>
          </cell>
          <cell r="C125">
            <v>1095640</v>
          </cell>
        </row>
        <row r="126">
          <cell r="A126" t="str">
            <v>111005710</v>
          </cell>
          <cell r="B126" t="str">
            <v>111005710 MEGABANCO CTA 3120334440 conciliacion</v>
          </cell>
          <cell r="C126">
            <v>0</v>
          </cell>
        </row>
        <row r="127">
          <cell r="A127" t="str">
            <v>111005711</v>
          </cell>
          <cell r="B127" t="str">
            <v>111005711 MEGABANCO 3120334440 CALI entradas</v>
          </cell>
          <cell r="C127">
            <v>0</v>
          </cell>
        </row>
        <row r="128">
          <cell r="A128" t="str">
            <v>111005713</v>
          </cell>
          <cell r="B128" t="str">
            <v>111005713 MEGABANCO CTA 3120334440 cheques entregados</v>
          </cell>
          <cell r="C128">
            <v>0</v>
          </cell>
        </row>
        <row r="129">
          <cell r="A129" t="str">
            <v/>
          </cell>
          <cell r="B129" t="str">
            <v>111005 Bancos Comerciales</v>
          </cell>
          <cell r="C129">
            <v>9884301007</v>
          </cell>
        </row>
        <row r="130">
          <cell r="A130" t="str">
            <v/>
          </cell>
          <cell r="B130" t="str">
            <v>Total 1110 Bancos y Otras Entidades</v>
          </cell>
          <cell r="C130">
            <v>9884301007</v>
          </cell>
        </row>
        <row r="131">
          <cell r="A131" t="str">
            <v/>
          </cell>
          <cell r="B131" t="str">
            <v>1120. Fondo de Liquidez</v>
          </cell>
          <cell r="C131">
            <v>0</v>
          </cell>
        </row>
        <row r="132">
          <cell r="A132" t="str">
            <v/>
          </cell>
          <cell r="B132" t="str">
            <v>112005. Deposito de Ahorro a la vista</v>
          </cell>
          <cell r="C132">
            <v>0</v>
          </cell>
        </row>
        <row r="133">
          <cell r="A133" t="str">
            <v>112005001</v>
          </cell>
          <cell r="B133" t="str">
            <v>112005001 MEGABANCO RENTA YA   AYC</v>
          </cell>
          <cell r="C133">
            <v>795412221</v>
          </cell>
        </row>
        <row r="134">
          <cell r="A134" t="str">
            <v/>
          </cell>
          <cell r="B134" t="str">
            <v>112005 Deposito de Ahorro a la vista</v>
          </cell>
          <cell r="C134">
            <v>795412221</v>
          </cell>
        </row>
        <row r="135">
          <cell r="A135" t="str">
            <v/>
          </cell>
          <cell r="B135" t="str">
            <v>Total 1120 Fondo de Liquidez</v>
          </cell>
          <cell r="C135">
            <v>795412221</v>
          </cell>
        </row>
        <row r="136">
          <cell r="A136" t="str">
            <v/>
          </cell>
          <cell r="B136" t="str">
            <v>Total 11. Disponible</v>
          </cell>
          <cell r="C136">
            <v>10742830908</v>
          </cell>
        </row>
        <row r="139">
          <cell r="A139" t="str">
            <v/>
          </cell>
          <cell r="B139" t="str">
            <v>12. Inversiones</v>
          </cell>
          <cell r="C139">
            <v>0</v>
          </cell>
        </row>
        <row r="140">
          <cell r="A140" t="str">
            <v/>
          </cell>
          <cell r="B140" t="str">
            <v>1203. Fondo de Liquidez</v>
          </cell>
          <cell r="C140">
            <v>0</v>
          </cell>
        </row>
        <row r="141">
          <cell r="A141" t="str">
            <v/>
          </cell>
          <cell r="B141" t="str">
            <v>120325. Fondo Valores</v>
          </cell>
          <cell r="C141">
            <v>0</v>
          </cell>
        </row>
        <row r="142">
          <cell r="A142" t="str">
            <v>120325004</v>
          </cell>
          <cell r="B142" t="str">
            <v>120325004  BOLSA  Y BANCA S.A. AYC</v>
          </cell>
          <cell r="C142">
            <v>0</v>
          </cell>
        </row>
        <row r="143">
          <cell r="A143" t="str">
            <v/>
          </cell>
          <cell r="B143" t="str">
            <v>123025 Fondo Valores</v>
          </cell>
          <cell r="C143">
            <v>0</v>
          </cell>
        </row>
        <row r="144">
          <cell r="A144" t="str">
            <v/>
          </cell>
          <cell r="B144" t="str">
            <v>120305. Titulos Emitidos Avalados -Superbanca</v>
          </cell>
          <cell r="C144">
            <v>0</v>
          </cell>
        </row>
        <row r="145">
          <cell r="A145" t="str">
            <v>120305001</v>
          </cell>
          <cell r="B145" t="str">
            <v>120305001 INVERSIONES MEGABANCO AYC</v>
          </cell>
          <cell r="C145">
            <v>0</v>
          </cell>
        </row>
        <row r="146">
          <cell r="A146" t="str">
            <v>120305004</v>
          </cell>
          <cell r="B146" t="str">
            <v>120305004 SUFINANCIAMIENTO  AYC</v>
          </cell>
          <cell r="C146">
            <v>0</v>
          </cell>
        </row>
        <row r="147">
          <cell r="A147" t="str">
            <v>120305005</v>
          </cell>
          <cell r="B147" t="str">
            <v>120305005 C.D.T.´S  AYC</v>
          </cell>
          <cell r="C147">
            <v>1523935879</v>
          </cell>
        </row>
        <row r="148">
          <cell r="A148" t="str">
            <v/>
          </cell>
          <cell r="B148" t="str">
            <v>120305 Titulos Emitid Avalad-Superbanc</v>
          </cell>
          <cell r="C148">
            <v>1523935879</v>
          </cell>
        </row>
        <row r="149">
          <cell r="A149" t="str">
            <v/>
          </cell>
          <cell r="B149" t="str">
            <v>Total 1203 Fondo de Liquidez</v>
          </cell>
          <cell r="C149">
            <v>1523935879</v>
          </cell>
        </row>
        <row r="150">
          <cell r="A150" t="str">
            <v/>
          </cell>
          <cell r="B150" t="str">
            <v>1204. Inversiones negoc. en titulos de deuda</v>
          </cell>
          <cell r="C150">
            <v>0</v>
          </cell>
        </row>
        <row r="151">
          <cell r="A151" t="str">
            <v/>
          </cell>
          <cell r="B151" t="str">
            <v>120411. Titulos emit.Avalad,aceptados SuperBa</v>
          </cell>
          <cell r="C151">
            <v>0</v>
          </cell>
        </row>
        <row r="152">
          <cell r="A152" t="str">
            <v>120411002</v>
          </cell>
          <cell r="B152" t="str">
            <v>120411002 PROFESIONALES DE BOLSA  AyC</v>
          </cell>
          <cell r="C152">
            <v>0</v>
          </cell>
        </row>
        <row r="153">
          <cell r="A153" t="str">
            <v>120411114</v>
          </cell>
          <cell r="B153" t="str">
            <v>120411114 INVERSIONES BOLSA Y BANCA REPOS</v>
          </cell>
          <cell r="C153">
            <v>0</v>
          </cell>
        </row>
        <row r="154">
          <cell r="A154" t="str">
            <v>120411116</v>
          </cell>
          <cell r="B154" t="str">
            <v>120411116 ACCIONES Y VALORES COMISIONISTAS DE BOLSA</v>
          </cell>
          <cell r="C154">
            <v>0</v>
          </cell>
        </row>
        <row r="155">
          <cell r="A155" t="str">
            <v>120411124</v>
          </cell>
          <cell r="B155" t="str">
            <v>120411124 INVERSIONES SERFINCO S.A.</v>
          </cell>
          <cell r="C155">
            <v>0</v>
          </cell>
        </row>
        <row r="156">
          <cell r="A156" t="str">
            <v>120411125</v>
          </cell>
          <cell r="B156" t="str">
            <v>120411125 INVERSIONES CORREDORES ASOCIADOS S.A.</v>
          </cell>
          <cell r="C156">
            <v>0</v>
          </cell>
        </row>
        <row r="157">
          <cell r="A157" t="str">
            <v/>
          </cell>
          <cell r="B157" t="str">
            <v>120411 Titul emit.Avalad.acept. SuperB</v>
          </cell>
          <cell r="C157">
            <v>0</v>
          </cell>
        </row>
        <row r="158">
          <cell r="A158" t="str">
            <v/>
          </cell>
          <cell r="B158" t="str">
            <v>Total  1204 Invers negoc. en titulos de deuda</v>
          </cell>
          <cell r="C158">
            <v>0</v>
          </cell>
        </row>
        <row r="159">
          <cell r="A159" t="str">
            <v/>
          </cell>
          <cell r="B159" t="str">
            <v>1206. Inversiones Neg. en títulos Particip</v>
          </cell>
          <cell r="C159">
            <v>0</v>
          </cell>
        </row>
        <row r="160">
          <cell r="A160" t="str">
            <v/>
          </cell>
          <cell r="B160" t="str">
            <v>120607. Participacion en fondo de Valores</v>
          </cell>
          <cell r="C160">
            <v>0</v>
          </cell>
        </row>
        <row r="161">
          <cell r="A161" t="str">
            <v>120607001</v>
          </cell>
          <cell r="B161" t="str">
            <v>120607001 INVERSIONES CORREVAL (FONDO VALORES) AYC</v>
          </cell>
          <cell r="C161">
            <v>0</v>
          </cell>
        </row>
        <row r="162">
          <cell r="A162" t="str">
            <v>120607103</v>
          </cell>
          <cell r="B162" t="str">
            <v>120607103 INV. FONDO VALOR PROFESIONALES DE BOLSA</v>
          </cell>
          <cell r="C162">
            <v>0</v>
          </cell>
        </row>
        <row r="163">
          <cell r="A163" t="str">
            <v>120607106</v>
          </cell>
          <cell r="B163" t="str">
            <v>120607106 INV. FONDO VALOR OLIMPIA</v>
          </cell>
          <cell r="C163">
            <v>0</v>
          </cell>
        </row>
        <row r="164">
          <cell r="A164" t="str">
            <v>120607107</v>
          </cell>
          <cell r="B164" t="str">
            <v>120607107 INV. FONDO VALOR ESPARTA</v>
          </cell>
          <cell r="C164">
            <v>0</v>
          </cell>
        </row>
        <row r="165">
          <cell r="A165" t="str">
            <v>120607108</v>
          </cell>
          <cell r="B165" t="str">
            <v>120607108 INV.  ULTRA BURSÁTILES (FONDO VALORES)</v>
          </cell>
          <cell r="C165">
            <v>0</v>
          </cell>
        </row>
        <row r="166">
          <cell r="A166" t="str">
            <v>120607109</v>
          </cell>
          <cell r="B166" t="str">
            <v>120607109 INVERSIONES CORREVAL (FONDO VALORES)</v>
          </cell>
          <cell r="C166">
            <v>0</v>
          </cell>
        </row>
        <row r="167">
          <cell r="A167" t="str">
            <v>120607110</v>
          </cell>
          <cell r="B167" t="str">
            <v>120607110 FONDO INTERESES (FONDO VALORES)</v>
          </cell>
          <cell r="C167">
            <v>0</v>
          </cell>
        </row>
        <row r="168">
          <cell r="A168" t="str">
            <v>120607111</v>
          </cell>
          <cell r="B168" t="str">
            <v>120607111 INV. FONDO VALOR RENTA PLUS 90</v>
          </cell>
          <cell r="C168">
            <v>0</v>
          </cell>
        </row>
        <row r="169">
          <cell r="A169" t="str">
            <v>120607112</v>
          </cell>
          <cell r="B169" t="str">
            <v>120607112 FONDO INTERESES CORREDORES  (FONDO VALORES) AYC</v>
          </cell>
          <cell r="C169">
            <v>0</v>
          </cell>
        </row>
        <row r="170">
          <cell r="A170" t="str">
            <v>120607119</v>
          </cell>
          <cell r="B170" t="str">
            <v>120607119 BOLSA Y BANCA</v>
          </cell>
          <cell r="C170">
            <v>0</v>
          </cell>
        </row>
        <row r="171">
          <cell r="A171" t="str">
            <v>120607121</v>
          </cell>
          <cell r="B171" t="str">
            <v>120607121 ACCIONES Y VALORES</v>
          </cell>
          <cell r="C171">
            <v>0</v>
          </cell>
        </row>
        <row r="172">
          <cell r="A172" t="str">
            <v>120607122</v>
          </cell>
          <cell r="B172" t="str">
            <v>120607122 INV. ULTRA BURSÁTILES  (COMISIONISTA)</v>
          </cell>
          <cell r="C172">
            <v>0</v>
          </cell>
        </row>
        <row r="173">
          <cell r="A173" t="str">
            <v>120607123</v>
          </cell>
          <cell r="B173" t="str">
            <v>120607123 INV. PROFESIONALES DE BOLSA (COMISIONISTA)</v>
          </cell>
          <cell r="C173">
            <v>0</v>
          </cell>
        </row>
        <row r="174">
          <cell r="A174" t="str">
            <v>120607124</v>
          </cell>
          <cell r="B174" t="str">
            <v>120607124 BOLSA Y BANCA (COMISIONISTAS)</v>
          </cell>
          <cell r="C174">
            <v>0</v>
          </cell>
        </row>
        <row r="175">
          <cell r="A175" t="str">
            <v>120607125</v>
          </cell>
          <cell r="B175" t="str">
            <v>120607125 ACCIONES Y VALORES  COMISIONISTAS DE BOLSA</v>
          </cell>
          <cell r="C175">
            <v>0</v>
          </cell>
        </row>
        <row r="176">
          <cell r="A176" t="str">
            <v>120607126</v>
          </cell>
          <cell r="B176" t="str">
            <v>120607126 SERFINCO  COMISIONISTAS DE BOLSA</v>
          </cell>
          <cell r="C176">
            <v>0</v>
          </cell>
        </row>
        <row r="177">
          <cell r="A177" t="str">
            <v>120607127</v>
          </cell>
          <cell r="B177" t="str">
            <v>120607127 CORREDORES ASOCIADOS COMISIONISTAS DE BOLSA</v>
          </cell>
          <cell r="C177">
            <v>0</v>
          </cell>
        </row>
        <row r="178">
          <cell r="A178" t="str">
            <v/>
          </cell>
          <cell r="B178" t="str">
            <v>120607 Particip en fondo de Valores</v>
          </cell>
          <cell r="C178">
            <v>0</v>
          </cell>
        </row>
        <row r="179">
          <cell r="A179" t="str">
            <v/>
          </cell>
          <cell r="B179" t="str">
            <v>Total 1206 Inv Neg. en títulos Particip</v>
          </cell>
          <cell r="C179">
            <v>0</v>
          </cell>
        </row>
        <row r="180">
          <cell r="A180" t="str">
            <v/>
          </cell>
          <cell r="B180" t="str">
            <v>1208. Inversiones para mantener hasta el venc</v>
          </cell>
          <cell r="C180">
            <v>0</v>
          </cell>
        </row>
        <row r="181">
          <cell r="A181" t="str">
            <v/>
          </cell>
          <cell r="B181" t="str">
            <v>120811. Titulos emit.Avalad,aceptados SuperBa</v>
          </cell>
          <cell r="C181">
            <v>0</v>
          </cell>
        </row>
        <row r="182">
          <cell r="A182" t="str">
            <v>120811001</v>
          </cell>
          <cell r="B182" t="str">
            <v>120811001 INVERSIONES BANCO SUPERIOR CDT</v>
          </cell>
          <cell r="C182">
            <v>0</v>
          </cell>
        </row>
        <row r="183">
          <cell r="A183" t="str">
            <v>120811002</v>
          </cell>
          <cell r="B183" t="str">
            <v>120811002 INVERSIONES BCO COLPATRIA RED MUL CDT</v>
          </cell>
          <cell r="C183">
            <v>406804557</v>
          </cell>
        </row>
        <row r="184">
          <cell r="A184" t="str">
            <v>120811003</v>
          </cell>
          <cell r="B184" t="str">
            <v>120811003 INVERSIONES MEGABANCO _CONSUMO CDT</v>
          </cell>
          <cell r="C184">
            <v>725487033</v>
          </cell>
        </row>
        <row r="185">
          <cell r="A185" t="str">
            <v>120811004</v>
          </cell>
          <cell r="B185" t="str">
            <v>120811004 INVERSIONES SUFINANCIAMIENTO CDT</v>
          </cell>
          <cell r="C185">
            <v>839884926</v>
          </cell>
        </row>
        <row r="186">
          <cell r="A186" t="str">
            <v>120811005</v>
          </cell>
          <cell r="B186" t="str">
            <v>120811005 INVERSIONES LEASING CREDITO CDT</v>
          </cell>
          <cell r="C186">
            <v>304278895</v>
          </cell>
        </row>
        <row r="187">
          <cell r="A187" t="str">
            <v>120811051</v>
          </cell>
          <cell r="B187" t="str">
            <v>120811051 MEGABANCO AYC</v>
          </cell>
          <cell r="C187">
            <v>0</v>
          </cell>
        </row>
        <row r="188">
          <cell r="A188" t="str">
            <v>120811052</v>
          </cell>
          <cell r="B188" t="str">
            <v>120811052 BANCO TEQUENDAMA AYC</v>
          </cell>
          <cell r="C188">
            <v>0</v>
          </cell>
        </row>
        <row r="189">
          <cell r="A189" t="str">
            <v>120811054</v>
          </cell>
          <cell r="B189" t="str">
            <v>120811054 SU LEASING AYC</v>
          </cell>
          <cell r="C189">
            <v>0</v>
          </cell>
        </row>
        <row r="190">
          <cell r="A190" t="str">
            <v>120811055</v>
          </cell>
          <cell r="B190" t="str">
            <v>120811055 BANISTMO  COLOMBIA S.A AYC</v>
          </cell>
          <cell r="C190">
            <v>0</v>
          </cell>
        </row>
        <row r="191">
          <cell r="A191" t="str">
            <v>120811060</v>
          </cell>
          <cell r="B191" t="str">
            <v>120811060 C.D.T.¨S  A YC</v>
          </cell>
          <cell r="C191">
            <v>-3</v>
          </cell>
        </row>
        <row r="192">
          <cell r="A192" t="str">
            <v>120811112</v>
          </cell>
          <cell r="B192" t="str">
            <v>120811112 CORFICOLOMBIANA S.A. CDT</v>
          </cell>
          <cell r="C192">
            <v>0</v>
          </cell>
        </row>
        <row r="193">
          <cell r="A193" t="str">
            <v>120811113</v>
          </cell>
          <cell r="B193" t="str">
            <v>120811113 BANISTMO COLOMBIA S.A CDT</v>
          </cell>
          <cell r="C193">
            <v>0</v>
          </cell>
        </row>
        <row r="194">
          <cell r="A194" t="str">
            <v>120811114</v>
          </cell>
          <cell r="B194" t="str">
            <v>120811114 COLMENA CDT</v>
          </cell>
          <cell r="C194">
            <v>406721001</v>
          </cell>
        </row>
        <row r="195">
          <cell r="A195" t="str">
            <v>120811115</v>
          </cell>
          <cell r="B195" t="str">
            <v>120811115 AV  VILLAS  CDT</v>
          </cell>
          <cell r="C195">
            <v>406964557</v>
          </cell>
        </row>
        <row r="196">
          <cell r="A196" t="str">
            <v>120811116</v>
          </cell>
          <cell r="B196" t="str">
            <v>120811116 GRANAHORRAR  CDT</v>
          </cell>
          <cell r="C196">
            <v>0</v>
          </cell>
        </row>
        <row r="197">
          <cell r="A197" t="str">
            <v>120811117</v>
          </cell>
          <cell r="B197" t="str">
            <v>120811117 GNB SUDAMERIS  CDT</v>
          </cell>
          <cell r="C197">
            <v>314734217</v>
          </cell>
        </row>
        <row r="198">
          <cell r="A198" t="str">
            <v>120811118</v>
          </cell>
          <cell r="B198" t="str">
            <v>120811118 OCCIDENTE  CDT</v>
          </cell>
          <cell r="C198">
            <v>0</v>
          </cell>
        </row>
        <row r="199">
          <cell r="A199" t="str">
            <v>120811119</v>
          </cell>
          <cell r="B199" t="str">
            <v>120811119 BANCOLOMBIA  CDT</v>
          </cell>
          <cell r="C199">
            <v>0</v>
          </cell>
        </row>
        <row r="200">
          <cell r="A200" t="str">
            <v>120811120</v>
          </cell>
          <cell r="B200" t="str">
            <v>120811120 GRAN BANCO CDT</v>
          </cell>
          <cell r="C200">
            <v>406789257</v>
          </cell>
        </row>
        <row r="201">
          <cell r="A201" t="str">
            <v>120811121</v>
          </cell>
          <cell r="B201" t="str">
            <v>120811121 BBVA  CDT</v>
          </cell>
          <cell r="C201">
            <v>406865123</v>
          </cell>
        </row>
        <row r="202">
          <cell r="A202" t="str">
            <v>120811122</v>
          </cell>
          <cell r="B202" t="str">
            <v>120811122 CITIBANK CDT</v>
          </cell>
          <cell r="C202">
            <v>0</v>
          </cell>
        </row>
        <row r="203">
          <cell r="A203" t="str">
            <v>120811123</v>
          </cell>
          <cell r="B203" t="str">
            <v>120811123 BANCO POPULAR CDT</v>
          </cell>
          <cell r="C203">
            <v>508552501</v>
          </cell>
        </row>
        <row r="204">
          <cell r="A204" t="str">
            <v>120811124</v>
          </cell>
          <cell r="B204" t="str">
            <v>120811124 CDAT SECCION A Y C</v>
          </cell>
          <cell r="C204">
            <v>1353730136</v>
          </cell>
        </row>
        <row r="205">
          <cell r="A205" t="str">
            <v/>
          </cell>
          <cell r="B205" t="str">
            <v>120811 Titul emit.Avalad,acept SuperBa</v>
          </cell>
          <cell r="C205">
            <v>6080812200</v>
          </cell>
        </row>
        <row r="206">
          <cell r="A206" t="str">
            <v/>
          </cell>
          <cell r="B206" t="str">
            <v>Total  1208 Inv para mantener hasta el v</v>
          </cell>
          <cell r="C206">
            <v>6080812200</v>
          </cell>
        </row>
        <row r="207">
          <cell r="A207" t="str">
            <v/>
          </cell>
          <cell r="B207" t="str">
            <v>1216. Inver.para la venta de titulos particip</v>
          </cell>
          <cell r="C207">
            <v>0</v>
          </cell>
        </row>
        <row r="208">
          <cell r="A208" t="str">
            <v/>
          </cell>
          <cell r="B208" t="str">
            <v>121604. Acc con baja y minima liquidez o sin</v>
          </cell>
          <cell r="C208">
            <v>0</v>
          </cell>
        </row>
        <row r="209">
          <cell r="A209" t="str">
            <v>121604001</v>
          </cell>
          <cell r="B209" t="str">
            <v>121604001 APORTES I.P.S. COMFASALUD S.A.</v>
          </cell>
          <cell r="C209">
            <v>12912018</v>
          </cell>
        </row>
        <row r="210">
          <cell r="A210" t="str">
            <v/>
          </cell>
          <cell r="B210" t="str">
            <v>121604 Acc baja y min liquidez o sin c</v>
          </cell>
          <cell r="C210">
            <v>12912018</v>
          </cell>
        </row>
        <row r="211">
          <cell r="A211" t="str">
            <v/>
          </cell>
          <cell r="B211" t="str">
            <v>1216 Inver.para la venta de titu partic</v>
          </cell>
          <cell r="C211">
            <v>12912018</v>
          </cell>
        </row>
        <row r="212">
          <cell r="A212" t="str">
            <v/>
          </cell>
          <cell r="B212" t="str">
            <v>Total 12. Inversiones</v>
          </cell>
          <cell r="C212">
            <v>7617660097</v>
          </cell>
        </row>
        <row r="213">
          <cell r="A213" t="str">
            <v/>
          </cell>
          <cell r="B213" t="str">
            <v>13. Inventarios</v>
          </cell>
          <cell r="C213">
            <v>0</v>
          </cell>
        </row>
        <row r="214">
          <cell r="A214" t="str">
            <v/>
          </cell>
          <cell r="B214" t="str">
            <v>1305. Bienes no trasformados por la entidad</v>
          </cell>
          <cell r="C214">
            <v>0</v>
          </cell>
        </row>
        <row r="215">
          <cell r="A215" t="str">
            <v/>
          </cell>
          <cell r="B215" t="str">
            <v>130505. Bienes no trasformados por la entidad</v>
          </cell>
          <cell r="C215">
            <v>0</v>
          </cell>
        </row>
        <row r="216">
          <cell r="A216" t="str">
            <v>130505001</v>
          </cell>
          <cell r="B216" t="str">
            <v>130505001 INVENTARIOS DE MERCANCÍA  ETICOS GRAVADA</v>
          </cell>
          <cell r="C216">
            <v>494452676</v>
          </cell>
        </row>
        <row r="217">
          <cell r="A217" t="str">
            <v>130505002</v>
          </cell>
          <cell r="B217" t="str">
            <v>130505002 INVENTARIOS DE MERCANCÍA  ETICOS EXCLUIDA</v>
          </cell>
          <cell r="C217">
            <v>44436867902</v>
          </cell>
        </row>
        <row r="218">
          <cell r="A218" t="str">
            <v>130505011</v>
          </cell>
          <cell r="B218" t="str">
            <v>130505011 INVENTARIOS DE MERCANCÍA  POPULARES GRAVADA</v>
          </cell>
          <cell r="C218">
            <v>13395950804</v>
          </cell>
        </row>
        <row r="219">
          <cell r="A219" t="str">
            <v>130505012</v>
          </cell>
          <cell r="B219" t="str">
            <v>130505012 INVENTARIOS DE MERCANCÍA  POPULARES  EXCLUIDA</v>
          </cell>
          <cell r="C219">
            <v>5047471491</v>
          </cell>
        </row>
        <row r="220">
          <cell r="A220" t="str">
            <v>130505013</v>
          </cell>
          <cell r="B220" t="str">
            <v>130505013 INVENTARIOS DE MERCANCÍA   CONVENIOS</v>
          </cell>
          <cell r="C220">
            <v>203</v>
          </cell>
        </row>
        <row r="221">
          <cell r="A221" t="str">
            <v>130505090</v>
          </cell>
          <cell r="B221" t="str">
            <v>130505090 INVENTARIO EN TRANSITO</v>
          </cell>
          <cell r="C221">
            <v>0</v>
          </cell>
        </row>
        <row r="222">
          <cell r="A222" t="str">
            <v>130505091</v>
          </cell>
          <cell r="B222" t="str">
            <v>130505091 REVALORIZACION DE INVENTARIO</v>
          </cell>
          <cell r="C222">
            <v>1</v>
          </cell>
        </row>
        <row r="223">
          <cell r="A223" t="str">
            <v/>
          </cell>
          <cell r="B223" t="str">
            <v>130505 Bienes no trasf por la entidad</v>
          </cell>
          <cell r="C223">
            <v>63374743077</v>
          </cell>
        </row>
        <row r="224">
          <cell r="A224" t="str">
            <v/>
          </cell>
          <cell r="B224" t="str">
            <v>Total 1305 Bienes no trasf por la entidad</v>
          </cell>
          <cell r="C224">
            <v>63374743077</v>
          </cell>
        </row>
        <row r="225">
          <cell r="A225" t="str">
            <v/>
          </cell>
          <cell r="B225" t="str">
            <v>1325. Materiales y Suministros</v>
          </cell>
          <cell r="C225">
            <v>0</v>
          </cell>
        </row>
        <row r="226">
          <cell r="A226" t="str">
            <v/>
          </cell>
          <cell r="B226" t="str">
            <v>132505. Materiales y suministros</v>
          </cell>
          <cell r="C226">
            <v>0</v>
          </cell>
        </row>
        <row r="227">
          <cell r="A227" t="str">
            <v>132505021</v>
          </cell>
          <cell r="B227" t="str">
            <v>132505021 INVENTARIOS DE MERCANCÍA  SERV.GENERALES GRAVADA</v>
          </cell>
          <cell r="C227">
            <v>142162219</v>
          </cell>
        </row>
        <row r="228">
          <cell r="A228" t="str">
            <v>132505022</v>
          </cell>
          <cell r="B228" t="str">
            <v>132505022 INVENTARIOS DE MERCANCÍA  SERV.GENERALES EXENTA</v>
          </cell>
          <cell r="C228">
            <v>107326613</v>
          </cell>
        </row>
        <row r="229">
          <cell r="A229" t="str">
            <v/>
          </cell>
          <cell r="B229" t="str">
            <v>Total  Materiales y suministros</v>
          </cell>
          <cell r="C229">
            <v>249488832</v>
          </cell>
        </row>
        <row r="230">
          <cell r="A230" t="str">
            <v/>
          </cell>
          <cell r="B230" t="str">
            <v>Total 1325 Materiales y Suministros</v>
          </cell>
          <cell r="C230">
            <v>249488832</v>
          </cell>
        </row>
        <row r="231">
          <cell r="A231" t="str">
            <v/>
          </cell>
          <cell r="B231" t="str">
            <v>1335. Inventarios en transito</v>
          </cell>
          <cell r="C231">
            <v>0</v>
          </cell>
        </row>
        <row r="232">
          <cell r="A232" t="str">
            <v/>
          </cell>
          <cell r="B232" t="str">
            <v>133505. Inventarios en transito</v>
          </cell>
          <cell r="C232">
            <v>0</v>
          </cell>
        </row>
        <row r="233">
          <cell r="A233" t="str">
            <v>133505090</v>
          </cell>
          <cell r="B233" t="str">
            <v>133505090 INVENTARIO EN TRANSITO</v>
          </cell>
          <cell r="C233">
            <v>0</v>
          </cell>
        </row>
        <row r="234">
          <cell r="A234" t="str">
            <v/>
          </cell>
          <cell r="B234" t="str">
            <v>133505 Inventarios en transito</v>
          </cell>
          <cell r="C234">
            <v>0</v>
          </cell>
        </row>
        <row r="235">
          <cell r="A235" t="str">
            <v/>
          </cell>
          <cell r="B235" t="str">
            <v>Total 1335 Inventarios en transito</v>
          </cell>
          <cell r="C235">
            <v>0</v>
          </cell>
        </row>
        <row r="236">
          <cell r="A236" t="str">
            <v/>
          </cell>
          <cell r="B236" t="str">
            <v>1390. Provision</v>
          </cell>
          <cell r="C236">
            <v>0</v>
          </cell>
        </row>
        <row r="237">
          <cell r="A237" t="str">
            <v/>
          </cell>
          <cell r="B237" t="str">
            <v>139005. Por Obsolescencia</v>
          </cell>
          <cell r="C237">
            <v>0</v>
          </cell>
        </row>
        <row r="238">
          <cell r="A238" t="str">
            <v>139005001</v>
          </cell>
          <cell r="B238" t="str">
            <v>139005001 PROVISIÓN PARA ROTURAS Y DESGUASE</v>
          </cell>
          <cell r="C238">
            <v>7097051</v>
          </cell>
        </row>
        <row r="239">
          <cell r="A239" t="str">
            <v/>
          </cell>
          <cell r="B239" t="str">
            <v>139005 Por Obsolescencia</v>
          </cell>
          <cell r="C239">
            <v>7097051</v>
          </cell>
        </row>
        <row r="240">
          <cell r="A240" t="str">
            <v/>
          </cell>
          <cell r="B240" t="str">
            <v>139010. Por Diferencia en inventario fisico</v>
          </cell>
          <cell r="C240">
            <v>0</v>
          </cell>
        </row>
        <row r="241">
          <cell r="A241" t="str">
            <v>139010001</v>
          </cell>
          <cell r="B241" t="str">
            <v>139010001 VARIACIONES EN PRECIOS Y LOTES DE INVENTARIO</v>
          </cell>
          <cell r="C241">
            <v>14944375</v>
          </cell>
        </row>
        <row r="242">
          <cell r="A242" t="str">
            <v/>
          </cell>
          <cell r="B242" t="str">
            <v>139010 Por Dif en inventario fisico</v>
          </cell>
          <cell r="C242">
            <v>14944375</v>
          </cell>
        </row>
        <row r="243">
          <cell r="A243" t="str">
            <v/>
          </cell>
          <cell r="B243" t="str">
            <v>139085. Por Otros Conceptos</v>
          </cell>
          <cell r="C243">
            <v>0</v>
          </cell>
        </row>
        <row r="244">
          <cell r="A244" t="str">
            <v>139085001</v>
          </cell>
          <cell r="B244" t="str">
            <v>139085001 PROVISIÓN PARA OTROS CONCEPTOS INVENT.</v>
          </cell>
          <cell r="C244">
            <v>541783</v>
          </cell>
        </row>
        <row r="245">
          <cell r="A245" t="str">
            <v>139085090</v>
          </cell>
          <cell r="B245" t="str">
            <v>139085090 PROVISION MCIA RECHAZADA PROV.Y RECOGIDA POR CONTR</v>
          </cell>
          <cell r="C245">
            <v>27580</v>
          </cell>
        </row>
        <row r="246">
          <cell r="A246" t="str">
            <v/>
          </cell>
          <cell r="B246" t="str">
            <v>139085 Por Otros Conceptos</v>
          </cell>
          <cell r="C246">
            <v>569363</v>
          </cell>
        </row>
        <row r="247">
          <cell r="A247" t="str">
            <v/>
          </cell>
          <cell r="B247" t="str">
            <v>Total 1390 Provision</v>
          </cell>
          <cell r="C247">
            <v>22610789</v>
          </cell>
        </row>
        <row r="248">
          <cell r="A248" t="str">
            <v/>
          </cell>
          <cell r="B248" t="str">
            <v>Total 13. Inventarios</v>
          </cell>
          <cell r="C248">
            <v>63646842698</v>
          </cell>
        </row>
        <row r="249">
          <cell r="A249" t="str">
            <v/>
          </cell>
          <cell r="B249" t="str">
            <v>14. Cartera de Créditos</v>
          </cell>
          <cell r="C249">
            <v>0</v>
          </cell>
        </row>
        <row r="250">
          <cell r="A250" t="str">
            <v/>
          </cell>
          <cell r="B250" t="str">
            <v>1412. Creditos de cmo.garantia admisible-S L</v>
          </cell>
          <cell r="C250">
            <v>0</v>
          </cell>
        </row>
        <row r="251">
          <cell r="A251" t="str">
            <v/>
          </cell>
          <cell r="B251" t="str">
            <v>141205. Categoria A- riesgo normal</v>
          </cell>
          <cell r="C251">
            <v>0</v>
          </cell>
        </row>
        <row r="252">
          <cell r="A252" t="str">
            <v>141205001</v>
          </cell>
          <cell r="B252" t="str">
            <v>141205001 CATEGORÍA A - RIESGO NORMAL  AYC</v>
          </cell>
          <cell r="C252">
            <v>5400873031</v>
          </cell>
        </row>
        <row r="253">
          <cell r="A253" t="str">
            <v/>
          </cell>
          <cell r="B253" t="str">
            <v>Total Categoria A- riesgo normal</v>
          </cell>
          <cell r="C253">
            <v>5400873031</v>
          </cell>
        </row>
        <row r="254">
          <cell r="A254" t="str">
            <v/>
          </cell>
          <cell r="B254" t="str">
            <v>141210. Categoria B- riesgo aceptable</v>
          </cell>
          <cell r="C254">
            <v>0</v>
          </cell>
        </row>
        <row r="255">
          <cell r="A255" t="str">
            <v>141210001</v>
          </cell>
          <cell r="B255" t="str">
            <v>141210001 CATEGORÍA B - RIESGO ACEPTABLE AYC</v>
          </cell>
          <cell r="C255">
            <v>0</v>
          </cell>
        </row>
        <row r="256">
          <cell r="A256" t="str">
            <v/>
          </cell>
          <cell r="B256" t="str">
            <v>Total Categoria B- riesgo aceptable</v>
          </cell>
          <cell r="C256">
            <v>0</v>
          </cell>
        </row>
        <row r="257">
          <cell r="A257" t="str">
            <v/>
          </cell>
          <cell r="B257" t="str">
            <v>141215. Categoria C- riesgo apreciable</v>
          </cell>
          <cell r="C257">
            <v>0</v>
          </cell>
        </row>
        <row r="258">
          <cell r="A258" t="str">
            <v>141215001</v>
          </cell>
          <cell r="B258" t="str">
            <v>141215001 CATEGORÍA C - RIESGO APRECIABLE AYC</v>
          </cell>
          <cell r="C258">
            <v>82101857</v>
          </cell>
        </row>
        <row r="259">
          <cell r="A259" t="str">
            <v/>
          </cell>
          <cell r="B259" t="str">
            <v>Total Categoria C- riesgo apreciable</v>
          </cell>
          <cell r="C259">
            <v>82101857</v>
          </cell>
        </row>
        <row r="260">
          <cell r="A260" t="str">
            <v/>
          </cell>
          <cell r="B260" t="str">
            <v>141220. Categoria D- Riesgo significativo</v>
          </cell>
          <cell r="C260">
            <v>0</v>
          </cell>
        </row>
        <row r="261">
          <cell r="A261" t="str">
            <v>141220001</v>
          </cell>
          <cell r="B261" t="str">
            <v>141220001 CATEGORÍA D - RIESGO SIGNIFICATIVO AYC</v>
          </cell>
          <cell r="C261">
            <v>0</v>
          </cell>
        </row>
        <row r="262">
          <cell r="A262" t="str">
            <v/>
          </cell>
          <cell r="B262" t="str">
            <v>Total Categoria D- Riesgo significativo</v>
          </cell>
          <cell r="C262">
            <v>0</v>
          </cell>
        </row>
        <row r="263">
          <cell r="A263" t="str">
            <v/>
          </cell>
          <cell r="B263" t="str">
            <v>141225. Categoria E- Riesgo de incobrabilidad</v>
          </cell>
          <cell r="C263">
            <v>0</v>
          </cell>
        </row>
        <row r="264">
          <cell r="A264" t="str">
            <v>141225001</v>
          </cell>
          <cell r="B264" t="str">
            <v>141225001 CATEGORÍA E- RIESGO DE INCOBRABILIDAD AYC</v>
          </cell>
          <cell r="C264">
            <v>34415610</v>
          </cell>
        </row>
        <row r="265">
          <cell r="A265" t="str">
            <v/>
          </cell>
          <cell r="B265" t="str">
            <v>Total Categoria E- Riesgo de incobrabilidad</v>
          </cell>
          <cell r="C265">
            <v>34415610</v>
          </cell>
        </row>
        <row r="266">
          <cell r="A266" t="str">
            <v/>
          </cell>
          <cell r="B266" t="str">
            <v>Total 1412 Credi de cmo.garant admisible-S L</v>
          </cell>
          <cell r="C266">
            <v>5517390498</v>
          </cell>
        </row>
        <row r="267">
          <cell r="A267" t="str">
            <v/>
          </cell>
          <cell r="B267" t="str">
            <v>1442. Creditos de Consumo-otras Garantias</v>
          </cell>
          <cell r="C267">
            <v>0</v>
          </cell>
        </row>
        <row r="268">
          <cell r="A268" t="str">
            <v/>
          </cell>
          <cell r="B268" t="str">
            <v>144205. Categoria A - Riesgo Normal</v>
          </cell>
          <cell r="C268">
            <v>0</v>
          </cell>
        </row>
        <row r="269">
          <cell r="A269" t="str">
            <v>144205001</v>
          </cell>
          <cell r="B269" t="str">
            <v>144205001 CATEGORÍA A - RIESGO NORMAL AYC</v>
          </cell>
          <cell r="C269">
            <v>13454297201</v>
          </cell>
        </row>
        <row r="270">
          <cell r="A270" t="str">
            <v/>
          </cell>
          <cell r="B270" t="str">
            <v>Total Categoria A - Riesgo Normal</v>
          </cell>
          <cell r="C270">
            <v>13454297201</v>
          </cell>
        </row>
        <row r="271">
          <cell r="A271" t="str">
            <v/>
          </cell>
          <cell r="B271" t="str">
            <v>144210. Categoria B - Riesgo Aceptable</v>
          </cell>
          <cell r="C271">
            <v>0</v>
          </cell>
        </row>
        <row r="272">
          <cell r="A272" t="str">
            <v>144210001</v>
          </cell>
          <cell r="B272" t="str">
            <v>144210001 CATEGORÍA B - RIESGO ACEPTABLE AYC</v>
          </cell>
          <cell r="C272">
            <v>90949479</v>
          </cell>
        </row>
        <row r="273">
          <cell r="A273" t="str">
            <v/>
          </cell>
          <cell r="B273" t="str">
            <v>Total Categoria B - Riesgo Aceptable</v>
          </cell>
          <cell r="C273">
            <v>90949479</v>
          </cell>
        </row>
        <row r="274">
          <cell r="A274" t="str">
            <v/>
          </cell>
          <cell r="B274" t="str">
            <v>144215. Categoria C - Riesgo Apreciable</v>
          </cell>
          <cell r="C274">
            <v>0</v>
          </cell>
        </row>
        <row r="275">
          <cell r="A275" t="str">
            <v>144215001</v>
          </cell>
          <cell r="B275" t="str">
            <v>144215001 CATEGORÍA C - RIESGO APRECIABLE AYC</v>
          </cell>
          <cell r="C275">
            <v>47448866</v>
          </cell>
        </row>
        <row r="276">
          <cell r="A276" t="str">
            <v/>
          </cell>
          <cell r="B276" t="str">
            <v>Total Categoria C - Riesgo Apreciable</v>
          </cell>
          <cell r="C276">
            <v>47448866</v>
          </cell>
        </row>
        <row r="277">
          <cell r="A277" t="str">
            <v/>
          </cell>
          <cell r="B277" t="str">
            <v>144220. Categoria D - Riesgo Significativo</v>
          </cell>
          <cell r="C277">
            <v>0</v>
          </cell>
        </row>
        <row r="278">
          <cell r="A278" t="str">
            <v>144220001</v>
          </cell>
          <cell r="B278" t="str">
            <v>144220001 CATEGORÍA D - RIESGO SIGNIFICATIVO AYC</v>
          </cell>
          <cell r="C278">
            <v>51674712</v>
          </cell>
        </row>
        <row r="279">
          <cell r="A279" t="str">
            <v/>
          </cell>
          <cell r="B279" t="str">
            <v>Total Categoria D - Riesgo Significativo</v>
          </cell>
          <cell r="C279">
            <v>51674712</v>
          </cell>
        </row>
        <row r="280">
          <cell r="A280" t="str">
            <v/>
          </cell>
          <cell r="B280" t="str">
            <v>144225. Categoria E - Riesgo de Incobrabil.</v>
          </cell>
          <cell r="C280">
            <v>0</v>
          </cell>
        </row>
        <row r="281">
          <cell r="A281" t="str">
            <v>144225001</v>
          </cell>
          <cell r="B281" t="str">
            <v>144225001 CATEGORÍA E - RIESGO DE INCOBRABILID.AYC</v>
          </cell>
          <cell r="C281">
            <v>125834802</v>
          </cell>
        </row>
        <row r="282">
          <cell r="A282" t="str">
            <v/>
          </cell>
          <cell r="B282" t="str">
            <v>Total Categoria E - Riesgo de Incobrabilidad</v>
          </cell>
          <cell r="C282">
            <v>125834802</v>
          </cell>
        </row>
        <row r="283">
          <cell r="A283" t="str">
            <v/>
          </cell>
          <cell r="B283" t="str">
            <v>Total 1442 Cred de Cons-otras Garantias</v>
          </cell>
          <cell r="C283">
            <v>13770205060</v>
          </cell>
        </row>
        <row r="284">
          <cell r="A284" t="str">
            <v/>
          </cell>
          <cell r="B284" t="str">
            <v>1462. Creditos Comerciales G.admisble sin L</v>
          </cell>
          <cell r="C284">
            <v>0</v>
          </cell>
        </row>
        <row r="285">
          <cell r="A285" t="str">
            <v/>
          </cell>
          <cell r="B285" t="str">
            <v>146205. Categoria A - Riesgo normal</v>
          </cell>
          <cell r="C285">
            <v>0</v>
          </cell>
        </row>
        <row r="286">
          <cell r="A286" t="str">
            <v>146205001</v>
          </cell>
          <cell r="B286" t="str">
            <v>146205001 CATEGORÍA A - RIESGO NORMAL AYC</v>
          </cell>
          <cell r="C286">
            <v>2630039830</v>
          </cell>
        </row>
        <row r="287">
          <cell r="A287" t="str">
            <v/>
          </cell>
          <cell r="B287" t="str">
            <v>Total Categoria A - Riesgo normal</v>
          </cell>
          <cell r="C287">
            <v>2630039830</v>
          </cell>
        </row>
        <row r="288">
          <cell r="A288" t="str">
            <v/>
          </cell>
          <cell r="B288" t="str">
            <v>146210. Categoria B - Riesgo Aceptable</v>
          </cell>
          <cell r="C288">
            <v>0</v>
          </cell>
        </row>
        <row r="289">
          <cell r="A289" t="str">
            <v>146210001</v>
          </cell>
          <cell r="B289" t="str">
            <v>146210001 CATEGORÍA B - RIESGO ACEPTABLE AYC</v>
          </cell>
          <cell r="C289">
            <v>0</v>
          </cell>
        </row>
        <row r="290">
          <cell r="A290" t="str">
            <v/>
          </cell>
          <cell r="B290" t="str">
            <v>Total Categoria B - Riesgo Aceptable</v>
          </cell>
          <cell r="C290">
            <v>0</v>
          </cell>
        </row>
        <row r="291">
          <cell r="A291" t="str">
            <v/>
          </cell>
          <cell r="B291" t="str">
            <v>Total 1462 Credi Comerc G.admisble sin Lib</v>
          </cell>
          <cell r="C291">
            <v>2630039830</v>
          </cell>
        </row>
        <row r="292">
          <cell r="A292" t="str">
            <v/>
          </cell>
          <cell r="B292" t="str">
            <v>1465. Creditos Comerciales-Otras garantias</v>
          </cell>
          <cell r="C292">
            <v>0</v>
          </cell>
        </row>
        <row r="293">
          <cell r="A293" t="str">
            <v/>
          </cell>
          <cell r="B293" t="str">
            <v>146515. Categoria A - Riesgo Normal</v>
          </cell>
          <cell r="C293">
            <v>0</v>
          </cell>
        </row>
        <row r="294">
          <cell r="A294" t="str">
            <v>146515001</v>
          </cell>
          <cell r="B294" t="str">
            <v>146515001 CATEGORÍA A - RIESGO NORMAL AYC</v>
          </cell>
          <cell r="C294">
            <v>2781512371</v>
          </cell>
        </row>
        <row r="295">
          <cell r="A295" t="str">
            <v/>
          </cell>
          <cell r="B295" t="str">
            <v>Total Categoria A - Riesgo Normal</v>
          </cell>
          <cell r="C295">
            <v>2781512371</v>
          </cell>
        </row>
        <row r="296">
          <cell r="A296" t="str">
            <v/>
          </cell>
          <cell r="B296" t="str">
            <v>146520. Categoria B - Riesgo Aceptable</v>
          </cell>
          <cell r="C296">
            <v>0</v>
          </cell>
        </row>
        <row r="297">
          <cell r="A297" t="str">
            <v>146520001</v>
          </cell>
          <cell r="B297" t="str">
            <v>146520001 CATEGORÍA B - RIESGO ACEPTABLE AYC</v>
          </cell>
          <cell r="C297">
            <v>2778297</v>
          </cell>
        </row>
        <row r="298">
          <cell r="A298" t="str">
            <v/>
          </cell>
          <cell r="B298" t="str">
            <v>Total Categoria B - Riesgo Aceptable</v>
          </cell>
          <cell r="C298">
            <v>2778297</v>
          </cell>
        </row>
        <row r="299">
          <cell r="A299" t="str">
            <v/>
          </cell>
          <cell r="B299" t="str">
            <v>146525. Categoria C - Riesgo Apreciable</v>
          </cell>
          <cell r="C299">
            <v>0</v>
          </cell>
        </row>
        <row r="300">
          <cell r="A300" t="str">
            <v>146525001</v>
          </cell>
          <cell r="B300" t="str">
            <v>146525001 CATEGORÍA C - RIESGO APRECIABLE  AYC</v>
          </cell>
          <cell r="C300">
            <v>0</v>
          </cell>
        </row>
        <row r="301">
          <cell r="A301" t="str">
            <v/>
          </cell>
          <cell r="B301" t="str">
            <v>Total Categoria C - Riesgo Apreciable</v>
          </cell>
          <cell r="C301">
            <v>0</v>
          </cell>
        </row>
        <row r="302">
          <cell r="A302" t="str">
            <v/>
          </cell>
          <cell r="B302" t="str">
            <v>146530. Categoria D - Riesgo Significativo</v>
          </cell>
          <cell r="C302">
            <v>0</v>
          </cell>
        </row>
        <row r="303">
          <cell r="A303" t="str">
            <v>146530001</v>
          </cell>
          <cell r="B303" t="str">
            <v>146530001 CATEGORÍA D - RIESGO SIGNIFICATIVO  AYC</v>
          </cell>
          <cell r="C303">
            <v>0</v>
          </cell>
        </row>
        <row r="304">
          <cell r="A304" t="str">
            <v/>
          </cell>
          <cell r="B304" t="str">
            <v>Total Categoria D - Riesgo Significativo</v>
          </cell>
          <cell r="C304">
            <v>0</v>
          </cell>
        </row>
        <row r="305">
          <cell r="A305" t="str">
            <v/>
          </cell>
          <cell r="B305" t="str">
            <v>146535. Categoria E - Riesgo de incobrabilid.</v>
          </cell>
          <cell r="C305">
            <v>0</v>
          </cell>
        </row>
        <row r="306">
          <cell r="A306" t="str">
            <v>146535001</v>
          </cell>
          <cell r="B306" t="str">
            <v>146535001 CATEGORÍA E - RIESGO DE INCOBRABILIDAD  AYC</v>
          </cell>
          <cell r="C306">
            <v>20206871</v>
          </cell>
        </row>
        <row r="307">
          <cell r="A307" t="str">
            <v/>
          </cell>
          <cell r="B307" t="str">
            <v>Total Categoria E - Riesgo de incobrabilidad</v>
          </cell>
          <cell r="C307">
            <v>20206871</v>
          </cell>
        </row>
        <row r="308">
          <cell r="A308" t="str">
            <v/>
          </cell>
          <cell r="B308" t="str">
            <v>Total 1465 Cred Comerc-Otras garantias</v>
          </cell>
          <cell r="C308">
            <v>2804497539</v>
          </cell>
        </row>
        <row r="309">
          <cell r="A309" t="str">
            <v/>
          </cell>
          <cell r="B309" t="str">
            <v>1491. Provision Creditos de Consumo</v>
          </cell>
          <cell r="C309">
            <v>0</v>
          </cell>
        </row>
        <row r="310">
          <cell r="A310" t="str">
            <v/>
          </cell>
          <cell r="B310" t="str">
            <v>149110. Categoria b credito acept garant.</v>
          </cell>
          <cell r="C310">
            <v>0</v>
          </cell>
        </row>
        <row r="311">
          <cell r="A311" t="str">
            <v>149110001</v>
          </cell>
          <cell r="B311" t="str">
            <v>149110001 CATEGORÍA B-CRÉDITO ACEPTABLE GARANT AYC</v>
          </cell>
          <cell r="C311">
            <v>0</v>
          </cell>
        </row>
        <row r="312">
          <cell r="A312" t="str">
            <v/>
          </cell>
          <cell r="B312" t="str">
            <v>Total Categoria b credito acept garant.</v>
          </cell>
          <cell r="C312">
            <v>0</v>
          </cell>
        </row>
        <row r="313">
          <cell r="A313" t="str">
            <v/>
          </cell>
          <cell r="B313" t="str">
            <v>149112. Categoria B - Credito Aceptable Otras</v>
          </cell>
          <cell r="C313">
            <v>0</v>
          </cell>
        </row>
        <row r="314">
          <cell r="A314" t="str">
            <v>149112001</v>
          </cell>
          <cell r="B314" t="str">
            <v>149112001 CATEGORÍA B-CRÉDITO ACEPTABLE OTRAS AYC</v>
          </cell>
          <cell r="C314">
            <v>-909495</v>
          </cell>
        </row>
        <row r="315">
          <cell r="A315" t="str">
            <v/>
          </cell>
          <cell r="B315" t="str">
            <v>Total Categoria B - Credito Aceptable Otras</v>
          </cell>
          <cell r="C315">
            <v>-909495</v>
          </cell>
        </row>
        <row r="316">
          <cell r="A316" t="str">
            <v>149115001</v>
          </cell>
          <cell r="B316" t="str">
            <v>149115001 CATEGORÍA C-CRÉDITO APRECIABLE AYC</v>
          </cell>
          <cell r="C316">
            <v>0</v>
          </cell>
        </row>
        <row r="317">
          <cell r="A317" t="str">
            <v/>
          </cell>
          <cell r="B317" t="str">
            <v/>
          </cell>
          <cell r="C317">
            <v>0</v>
          </cell>
        </row>
        <row r="318">
          <cell r="A318" t="str">
            <v/>
          </cell>
          <cell r="B318" t="str">
            <v>149117. Categoria C - Credito Apreciable Otr</v>
          </cell>
          <cell r="C318">
            <v>0</v>
          </cell>
        </row>
        <row r="319">
          <cell r="A319" t="str">
            <v>149117001</v>
          </cell>
          <cell r="B319" t="str">
            <v>149117001 CATEGORÍA C-CRÉDITO APRECIAB.OTRAS AYC</v>
          </cell>
          <cell r="C319">
            <v>-4744888</v>
          </cell>
        </row>
        <row r="320">
          <cell r="A320" t="str">
            <v/>
          </cell>
          <cell r="B320" t="str">
            <v>Total Categoria C - Credito Apreciable Otras</v>
          </cell>
          <cell r="C320">
            <v>-4744888</v>
          </cell>
        </row>
        <row r="321">
          <cell r="A321" t="str">
            <v/>
          </cell>
          <cell r="B321" t="str">
            <v>149122. Categoria D - Credito Significativo O</v>
          </cell>
          <cell r="C321">
            <v>0</v>
          </cell>
        </row>
        <row r="322">
          <cell r="A322" t="str">
            <v>149122001</v>
          </cell>
          <cell r="B322" t="str">
            <v>149122001 CATEGORÍA D-CRÉDITO SIGNIFIC. OTRAS  AYC</v>
          </cell>
          <cell r="C322">
            <v>-10334942</v>
          </cell>
        </row>
        <row r="323">
          <cell r="A323" t="str">
            <v/>
          </cell>
          <cell r="B323" t="str">
            <v>Total Categoria D - Credito Significativo Otr</v>
          </cell>
          <cell r="C323">
            <v>-10334942</v>
          </cell>
        </row>
        <row r="324">
          <cell r="A324" t="str">
            <v/>
          </cell>
          <cell r="B324" t="str">
            <v>149127. Categoria E - Credito Irrecuperable O</v>
          </cell>
          <cell r="C324">
            <v>0</v>
          </cell>
        </row>
        <row r="325">
          <cell r="A325" t="str">
            <v>149127001</v>
          </cell>
          <cell r="B325" t="str">
            <v>149127001 CATEGORÍA E-CRÉDITO IRRECUPERABLE AYC</v>
          </cell>
          <cell r="C325">
            <v>-103611040</v>
          </cell>
        </row>
        <row r="326">
          <cell r="A326" t="str">
            <v/>
          </cell>
          <cell r="B326" t="str">
            <v>Otras Categoria E - Credito Irrecuperable Otr</v>
          </cell>
          <cell r="C326">
            <v>-103611040</v>
          </cell>
        </row>
        <row r="327">
          <cell r="A327" t="str">
            <v/>
          </cell>
          <cell r="B327" t="str">
            <v>Total 1491 Prov Creditos de Consumo</v>
          </cell>
          <cell r="C327">
            <v>-119600365</v>
          </cell>
        </row>
        <row r="328">
          <cell r="A328" t="str">
            <v/>
          </cell>
          <cell r="B328" t="str">
            <v>1495. Provision Creditos Comerciales</v>
          </cell>
          <cell r="C328">
            <v>0</v>
          </cell>
        </row>
        <row r="329">
          <cell r="A329" t="str">
            <v/>
          </cell>
          <cell r="B329" t="str">
            <v>149512. Categoria B - Credito Aceptable Otras</v>
          </cell>
          <cell r="C329">
            <v>0</v>
          </cell>
        </row>
        <row r="330">
          <cell r="A330" t="str">
            <v>149512001</v>
          </cell>
          <cell r="B330" t="str">
            <v>149512001 CATEGORÍA B-CRÉDITOACEPTABLE AYC</v>
          </cell>
          <cell r="C330">
            <v>-27783</v>
          </cell>
        </row>
        <row r="331">
          <cell r="A331" t="str">
            <v/>
          </cell>
          <cell r="B331" t="str">
            <v>Total Categoria B - Credito Aceptable Otras</v>
          </cell>
          <cell r="C331">
            <v>-27783</v>
          </cell>
        </row>
        <row r="332">
          <cell r="A332" t="str">
            <v/>
          </cell>
          <cell r="B332" t="str">
            <v>149517. Categoria C - Credito Apreciable Otr.</v>
          </cell>
          <cell r="C332">
            <v>0</v>
          </cell>
        </row>
        <row r="333">
          <cell r="A333" t="str">
            <v>149517001</v>
          </cell>
          <cell r="B333" t="str">
            <v>149517001 CATEGORÍA C-CRÉDITO APRECIABLE AYC</v>
          </cell>
          <cell r="C333">
            <v>0</v>
          </cell>
        </row>
        <row r="334">
          <cell r="A334" t="str">
            <v/>
          </cell>
          <cell r="B334" t="str">
            <v>Total Categoria C - Credito Apreciable Otras</v>
          </cell>
          <cell r="C334">
            <v>0</v>
          </cell>
        </row>
        <row r="335">
          <cell r="A335" t="str">
            <v/>
          </cell>
          <cell r="B335" t="str">
            <v>149522. Categoria D - Credito Significativo</v>
          </cell>
          <cell r="C335">
            <v>0</v>
          </cell>
        </row>
        <row r="336">
          <cell r="A336" t="str">
            <v>149522001</v>
          </cell>
          <cell r="B336" t="str">
            <v>149522001 CATEGORÍA D-CRÉDITO SIGNIFICATIVO AYC</v>
          </cell>
          <cell r="C336">
            <v>0</v>
          </cell>
        </row>
        <row r="337">
          <cell r="A337" t="str">
            <v/>
          </cell>
          <cell r="B337" t="str">
            <v>Total Categoria D - Credito Significativo</v>
          </cell>
          <cell r="C337">
            <v>0</v>
          </cell>
        </row>
        <row r="338">
          <cell r="A338" t="str">
            <v/>
          </cell>
          <cell r="B338" t="str">
            <v>149527. Categoria E - Credito irrecuperable</v>
          </cell>
          <cell r="C338">
            <v>0</v>
          </cell>
        </row>
        <row r="339">
          <cell r="A339" t="str">
            <v>149527001</v>
          </cell>
          <cell r="B339" t="str">
            <v>149527001 CATEGORÍA E-CRÉDITO IRRECUPERABLE AYC</v>
          </cell>
          <cell r="C339">
            <v>-20206871</v>
          </cell>
        </row>
        <row r="340">
          <cell r="A340" t="str">
            <v/>
          </cell>
          <cell r="B340" t="str">
            <v>Total Categoria E - Credito irrecuperable</v>
          </cell>
          <cell r="C340">
            <v>-20206871</v>
          </cell>
        </row>
        <row r="341">
          <cell r="A341" t="str">
            <v/>
          </cell>
          <cell r="B341" t="str">
            <v>Total 1495 Provision Creditos Comerciales</v>
          </cell>
          <cell r="C341">
            <v>-20234654</v>
          </cell>
        </row>
        <row r="342">
          <cell r="A342" t="str">
            <v/>
          </cell>
          <cell r="B342" t="str">
            <v>1498. Provision General</v>
          </cell>
          <cell r="C342">
            <v>0</v>
          </cell>
        </row>
        <row r="343">
          <cell r="A343" t="str">
            <v/>
          </cell>
          <cell r="B343" t="str">
            <v>149810. Provision Creditos Sin Libranza</v>
          </cell>
          <cell r="C343">
            <v>0</v>
          </cell>
        </row>
        <row r="344">
          <cell r="A344" t="str">
            <v>149810001</v>
          </cell>
          <cell r="B344" t="str">
            <v>149810001 PROVISION CREDITOS SIN LIBRANZA AYC</v>
          </cell>
          <cell r="C344">
            <v>-247221320</v>
          </cell>
        </row>
        <row r="345">
          <cell r="A345" t="str">
            <v/>
          </cell>
          <cell r="B345" t="str">
            <v>Total Provision Creditos Sin Libranza</v>
          </cell>
          <cell r="C345">
            <v>-247221320</v>
          </cell>
        </row>
        <row r="346">
          <cell r="A346" t="str">
            <v/>
          </cell>
          <cell r="B346" t="str">
            <v>Total 1498 Provision General</v>
          </cell>
          <cell r="C346">
            <v>-247221320</v>
          </cell>
        </row>
        <row r="347">
          <cell r="A347" t="str">
            <v/>
          </cell>
          <cell r="B347" t="str">
            <v>Total 14. Cartera de Créditos</v>
          </cell>
          <cell r="C347">
            <v>24335076588</v>
          </cell>
        </row>
        <row r="348">
          <cell r="A348" t="str">
            <v/>
          </cell>
          <cell r="B348" t="str">
            <v>16. Cuentas por Cobrar</v>
          </cell>
          <cell r="C348">
            <v>0</v>
          </cell>
        </row>
        <row r="349">
          <cell r="A349" t="str">
            <v/>
          </cell>
          <cell r="B349" t="str">
            <v>1605. Convenios por cobrar</v>
          </cell>
          <cell r="C349">
            <v>0</v>
          </cell>
        </row>
        <row r="350">
          <cell r="A350" t="str">
            <v/>
          </cell>
          <cell r="B350" t="str">
            <v>160535. Otros Servicios</v>
          </cell>
          <cell r="C350">
            <v>0</v>
          </cell>
        </row>
        <row r="351">
          <cell r="A351" t="str">
            <v>160535001</v>
          </cell>
          <cell r="B351" t="str">
            <v>160535001 CUENTA POR COBRAR POLIZAS</v>
          </cell>
          <cell r="C351">
            <v>542599713</v>
          </cell>
        </row>
        <row r="352">
          <cell r="A352" t="str">
            <v>160535002</v>
          </cell>
          <cell r="B352" t="str">
            <v>160535002 CUENTA POR COB ADMISIONES</v>
          </cell>
          <cell r="C352">
            <v>0</v>
          </cell>
        </row>
        <row r="353">
          <cell r="A353" t="str">
            <v>160535003</v>
          </cell>
          <cell r="B353" t="str">
            <v>160535003 CUENTA POR C .CURSOS SISTEMAS Y OTROS</v>
          </cell>
          <cell r="C353">
            <v>40053903</v>
          </cell>
        </row>
        <row r="354">
          <cell r="A354" t="str">
            <v>160535004</v>
          </cell>
          <cell r="B354" t="str">
            <v>160535004 CONVENIOS POR COBRAR</v>
          </cell>
          <cell r="C354">
            <v>161183976</v>
          </cell>
        </row>
        <row r="355">
          <cell r="A355" t="str">
            <v>160535005</v>
          </cell>
          <cell r="B355" t="str">
            <v>160535005 CUENTA LIST /PROCESOS SISTEMAS</v>
          </cell>
          <cell r="C355">
            <v>56788944</v>
          </cell>
        </row>
        <row r="356">
          <cell r="A356" t="str">
            <v>160535007</v>
          </cell>
          <cell r="B356" t="str">
            <v>160535007 CUENTA POR COB SANCIÓN ECONÓMICA</v>
          </cell>
          <cell r="C356">
            <v>-431351</v>
          </cell>
        </row>
        <row r="357">
          <cell r="A357" t="str">
            <v>160535009</v>
          </cell>
          <cell r="B357" t="str">
            <v>160535009 A CARGO DE EX ASOCIADOS DE MERCADEO Y OTRSO</v>
          </cell>
          <cell r="C357">
            <v>288363298</v>
          </cell>
        </row>
        <row r="358">
          <cell r="A358" t="str">
            <v/>
          </cell>
          <cell r="B358" t="str">
            <v>Total Otros Servicios</v>
          </cell>
          <cell r="C358">
            <v>1088558483</v>
          </cell>
        </row>
        <row r="359">
          <cell r="A359" t="str">
            <v/>
          </cell>
          <cell r="B359" t="str">
            <v>160595. Otros Convenios</v>
          </cell>
          <cell r="C359">
            <v>0</v>
          </cell>
        </row>
        <row r="360">
          <cell r="A360" t="str">
            <v>160595005</v>
          </cell>
          <cell r="B360" t="str">
            <v>160595005 CUENTA POR COBRAR VARIOS</v>
          </cell>
          <cell r="C360">
            <v>16419186</v>
          </cell>
        </row>
        <row r="361">
          <cell r="A361" t="str">
            <v>160595007</v>
          </cell>
          <cell r="B361" t="str">
            <v>160595007 CUENTA POR C.INSTITUCIONES NO ASOCIADAS</v>
          </cell>
          <cell r="C361">
            <v>144943721</v>
          </cell>
        </row>
        <row r="362">
          <cell r="A362" t="str">
            <v>160595015</v>
          </cell>
          <cell r="B362" t="str">
            <v>160595015 NEGOC.ESPECIALES.POR CUMPLIM. METAS</v>
          </cell>
          <cell r="C362">
            <v>0</v>
          </cell>
        </row>
        <row r="363">
          <cell r="A363" t="str">
            <v>160595189</v>
          </cell>
          <cell r="B363" t="str">
            <v>160595189 TRASLADO DE RECURSOS DE AYC A  CONSUMO</v>
          </cell>
          <cell r="C363">
            <v>0</v>
          </cell>
        </row>
        <row r="364">
          <cell r="A364" t="str">
            <v>160595199</v>
          </cell>
          <cell r="B364" t="str">
            <v>160595199 CUENTA  TRASLADO DE RECURSOS DE CONSUMO PARA AYC</v>
          </cell>
          <cell r="C364">
            <v>0</v>
          </cell>
        </row>
        <row r="365">
          <cell r="A365" t="str">
            <v/>
          </cell>
          <cell r="B365" t="str">
            <v>Total Otros Convenios</v>
          </cell>
          <cell r="C365">
            <v>161362907</v>
          </cell>
        </row>
        <row r="366">
          <cell r="A366" t="str">
            <v/>
          </cell>
          <cell r="B366" t="str">
            <v>Total 1605 Convenios por cobrar</v>
          </cell>
          <cell r="C366">
            <v>1249921390</v>
          </cell>
        </row>
        <row r="367">
          <cell r="A367" t="str">
            <v/>
          </cell>
          <cell r="B367" t="str">
            <v>1625. Anticipos de contratos y proveedores</v>
          </cell>
          <cell r="C367">
            <v>0</v>
          </cell>
        </row>
        <row r="368">
          <cell r="A368" t="str">
            <v/>
          </cell>
          <cell r="B368" t="str">
            <v>162505. Anticipos de contratos</v>
          </cell>
          <cell r="C368">
            <v>0</v>
          </cell>
        </row>
        <row r="369">
          <cell r="A369" t="str">
            <v>162505002</v>
          </cell>
          <cell r="B369" t="str">
            <v>162505002 ANTICIPOS DE CONTRATOS</v>
          </cell>
          <cell r="C369">
            <v>0</v>
          </cell>
        </row>
        <row r="370">
          <cell r="A370" t="str">
            <v/>
          </cell>
          <cell r="B370" t="str">
            <v>Total Anticipos de contratos</v>
          </cell>
          <cell r="C370">
            <v>0</v>
          </cell>
        </row>
        <row r="371">
          <cell r="A371" t="str">
            <v/>
          </cell>
          <cell r="B371" t="str">
            <v>162510. Proveedores</v>
          </cell>
          <cell r="C371">
            <v>0</v>
          </cell>
        </row>
        <row r="372">
          <cell r="A372" t="str">
            <v>162510001</v>
          </cell>
          <cell r="B372" t="str">
            <v>162510001 ANTICIPOS A PROVEEDORES VARIOS AYC</v>
          </cell>
          <cell r="C372">
            <v>0</v>
          </cell>
        </row>
        <row r="373">
          <cell r="A373" t="str">
            <v>162510011</v>
          </cell>
          <cell r="B373" t="str">
            <v>162510011 ANTICIPOS PROVEEDORES DE MERCANCIA Y SUMINISTROS</v>
          </cell>
          <cell r="C373">
            <v>644929083</v>
          </cell>
        </row>
        <row r="374">
          <cell r="A374" t="str">
            <v/>
          </cell>
          <cell r="B374" t="str">
            <v>Total Proveedores</v>
          </cell>
          <cell r="C374">
            <v>644929083</v>
          </cell>
        </row>
        <row r="375">
          <cell r="A375" t="str">
            <v/>
          </cell>
          <cell r="B375" t="str">
            <v>Total 1625 Ant de contratos y proveedores</v>
          </cell>
          <cell r="C375">
            <v>644929083</v>
          </cell>
        </row>
        <row r="376">
          <cell r="A376" t="str">
            <v/>
          </cell>
          <cell r="B376" t="str">
            <v>1635. Adelantos al personal</v>
          </cell>
          <cell r="C376">
            <v>0</v>
          </cell>
        </row>
        <row r="377">
          <cell r="A377" t="str">
            <v/>
          </cell>
          <cell r="B377" t="str">
            <v>163510. Gastos de Viaje</v>
          </cell>
          <cell r="C377">
            <v>0</v>
          </cell>
        </row>
        <row r="378">
          <cell r="A378" t="str">
            <v>163510001</v>
          </cell>
          <cell r="B378" t="str">
            <v>163510001 ANT. PERSONAL GASTOS DE VIAJE</v>
          </cell>
          <cell r="C378">
            <v>300000</v>
          </cell>
        </row>
        <row r="379">
          <cell r="A379" t="str">
            <v/>
          </cell>
          <cell r="B379" t="str">
            <v>Total Gastos de Viaje</v>
          </cell>
          <cell r="C379">
            <v>300000</v>
          </cell>
        </row>
        <row r="380">
          <cell r="A380" t="str">
            <v/>
          </cell>
          <cell r="B380" t="str">
            <v>163595. Otros</v>
          </cell>
          <cell r="C380">
            <v>0</v>
          </cell>
        </row>
        <row r="381">
          <cell r="A381" t="str">
            <v>163595001</v>
          </cell>
          <cell r="B381" t="str">
            <v>163595001 ADELANTOS VARIOS - EMPLEADOS</v>
          </cell>
          <cell r="C381">
            <v>14023822</v>
          </cell>
        </row>
        <row r="382">
          <cell r="A382" t="str">
            <v>163595004</v>
          </cell>
          <cell r="B382" t="str">
            <v>163595004 ANTICIPOS O CAJAS MENORES CAJA 2  PEREIRA</v>
          </cell>
          <cell r="C382">
            <v>1234020</v>
          </cell>
        </row>
        <row r="383">
          <cell r="A383" t="str">
            <v>163595005</v>
          </cell>
          <cell r="B383" t="str">
            <v>163595005 ANTICIPOS A CAJAS MENORES CAJA 3 BQUILLA</v>
          </cell>
          <cell r="C383">
            <v>1667366</v>
          </cell>
        </row>
        <row r="384">
          <cell r="A384" t="str">
            <v>163595006</v>
          </cell>
          <cell r="B384" t="str">
            <v>163595006 ANTICIPOS A CAJAS MENORES CAJA 4 BOGOTA</v>
          </cell>
          <cell r="C384">
            <v>3496690</v>
          </cell>
        </row>
        <row r="385">
          <cell r="A385" t="str">
            <v>163595007</v>
          </cell>
          <cell r="B385" t="str">
            <v>163595007 ANTICIPOS A CAJAS MENORES CAJA 5  MEDELLIN</v>
          </cell>
          <cell r="C385">
            <v>3732225</v>
          </cell>
        </row>
        <row r="386">
          <cell r="A386" t="str">
            <v>163595008</v>
          </cell>
          <cell r="B386" t="str">
            <v>163595008 ANTICIPOS VARIOS PARA VALES PROVISIONALES</v>
          </cell>
          <cell r="C386">
            <v>-38412</v>
          </cell>
        </row>
        <row r="387">
          <cell r="A387" t="str">
            <v>163595009</v>
          </cell>
          <cell r="B387" t="str">
            <v>163595009 ANTICIPOS A CAJAS MENORES CAJA 6 B/MANGA</v>
          </cell>
          <cell r="C387">
            <v>0</v>
          </cell>
        </row>
        <row r="388">
          <cell r="A388" t="str">
            <v>163595010</v>
          </cell>
          <cell r="B388" t="str">
            <v>163595010 ANTICIPOS A CAJAS MENORES CAJA 7 CALI</v>
          </cell>
          <cell r="C388">
            <v>1667785</v>
          </cell>
        </row>
        <row r="389">
          <cell r="A389" t="str">
            <v/>
          </cell>
          <cell r="B389" t="str">
            <v>Total Otros</v>
          </cell>
          <cell r="C389">
            <v>25783496</v>
          </cell>
        </row>
        <row r="390">
          <cell r="A390" t="str">
            <v/>
          </cell>
          <cell r="B390" t="str">
            <v>Total 1635 Adelantos al personal</v>
          </cell>
          <cell r="C390">
            <v>26083496</v>
          </cell>
        </row>
        <row r="391">
          <cell r="A391" t="str">
            <v/>
          </cell>
          <cell r="B391" t="str">
            <v>1645. Deudores cartera por venta de bienes</v>
          </cell>
          <cell r="C391">
            <v>0</v>
          </cell>
        </row>
        <row r="392">
          <cell r="A392" t="str">
            <v/>
          </cell>
          <cell r="B392" t="str">
            <v>164502. Cartera por venta de bienes</v>
          </cell>
          <cell r="C392">
            <v>0</v>
          </cell>
        </row>
        <row r="393">
          <cell r="A393" t="str">
            <v>164502001</v>
          </cell>
          <cell r="B393" t="str">
            <v>164502001 SUMINISTRO DE MERCANCÍA REGIONAL BOGOTA</v>
          </cell>
          <cell r="C393">
            <v>18713587430</v>
          </cell>
        </row>
        <row r="394">
          <cell r="A394" t="str">
            <v>164502002</v>
          </cell>
          <cell r="B394" t="str">
            <v>164502002 SUMINISTRO DE MERCANCÍA REGIONAL PEREIRA</v>
          </cell>
          <cell r="C394">
            <v>2667109455</v>
          </cell>
        </row>
        <row r="395">
          <cell r="A395" t="str">
            <v>164502003</v>
          </cell>
          <cell r="B395" t="str">
            <v>164502003 SUMINISTRO DE MERCANCÍA REGIONAL B/QUILLA</v>
          </cell>
          <cell r="C395">
            <v>3825429023</v>
          </cell>
        </row>
        <row r="396">
          <cell r="A396" t="str">
            <v>164502005</v>
          </cell>
          <cell r="B396" t="str">
            <v>164502005 SUMINISTRO DE MERCANCÍA REGIONAL MEDELLIN</v>
          </cell>
          <cell r="C396">
            <v>2726340329</v>
          </cell>
        </row>
        <row r="397">
          <cell r="A397" t="str">
            <v>164502006</v>
          </cell>
          <cell r="B397" t="str">
            <v>164502006 SUMINISTRO DE MERCANCÍA REGIONAL CALI</v>
          </cell>
          <cell r="C397">
            <v>2773707192</v>
          </cell>
        </row>
        <row r="398">
          <cell r="A398" t="str">
            <v>164502010</v>
          </cell>
          <cell r="B398" t="str">
            <v>164502010 DESCUENTOS PERDIDOS</v>
          </cell>
          <cell r="C398">
            <v>13254164</v>
          </cell>
        </row>
        <row r="399">
          <cell r="A399" t="str">
            <v>164502012</v>
          </cell>
          <cell r="B399" t="str">
            <v>164502012 CHEQUES DEVUELTOS CMO</v>
          </cell>
          <cell r="C399">
            <v>1643885</v>
          </cell>
        </row>
        <row r="400">
          <cell r="A400" t="str">
            <v>164502013</v>
          </cell>
          <cell r="B400" t="str">
            <v>164502013 REMESAS DE MERCANCÍA CMO</v>
          </cell>
          <cell r="C400">
            <v>56619655</v>
          </cell>
        </row>
        <row r="401">
          <cell r="A401" t="str">
            <v>164502098</v>
          </cell>
          <cell r="B401" t="str">
            <v>164502098 CARTERA DE PRESENTACION CARTERA VENCIDA</v>
          </cell>
          <cell r="C401">
            <v>-112489739</v>
          </cell>
        </row>
        <row r="402">
          <cell r="A402" t="str">
            <v/>
          </cell>
          <cell r="B402" t="str">
            <v>Total Cartera por venta de bienes</v>
          </cell>
          <cell r="C402">
            <v>30665201394</v>
          </cell>
        </row>
        <row r="403">
          <cell r="A403" t="str">
            <v/>
          </cell>
          <cell r="B403" t="str">
            <v>164505. Cartera Vencida entre 91 y 180 dias</v>
          </cell>
          <cell r="C403">
            <v>0</v>
          </cell>
        </row>
        <row r="404">
          <cell r="A404" t="str">
            <v>164505001</v>
          </cell>
          <cell r="B404" t="str">
            <v>164505001 CARTERA VENCIDA ENTRE 91 Y 180 DIAS</v>
          </cell>
          <cell r="C404">
            <v>96031886</v>
          </cell>
        </row>
        <row r="405">
          <cell r="A405" t="str">
            <v/>
          </cell>
          <cell r="B405" t="str">
            <v>Total  Cartera Vencida entre 91 y 180 dias</v>
          </cell>
          <cell r="C405">
            <v>96031886</v>
          </cell>
        </row>
        <row r="406">
          <cell r="A406" t="str">
            <v/>
          </cell>
          <cell r="B406" t="str">
            <v>164510. Cartera Vencida entre 181 y 360 dias</v>
          </cell>
          <cell r="C406">
            <v>0</v>
          </cell>
        </row>
        <row r="407">
          <cell r="A407" t="str">
            <v>164510001</v>
          </cell>
          <cell r="B407" t="str">
            <v>164510001 CARTERA VENCIDA ENTRE 181 Y 360 DIAS</v>
          </cell>
          <cell r="C407">
            <v>16457853</v>
          </cell>
        </row>
        <row r="408">
          <cell r="A408" t="str">
            <v/>
          </cell>
          <cell r="B408" t="str">
            <v>Total Cartera Vencida entre 181 y 360 dias</v>
          </cell>
          <cell r="C408">
            <v>16457853</v>
          </cell>
        </row>
        <row r="409">
          <cell r="A409" t="str">
            <v/>
          </cell>
          <cell r="B409" t="str">
            <v>Total 1645 Deudores cartera por vta de bienes</v>
          </cell>
          <cell r="C409">
            <v>30777691133</v>
          </cell>
        </row>
        <row r="410">
          <cell r="A410" t="str">
            <v/>
          </cell>
          <cell r="B410" t="str">
            <v>1657. Intereses vigentes Bienes</v>
          </cell>
          <cell r="C410">
            <v>0</v>
          </cell>
        </row>
        <row r="411">
          <cell r="A411" t="str">
            <v/>
          </cell>
          <cell r="B411" t="str">
            <v>165701. Intereses vigentes</v>
          </cell>
          <cell r="C411">
            <v>0</v>
          </cell>
        </row>
        <row r="412">
          <cell r="A412" t="str">
            <v>165701001</v>
          </cell>
          <cell r="B412" t="str">
            <v>165701001 INTERESES DE MORA</v>
          </cell>
          <cell r="C412">
            <v>28288123</v>
          </cell>
        </row>
        <row r="413">
          <cell r="A413" t="str">
            <v/>
          </cell>
          <cell r="B413" t="str">
            <v>Total  Intereses vigentes</v>
          </cell>
          <cell r="C413">
            <v>28288123</v>
          </cell>
        </row>
        <row r="414">
          <cell r="A414" t="str">
            <v/>
          </cell>
          <cell r="B414" t="str">
            <v>Total 1657 Intereses vigentes Bienes</v>
          </cell>
          <cell r="C414">
            <v>28288123</v>
          </cell>
        </row>
        <row r="415">
          <cell r="A415" t="str">
            <v/>
          </cell>
          <cell r="B415" t="str">
            <v>1655. Intereses</v>
          </cell>
          <cell r="C415">
            <v>0</v>
          </cell>
        </row>
        <row r="416">
          <cell r="A416" t="str">
            <v/>
          </cell>
          <cell r="B416" t="str">
            <v>165518. Categoria A riesgo normal consumo</v>
          </cell>
          <cell r="C416">
            <v>0</v>
          </cell>
        </row>
        <row r="417">
          <cell r="A417" t="str">
            <v>165518001</v>
          </cell>
          <cell r="B417" t="str">
            <v>165518001 INT.CTE CATEGORIA A RIESGO NORMAL CMO AYC</v>
          </cell>
          <cell r="C417">
            <v>149698252</v>
          </cell>
        </row>
        <row r="418">
          <cell r="A418" t="str">
            <v>165518002</v>
          </cell>
          <cell r="B418" t="str">
            <v>165518002 INT.MORA CATEGORIA A RIESGO NORMAL CMO AYC</v>
          </cell>
          <cell r="C418">
            <v>179407</v>
          </cell>
        </row>
        <row r="419">
          <cell r="A419" t="str">
            <v/>
          </cell>
          <cell r="B419" t="str">
            <v>Total Categoria A riesgo normal consumo</v>
          </cell>
          <cell r="C419">
            <v>149877659</v>
          </cell>
        </row>
        <row r="420">
          <cell r="A420" t="str">
            <v/>
          </cell>
          <cell r="B420" t="str">
            <v>165522. Categoria B riesgo aceptable consumo</v>
          </cell>
          <cell r="C420">
            <v>0</v>
          </cell>
        </row>
        <row r="421">
          <cell r="A421" t="str">
            <v>165522001</v>
          </cell>
          <cell r="B421" t="str">
            <v>165522001 INT.CTE CATEGORIA B RIESGO ACEPTABLE CMO AYC</v>
          </cell>
          <cell r="C421">
            <v>3119615</v>
          </cell>
        </row>
        <row r="422">
          <cell r="A422" t="str">
            <v>165522002</v>
          </cell>
          <cell r="B422" t="str">
            <v>165522002 INT.MOR CATEGORIA B RIESGO ACEPTABLE CMO AYC</v>
          </cell>
          <cell r="C422">
            <v>145995</v>
          </cell>
        </row>
        <row r="423">
          <cell r="A423" t="str">
            <v/>
          </cell>
          <cell r="B423" t="str">
            <v>Total Categoria B riesgo aceptable consumo</v>
          </cell>
          <cell r="C423">
            <v>3265610</v>
          </cell>
        </row>
        <row r="424">
          <cell r="A424" t="str">
            <v/>
          </cell>
          <cell r="B424" t="str">
            <v>165524. Categoria C riesgo apreciable consumo</v>
          </cell>
          <cell r="C424">
            <v>0</v>
          </cell>
        </row>
        <row r="425">
          <cell r="A425" t="str">
            <v>165524001</v>
          </cell>
          <cell r="B425" t="str">
            <v>165524001 INT.CTE CATEGORIA C RIESGO APRECIABLE CMO AYC</v>
          </cell>
          <cell r="C425">
            <v>5003489</v>
          </cell>
        </row>
        <row r="426">
          <cell r="A426" t="str">
            <v>165524002</v>
          </cell>
          <cell r="B426" t="str">
            <v>165524002 INT.MOR.CATEGORIA C RIESGO APRECIABLE CMO AYC</v>
          </cell>
          <cell r="C426">
            <v>300466</v>
          </cell>
        </row>
        <row r="427">
          <cell r="A427" t="str">
            <v/>
          </cell>
          <cell r="B427" t="str">
            <v>Total Categoria C riesgo apreciable consumo</v>
          </cell>
          <cell r="C427">
            <v>5303955</v>
          </cell>
        </row>
        <row r="428">
          <cell r="A428" t="str">
            <v/>
          </cell>
          <cell r="B428" t="str">
            <v>165526. Categoria D riesgo significativo cmo</v>
          </cell>
          <cell r="C428">
            <v>0</v>
          </cell>
        </row>
        <row r="429">
          <cell r="A429" t="str">
            <v>165526001</v>
          </cell>
          <cell r="B429" t="str">
            <v>165526001 INT.CTE CATEGORIA D RIESGO SIGNIFICATIV CMO AYC</v>
          </cell>
          <cell r="C429">
            <v>2067407</v>
          </cell>
        </row>
        <row r="430">
          <cell r="A430" t="str">
            <v>165526002</v>
          </cell>
          <cell r="B430" t="str">
            <v>165526002 INT.MOR.CATEGORIA D RIESGO SIGNIFICAT. CMO AYCC</v>
          </cell>
          <cell r="C430">
            <v>91502</v>
          </cell>
        </row>
        <row r="431">
          <cell r="A431" t="str">
            <v/>
          </cell>
          <cell r="B431" t="str">
            <v>Total Categoria D riesgo significativo cmo</v>
          </cell>
          <cell r="C431">
            <v>2158909</v>
          </cell>
        </row>
        <row r="432">
          <cell r="A432" t="str">
            <v/>
          </cell>
          <cell r="B432" t="str">
            <v>165528. Categoria E riesgo de incobrabilidad</v>
          </cell>
          <cell r="C432">
            <v>0</v>
          </cell>
        </row>
        <row r="433">
          <cell r="A433" t="str">
            <v>165528001</v>
          </cell>
          <cell r="B433" t="str">
            <v>165528001 INT.CTE CATEGORIA E RIESGO DE INCOBRA CMO AYCYC</v>
          </cell>
          <cell r="C433">
            <v>5773342</v>
          </cell>
        </row>
        <row r="434">
          <cell r="A434" t="str">
            <v>165528002</v>
          </cell>
          <cell r="B434" t="str">
            <v>165528002 INT.MOR.CATEGORIA E RIESGO DE INCOB. CMO AYCCYC</v>
          </cell>
          <cell r="C434">
            <v>554457</v>
          </cell>
        </row>
        <row r="435">
          <cell r="A435" t="str">
            <v/>
          </cell>
          <cell r="B435" t="str">
            <v>Total Categoria E riesgo de incobrabilidad</v>
          </cell>
          <cell r="C435">
            <v>6327799</v>
          </cell>
        </row>
        <row r="436">
          <cell r="A436" t="str">
            <v/>
          </cell>
          <cell r="B436" t="str">
            <v>165542. Categoria A riesgo normal Comercial</v>
          </cell>
          <cell r="C436">
            <v>0</v>
          </cell>
        </row>
        <row r="437">
          <cell r="A437" t="str">
            <v>165542001</v>
          </cell>
          <cell r="B437" t="str">
            <v>165542001 INTER.CTE -CATEGORIA A NORMAL AYC</v>
          </cell>
          <cell r="C437">
            <v>34390708</v>
          </cell>
        </row>
        <row r="438">
          <cell r="A438" t="str">
            <v>165542002</v>
          </cell>
          <cell r="B438" t="str">
            <v>165542002 INTER.MORA -CATEGORIA A NORMAL COMERCIAL AYC</v>
          </cell>
          <cell r="C438">
            <v>57635</v>
          </cell>
        </row>
        <row r="439">
          <cell r="A439" t="str">
            <v/>
          </cell>
          <cell r="B439" t="str">
            <v>Total  Categoria A riesgo normal Comercial</v>
          </cell>
          <cell r="C439">
            <v>34448343</v>
          </cell>
        </row>
        <row r="440">
          <cell r="A440" t="str">
            <v/>
          </cell>
          <cell r="B440" t="str">
            <v>165544. Categoria B riesgo aceptable, comerc</v>
          </cell>
          <cell r="C440">
            <v>0</v>
          </cell>
        </row>
        <row r="441">
          <cell r="A441" t="str">
            <v>165544001</v>
          </cell>
          <cell r="B441" t="str">
            <v>165544001 INTER.CTE -CATEGORIA B RIESGO ACEPTABLE COME AYC</v>
          </cell>
          <cell r="C441">
            <v>106100</v>
          </cell>
        </row>
        <row r="442">
          <cell r="A442" t="str">
            <v>165544002</v>
          </cell>
          <cell r="B442" t="str">
            <v>165544002 INTER.MORA -CATEGORIA B RIESGO ACEPTABLE COME AYC</v>
          </cell>
          <cell r="C442">
            <v>9900</v>
          </cell>
        </row>
        <row r="443">
          <cell r="A443" t="str">
            <v/>
          </cell>
          <cell r="B443" t="str">
            <v>Total. Categoria B riesgo aceptable, comerc</v>
          </cell>
          <cell r="C443">
            <v>116000</v>
          </cell>
        </row>
        <row r="444">
          <cell r="A444" t="str">
            <v/>
          </cell>
          <cell r="B444" t="str">
            <v>165546. Categoria C riesgo apreciable Comerc</v>
          </cell>
          <cell r="C444">
            <v>0</v>
          </cell>
        </row>
        <row r="445">
          <cell r="A445" t="str">
            <v>165546001</v>
          </cell>
          <cell r="B445" t="str">
            <v>165546001 INTER.CTE -CATEGORIA C RIESGO   AYC</v>
          </cell>
          <cell r="C445">
            <v>0</v>
          </cell>
        </row>
        <row r="446">
          <cell r="A446" t="str">
            <v>165546002</v>
          </cell>
          <cell r="B446" t="str">
            <v>165546002 INTER.MORA -CATEGORIA C RIESGO   AYC</v>
          </cell>
          <cell r="C446">
            <v>0</v>
          </cell>
        </row>
        <row r="447">
          <cell r="A447" t="str">
            <v/>
          </cell>
          <cell r="B447" t="str">
            <v>Total Categoria C riesgo apreciable Comerc</v>
          </cell>
          <cell r="C447">
            <v>0</v>
          </cell>
        </row>
        <row r="448">
          <cell r="A448" t="str">
            <v/>
          </cell>
          <cell r="B448" t="str">
            <v>165548. Categoria D riesgo Significactivo com</v>
          </cell>
          <cell r="C448">
            <v>0</v>
          </cell>
        </row>
        <row r="449">
          <cell r="A449" t="str">
            <v>165548001</v>
          </cell>
          <cell r="B449" t="str">
            <v>165548001 INT.CTE.CATEGORIA D RIESGO AYC</v>
          </cell>
          <cell r="C449">
            <v>0</v>
          </cell>
        </row>
        <row r="450">
          <cell r="A450" t="str">
            <v>165548002</v>
          </cell>
          <cell r="B450" t="str">
            <v>165548002 INTER.MORA -CATEGORIA D RIESGO   AYC</v>
          </cell>
          <cell r="C450">
            <v>0</v>
          </cell>
        </row>
        <row r="451">
          <cell r="A451" t="str">
            <v/>
          </cell>
          <cell r="B451" t="str">
            <v>Total Categoria D riesgo Significactivo com</v>
          </cell>
          <cell r="C451">
            <v>0</v>
          </cell>
        </row>
        <row r="452">
          <cell r="A452" t="str">
            <v/>
          </cell>
          <cell r="B452" t="str">
            <v>165549. Categoria E riesgo De Incobrabilidad</v>
          </cell>
          <cell r="C452">
            <v>0</v>
          </cell>
        </row>
        <row r="453">
          <cell r="A453" t="str">
            <v>165549001</v>
          </cell>
          <cell r="B453" t="str">
            <v>165549001 INTER.CTE -CATEGORIA E RIESGO AYC</v>
          </cell>
          <cell r="C453">
            <v>1018686</v>
          </cell>
        </row>
        <row r="454">
          <cell r="A454" t="str">
            <v>165549002</v>
          </cell>
          <cell r="B454" t="str">
            <v>165549002 INTER.MORA -CATEGORIA E RIESGO AYC</v>
          </cell>
          <cell r="C454">
            <v>80121</v>
          </cell>
        </row>
        <row r="455">
          <cell r="A455" t="str">
            <v/>
          </cell>
          <cell r="B455" t="str">
            <v>Total Categoria E riesgo De Incobrabilidad</v>
          </cell>
          <cell r="C455">
            <v>1098807</v>
          </cell>
        </row>
        <row r="456">
          <cell r="A456" t="str">
            <v/>
          </cell>
          <cell r="B456" t="str">
            <v>Total 1655 Intereses</v>
          </cell>
          <cell r="C456">
            <v>202597082</v>
          </cell>
        </row>
        <row r="457">
          <cell r="A457" t="str">
            <v/>
          </cell>
          <cell r="B457" t="str">
            <v>1660. Ingresos por cobrar</v>
          </cell>
          <cell r="C457">
            <v>0</v>
          </cell>
        </row>
        <row r="458">
          <cell r="A458" t="str">
            <v/>
          </cell>
          <cell r="B458" t="str">
            <v>166095. Otras</v>
          </cell>
          <cell r="C458">
            <v>0</v>
          </cell>
        </row>
        <row r="459">
          <cell r="A459" t="str">
            <v>166095001</v>
          </cell>
          <cell r="B459" t="str">
            <v>166095001 INGRESOS POR C. POR COMISIONES POLIZAS</v>
          </cell>
          <cell r="C459">
            <v>96151359</v>
          </cell>
        </row>
        <row r="460">
          <cell r="A460" t="str">
            <v>166095002</v>
          </cell>
          <cell r="B460" t="str">
            <v>166095002 INGRESOS POR C.RENDIMIENTOS INVERSIONES AYC</v>
          </cell>
          <cell r="C460">
            <v>0</v>
          </cell>
        </row>
        <row r="461">
          <cell r="A461" t="str">
            <v>166095003</v>
          </cell>
          <cell r="B461" t="str">
            <v>166095003 OTRAS CUENTAS POR COBRAR AYC</v>
          </cell>
          <cell r="C461">
            <v>0</v>
          </cell>
        </row>
        <row r="462">
          <cell r="A462" t="str">
            <v>166095004</v>
          </cell>
          <cell r="B462" t="str">
            <v>166095004 CHEQUES DEVUELTOS AYC</v>
          </cell>
          <cell r="C462">
            <v>1561177</v>
          </cell>
        </row>
        <row r="463">
          <cell r="A463" t="str">
            <v/>
          </cell>
          <cell r="B463" t="str">
            <v>Total Otras</v>
          </cell>
          <cell r="C463">
            <v>97712536</v>
          </cell>
        </row>
        <row r="464">
          <cell r="A464" t="str">
            <v/>
          </cell>
          <cell r="B464" t="str">
            <v>Total 1660 Ingresos por cobrar</v>
          </cell>
          <cell r="C464">
            <v>97712536</v>
          </cell>
        </row>
        <row r="465">
          <cell r="A465" t="str">
            <v/>
          </cell>
          <cell r="B465" t="str">
            <v>1675. Anticipos de Impuestos</v>
          </cell>
          <cell r="C465">
            <v>0</v>
          </cell>
        </row>
        <row r="466">
          <cell r="A466" t="str">
            <v/>
          </cell>
          <cell r="B466" t="str">
            <v>167510. Industria y Comercio</v>
          </cell>
          <cell r="C466">
            <v>0</v>
          </cell>
        </row>
        <row r="467">
          <cell r="A467" t="str">
            <v>167510001</v>
          </cell>
          <cell r="B467" t="str">
            <v>167510001 ANTICIPOS IND. Y COMERCIO BARRANQUILLA</v>
          </cell>
          <cell r="C467">
            <v>68884100</v>
          </cell>
        </row>
        <row r="468">
          <cell r="A468" t="str">
            <v/>
          </cell>
          <cell r="B468" t="str">
            <v>Total Industria y Comercio</v>
          </cell>
          <cell r="C468">
            <v>68884100</v>
          </cell>
        </row>
        <row r="469">
          <cell r="A469" t="str">
            <v/>
          </cell>
          <cell r="B469" t="str">
            <v>167515. Retencion en la Fuente</v>
          </cell>
          <cell r="C469">
            <v>0</v>
          </cell>
        </row>
        <row r="470">
          <cell r="A470" t="str">
            <v>167515001</v>
          </cell>
          <cell r="B470" t="str">
            <v>167515001 ANTICIPOS RETENCIÓN EN LA FUENTE       7% AYC</v>
          </cell>
          <cell r="C470">
            <v>105880115</v>
          </cell>
        </row>
        <row r="471">
          <cell r="A471" t="str">
            <v>167515002</v>
          </cell>
          <cell r="B471" t="str">
            <v>167515002 ANTICIPOS RETENCIÓN EN LA FUENTE       7% CMO</v>
          </cell>
          <cell r="C471">
            <v>94039350</v>
          </cell>
        </row>
        <row r="472">
          <cell r="A472" t="str">
            <v/>
          </cell>
          <cell r="B472" t="str">
            <v>Total Retencion en la Fuente</v>
          </cell>
          <cell r="C472">
            <v>199919465</v>
          </cell>
        </row>
        <row r="473">
          <cell r="A473" t="str">
            <v/>
          </cell>
          <cell r="B473" t="str">
            <v>167545. Impuestos Descontables</v>
          </cell>
          <cell r="C473">
            <v>0</v>
          </cell>
        </row>
        <row r="474">
          <cell r="A474" t="str">
            <v>167545001</v>
          </cell>
          <cell r="B474" t="str">
            <v>167545001 ANTICIPOS IVA POR PAGAR -DEBITO</v>
          </cell>
          <cell r="C474">
            <v>0</v>
          </cell>
        </row>
        <row r="475">
          <cell r="A475" t="str">
            <v/>
          </cell>
          <cell r="B475" t="str">
            <v>Total Impuestos Descontables</v>
          </cell>
          <cell r="C475">
            <v>0</v>
          </cell>
        </row>
        <row r="476">
          <cell r="A476" t="str">
            <v/>
          </cell>
          <cell r="B476" t="str">
            <v>Total 1675 Anticipos de Impuestos</v>
          </cell>
          <cell r="C476">
            <v>268803565</v>
          </cell>
        </row>
        <row r="477">
          <cell r="A477" t="str">
            <v/>
          </cell>
          <cell r="B477" t="str">
            <v>1690. Otras cuentas por cobrar</v>
          </cell>
          <cell r="C477">
            <v>0</v>
          </cell>
        </row>
        <row r="478">
          <cell r="A478" t="str">
            <v/>
          </cell>
          <cell r="B478" t="str">
            <v>169010. Reclamos a compañias aseguradoras</v>
          </cell>
          <cell r="C478">
            <v>0</v>
          </cell>
        </row>
        <row r="479">
          <cell r="A479" t="str">
            <v>169010000</v>
          </cell>
          <cell r="B479" t="str">
            <v>169010000 RESPONSABILIDADES PENDIENTES</v>
          </cell>
          <cell r="C479">
            <v>0</v>
          </cell>
        </row>
        <row r="480">
          <cell r="A480" t="str">
            <v>169010001</v>
          </cell>
          <cell r="B480" t="str">
            <v>169010001 OTRAS CUENTAS POR COBRAR SEGUROS</v>
          </cell>
          <cell r="C480">
            <v>0</v>
          </cell>
        </row>
        <row r="481">
          <cell r="A481" t="str">
            <v/>
          </cell>
          <cell r="B481" t="str">
            <v>Total Reclamos a compañias aseguradoras</v>
          </cell>
          <cell r="C481">
            <v>0</v>
          </cell>
        </row>
        <row r="482">
          <cell r="A482" t="str">
            <v/>
          </cell>
          <cell r="B482" t="str">
            <v>169095. Otras</v>
          </cell>
          <cell r="C482">
            <v>0</v>
          </cell>
        </row>
        <row r="483">
          <cell r="A483" t="str">
            <v>169095002</v>
          </cell>
          <cell r="B483" t="str">
            <v>169095002 EXASOCIADOS AYC</v>
          </cell>
          <cell r="C483">
            <v>0</v>
          </cell>
        </row>
        <row r="484">
          <cell r="A484" t="str">
            <v>169095003</v>
          </cell>
          <cell r="B484" t="str">
            <v>169095003 CATEGORIA B CREDITO ACEPTABLE INTERESES AYC</v>
          </cell>
          <cell r="C484">
            <v>15479146</v>
          </cell>
        </row>
        <row r="485">
          <cell r="A485" t="str">
            <v>169095005</v>
          </cell>
          <cell r="B485" t="str">
            <v>169095005 OTRAS AYC</v>
          </cell>
          <cell r="C485">
            <v>0</v>
          </cell>
        </row>
        <row r="486">
          <cell r="A486" t="str">
            <v/>
          </cell>
          <cell r="B486" t="str">
            <v>Total Otras</v>
          </cell>
          <cell r="C486">
            <v>15479146</v>
          </cell>
        </row>
        <row r="487">
          <cell r="A487" t="str">
            <v/>
          </cell>
          <cell r="B487" t="str">
            <v>Total 1690 Otras cuentas por cobrar</v>
          </cell>
          <cell r="C487">
            <v>15479146</v>
          </cell>
        </row>
        <row r="488">
          <cell r="A488" t="str">
            <v/>
          </cell>
          <cell r="B488" t="str">
            <v>1691. Provision deudores venta de bienes y se</v>
          </cell>
          <cell r="C488">
            <v>0</v>
          </cell>
        </row>
        <row r="489">
          <cell r="A489" t="str">
            <v/>
          </cell>
          <cell r="B489" t="str">
            <v>169106. Deudores por venta de bienes</v>
          </cell>
          <cell r="C489">
            <v>0</v>
          </cell>
        </row>
        <row r="490">
          <cell r="A490" t="str">
            <v>169106001</v>
          </cell>
          <cell r="B490" t="str">
            <v>169106001 PROVISION DE CARTERA POR VENTA DE BIENES Y SERVCIO</v>
          </cell>
          <cell r="C490">
            <v>-64473796</v>
          </cell>
        </row>
        <row r="491">
          <cell r="A491" t="str">
            <v/>
          </cell>
          <cell r="B491" t="str">
            <v>Total Deudores por venta de bienes</v>
          </cell>
          <cell r="C491">
            <v>-64473796</v>
          </cell>
        </row>
        <row r="492">
          <cell r="A492" t="str">
            <v/>
          </cell>
          <cell r="B492" t="str">
            <v>Total 1691 Prov deudores venta de bienes y se</v>
          </cell>
          <cell r="C492">
            <v>-64473796</v>
          </cell>
        </row>
        <row r="493">
          <cell r="A493" t="str">
            <v/>
          </cell>
          <cell r="B493" t="str">
            <v>1694. Provision cuentas por cobrar comercial</v>
          </cell>
          <cell r="C493">
            <v>0</v>
          </cell>
        </row>
        <row r="494">
          <cell r="A494" t="str">
            <v/>
          </cell>
          <cell r="B494" t="str">
            <v>169453. Categoria B -Crédito Aceptable Int</v>
          </cell>
          <cell r="C494">
            <v>0</v>
          </cell>
        </row>
        <row r="495">
          <cell r="A495" t="str">
            <v>169453001</v>
          </cell>
          <cell r="B495" t="str">
            <v>169453001 CATEGORIA B CREDITO NORMAL</v>
          </cell>
          <cell r="C495">
            <v>-106100</v>
          </cell>
        </row>
        <row r="496">
          <cell r="A496" t="str">
            <v>169453002</v>
          </cell>
          <cell r="B496" t="str">
            <v>169453002 CATEGORIA B CREDITO NORMAL</v>
          </cell>
          <cell r="C496">
            <v>-9900</v>
          </cell>
        </row>
        <row r="497">
          <cell r="A497" t="str">
            <v/>
          </cell>
          <cell r="B497" t="str">
            <v>Total Categoria B -Crédito Aceptable Int</v>
          </cell>
          <cell r="C497">
            <v>-116000</v>
          </cell>
        </row>
        <row r="498">
          <cell r="A498" t="str">
            <v/>
          </cell>
          <cell r="B498" t="str">
            <v>169454. Categoria C Credito Apreciable,inter</v>
          </cell>
          <cell r="C498">
            <v>0</v>
          </cell>
        </row>
        <row r="499">
          <cell r="A499" t="str">
            <v>169454001</v>
          </cell>
          <cell r="B499" t="str">
            <v>169454001 TOTAL CATEGORIA C CREDITO AYC</v>
          </cell>
          <cell r="C499">
            <v>0</v>
          </cell>
        </row>
        <row r="500">
          <cell r="A500" t="str">
            <v>169454002</v>
          </cell>
          <cell r="B500" t="str">
            <v>169454002 TOTAL CATEGORIA C CREDITO MORA AYC</v>
          </cell>
          <cell r="C500">
            <v>0</v>
          </cell>
        </row>
        <row r="501">
          <cell r="A501" t="str">
            <v/>
          </cell>
          <cell r="B501" t="str">
            <v>Total Categoria C Credito Apreciable,inter</v>
          </cell>
          <cell r="C501">
            <v>0</v>
          </cell>
        </row>
        <row r="502">
          <cell r="A502" t="str">
            <v/>
          </cell>
          <cell r="B502" t="str">
            <v>169456. Categoria D Credito Significativo,int</v>
          </cell>
          <cell r="C502">
            <v>0</v>
          </cell>
        </row>
        <row r="503">
          <cell r="A503" t="str">
            <v>169456001</v>
          </cell>
          <cell r="B503" t="str">
            <v>169456001 TOTAL CATEGORIA D CREDITO AYC</v>
          </cell>
          <cell r="C503">
            <v>0</v>
          </cell>
        </row>
        <row r="504">
          <cell r="A504" t="str">
            <v>169456002</v>
          </cell>
          <cell r="B504" t="str">
            <v>169456002 TOTAL CATEGORIA D CREDITO MORA AYC</v>
          </cell>
          <cell r="C504">
            <v>0</v>
          </cell>
        </row>
        <row r="505">
          <cell r="A505" t="str">
            <v/>
          </cell>
          <cell r="B505" t="str">
            <v>Total. Categoria D Credito Significativo,int</v>
          </cell>
          <cell r="C505">
            <v>0</v>
          </cell>
        </row>
        <row r="506">
          <cell r="A506" t="str">
            <v>169457001</v>
          </cell>
          <cell r="B506" t="str">
            <v>169457001 TOTAL CATEGORIA E CREDITO AYC</v>
          </cell>
          <cell r="C506">
            <v>-1018686</v>
          </cell>
        </row>
        <row r="507">
          <cell r="A507" t="str">
            <v>169457002</v>
          </cell>
          <cell r="B507" t="str">
            <v>169457002 CATEGORIA D CREDITO SIGNIFICATIVA AYC</v>
          </cell>
          <cell r="C507">
            <v>-80121</v>
          </cell>
        </row>
        <row r="508">
          <cell r="A508" t="str">
            <v/>
          </cell>
          <cell r="B508" t="str">
            <v/>
          </cell>
          <cell r="C508">
            <v>-1098807</v>
          </cell>
        </row>
        <row r="509">
          <cell r="A509" t="str">
            <v/>
          </cell>
          <cell r="B509" t="str">
            <v>Total 1694 Prov cuentas por cobrar comercial</v>
          </cell>
          <cell r="C509">
            <v>-1214807</v>
          </cell>
        </row>
        <row r="510">
          <cell r="A510" t="str">
            <v/>
          </cell>
          <cell r="B510" t="str">
            <v>1696. Provision cuentas por cobrar de consumo</v>
          </cell>
          <cell r="C510">
            <v>0</v>
          </cell>
        </row>
        <row r="511">
          <cell r="A511" t="str">
            <v/>
          </cell>
          <cell r="B511" t="str">
            <v>169653. Categoria B credito aceptable inter.</v>
          </cell>
          <cell r="C511">
            <v>0</v>
          </cell>
        </row>
        <row r="512">
          <cell r="A512" t="str">
            <v>169653001</v>
          </cell>
          <cell r="B512" t="str">
            <v>169653001 ASEGURADORA SOLIDARIA AYC</v>
          </cell>
          <cell r="C512">
            <v>-3119615</v>
          </cell>
        </row>
        <row r="513">
          <cell r="A513" t="str">
            <v>169653002</v>
          </cell>
          <cell r="B513" t="str">
            <v>169653002 INTERESES MORA CATEGORIA  B</v>
          </cell>
          <cell r="C513">
            <v>-145995</v>
          </cell>
        </row>
        <row r="514">
          <cell r="A514" t="str">
            <v/>
          </cell>
          <cell r="B514" t="str">
            <v>Total Categoria B credito aceptable inter.</v>
          </cell>
          <cell r="C514">
            <v>-3265610</v>
          </cell>
        </row>
        <row r="515">
          <cell r="A515" t="str">
            <v/>
          </cell>
          <cell r="B515" t="str">
            <v>169654. Categoria C credito apreciable inter</v>
          </cell>
          <cell r="C515">
            <v>0</v>
          </cell>
        </row>
        <row r="516">
          <cell r="A516" t="str">
            <v>169654001</v>
          </cell>
          <cell r="B516" t="str">
            <v>169654001 CATEGORIA C CREDITO ACEPTABLE INTERESES AYC</v>
          </cell>
          <cell r="C516">
            <v>-5003489</v>
          </cell>
        </row>
        <row r="517">
          <cell r="A517" t="str">
            <v>169654002</v>
          </cell>
          <cell r="B517" t="str">
            <v>169654002 CATEGORIA C CREDITO ACEPTABLE INTERESES MORA AYC</v>
          </cell>
          <cell r="C517">
            <v>-300466</v>
          </cell>
        </row>
        <row r="518">
          <cell r="A518" t="str">
            <v/>
          </cell>
          <cell r="B518" t="str">
            <v>Total Categoria C credito apreciable inter</v>
          </cell>
          <cell r="C518">
            <v>-5303955</v>
          </cell>
        </row>
        <row r="519">
          <cell r="A519" t="str">
            <v/>
          </cell>
          <cell r="B519" t="str">
            <v>169656. Categoria D credito significativo int</v>
          </cell>
          <cell r="C519">
            <v>0</v>
          </cell>
        </row>
        <row r="520">
          <cell r="A520" t="str">
            <v>169656001</v>
          </cell>
          <cell r="B520" t="str">
            <v>169656001 CATEGORIA D CREDITO ACEPTABLE INTERESES AYC</v>
          </cell>
          <cell r="C520">
            <v>-2067407</v>
          </cell>
        </row>
        <row r="521">
          <cell r="A521" t="str">
            <v>169656002</v>
          </cell>
          <cell r="B521" t="str">
            <v>169656002 CATEGORIA D CREDITO ACEPTABLE INTERESES MORA  AYC</v>
          </cell>
          <cell r="C521">
            <v>-91502</v>
          </cell>
        </row>
        <row r="522">
          <cell r="A522" t="str">
            <v/>
          </cell>
          <cell r="B522" t="str">
            <v>Total Categoria D credito significativo int</v>
          </cell>
          <cell r="C522">
            <v>-2158909</v>
          </cell>
        </row>
        <row r="523">
          <cell r="A523" t="str">
            <v/>
          </cell>
          <cell r="B523" t="str">
            <v>169657. Categoria E credito irrecuperab.inter</v>
          </cell>
          <cell r="C523">
            <v>0</v>
          </cell>
        </row>
        <row r="524">
          <cell r="A524" t="str">
            <v>169657001</v>
          </cell>
          <cell r="B524" t="str">
            <v>169657001 CATEGORIA E CREDITO ACEPTABLE INTERESES AYC</v>
          </cell>
          <cell r="C524">
            <v>-5773342</v>
          </cell>
        </row>
        <row r="525">
          <cell r="A525" t="str">
            <v>169657002</v>
          </cell>
          <cell r="B525" t="str">
            <v>169657002 CATEGORIA E CREDITO ACEPTABLE INTERESES MORA AYC</v>
          </cell>
          <cell r="C525">
            <v>-554457</v>
          </cell>
        </row>
        <row r="526">
          <cell r="A526" t="str">
            <v/>
          </cell>
          <cell r="B526" t="str">
            <v>Total Categoria E credito irrecuperab.inter</v>
          </cell>
          <cell r="C526">
            <v>-6327799</v>
          </cell>
        </row>
        <row r="527">
          <cell r="A527" t="str">
            <v/>
          </cell>
          <cell r="B527" t="str">
            <v>Total 1696 Prov cuentas por cobrar de consumo</v>
          </cell>
          <cell r="C527">
            <v>-17056273</v>
          </cell>
        </row>
        <row r="528">
          <cell r="A528" t="str">
            <v/>
          </cell>
          <cell r="B528" t="str">
            <v>1698. Otras provisiones cuentas por cobrar</v>
          </cell>
          <cell r="C528">
            <v>0</v>
          </cell>
        </row>
        <row r="529">
          <cell r="A529" t="str">
            <v/>
          </cell>
          <cell r="B529" t="str">
            <v>169895. Diversas Otras</v>
          </cell>
          <cell r="C529">
            <v>0</v>
          </cell>
        </row>
        <row r="530">
          <cell r="A530" t="str">
            <v>169895001</v>
          </cell>
          <cell r="B530" t="str">
            <v>169895001 PROVISIÓN DIVERSAS OTRAS</v>
          </cell>
          <cell r="C530">
            <v>0</v>
          </cell>
        </row>
        <row r="531">
          <cell r="A531" t="str">
            <v>169895002</v>
          </cell>
          <cell r="B531" t="str">
            <v>169895002 PROVISIÓN PARA OTRAS CUENTA POR COB</v>
          </cell>
          <cell r="C531">
            <v>-164644547</v>
          </cell>
        </row>
        <row r="532">
          <cell r="A532" t="str">
            <v/>
          </cell>
          <cell r="B532" t="str">
            <v>Total Diversas Otras</v>
          </cell>
          <cell r="C532">
            <v>-164644547</v>
          </cell>
        </row>
        <row r="533">
          <cell r="A533" t="str">
            <v/>
          </cell>
          <cell r="B533" t="str">
            <v>Total 1698 Otras prov cuentas por cobrar</v>
          </cell>
          <cell r="C533">
            <v>-164644547</v>
          </cell>
        </row>
        <row r="534">
          <cell r="A534" t="str">
            <v/>
          </cell>
          <cell r="B534" t="str">
            <v>Total 16. Cuentas por Cobrar</v>
          </cell>
          <cell r="C534">
            <v>33064116131</v>
          </cell>
        </row>
        <row r="535">
          <cell r="A535" t="str">
            <v/>
          </cell>
          <cell r="B535" t="str">
            <v>17. Propiedades planta y Equipo</v>
          </cell>
          <cell r="C535">
            <v>0</v>
          </cell>
        </row>
        <row r="536">
          <cell r="A536" t="str">
            <v/>
          </cell>
          <cell r="B536" t="str">
            <v>1705. Terrenos</v>
          </cell>
          <cell r="C536">
            <v>0</v>
          </cell>
        </row>
        <row r="537">
          <cell r="A537" t="str">
            <v/>
          </cell>
          <cell r="B537" t="str">
            <v>170505. Urbanos</v>
          </cell>
          <cell r="C537">
            <v>0</v>
          </cell>
        </row>
        <row r="538">
          <cell r="A538" t="str">
            <v>170505000</v>
          </cell>
          <cell r="B538" t="str">
            <v>170505000 TERRENOS</v>
          </cell>
          <cell r="C538">
            <v>3110760063</v>
          </cell>
        </row>
        <row r="539">
          <cell r="A539" t="str">
            <v/>
          </cell>
          <cell r="B539" t="str">
            <v>Total Urbanos</v>
          </cell>
          <cell r="C539">
            <v>3110760063</v>
          </cell>
        </row>
        <row r="540">
          <cell r="A540" t="str">
            <v/>
          </cell>
          <cell r="B540" t="str">
            <v>Total 1705 Terrenos</v>
          </cell>
          <cell r="C540">
            <v>3110760063</v>
          </cell>
        </row>
        <row r="541">
          <cell r="A541" t="str">
            <v/>
          </cell>
          <cell r="B541" t="str">
            <v>1710. Construcciones o montajes en curso</v>
          </cell>
          <cell r="C541">
            <v>0</v>
          </cell>
        </row>
        <row r="542">
          <cell r="A542" t="str">
            <v/>
          </cell>
          <cell r="B542" t="str">
            <v>171005. Construcciones en proceso</v>
          </cell>
          <cell r="C542">
            <v>0</v>
          </cell>
        </row>
        <row r="543">
          <cell r="A543" t="str">
            <v>171005000</v>
          </cell>
          <cell r="B543" t="str">
            <v>171005000 CONSTRUCCIONES EN CURSO</v>
          </cell>
          <cell r="C543">
            <v>40799208</v>
          </cell>
        </row>
        <row r="544">
          <cell r="A544" t="str">
            <v/>
          </cell>
          <cell r="B544" t="str">
            <v>Total Construcciones en proceso</v>
          </cell>
          <cell r="C544">
            <v>40799208</v>
          </cell>
        </row>
        <row r="545">
          <cell r="A545" t="str">
            <v/>
          </cell>
          <cell r="B545" t="str">
            <v>171010. Maquinaria en Montaje</v>
          </cell>
          <cell r="C545">
            <v>0</v>
          </cell>
        </row>
        <row r="546">
          <cell r="A546" t="str">
            <v>171010000</v>
          </cell>
          <cell r="B546" t="str">
            <v>171010000 MAQUINARIA EN MONTAJE</v>
          </cell>
          <cell r="C546">
            <v>0</v>
          </cell>
        </row>
        <row r="547">
          <cell r="A547" t="str">
            <v/>
          </cell>
          <cell r="B547" t="str">
            <v>Total Maquinaria en Montaje</v>
          </cell>
          <cell r="C547">
            <v>0</v>
          </cell>
        </row>
        <row r="548">
          <cell r="A548" t="str">
            <v/>
          </cell>
          <cell r="B548" t="str">
            <v>Total 1710 Construcciones o montajes en curso</v>
          </cell>
          <cell r="C548">
            <v>40799208</v>
          </cell>
        </row>
        <row r="549">
          <cell r="A549" t="str">
            <v/>
          </cell>
          <cell r="B549" t="str">
            <v>1715. Edificaciones</v>
          </cell>
          <cell r="C549">
            <v>0</v>
          </cell>
        </row>
        <row r="550">
          <cell r="A550" t="str">
            <v/>
          </cell>
          <cell r="B550" t="str">
            <v>171505. Edificios</v>
          </cell>
          <cell r="C550">
            <v>0</v>
          </cell>
        </row>
        <row r="551">
          <cell r="A551" t="str">
            <v>171505000</v>
          </cell>
          <cell r="B551" t="str">
            <v>171505000 EDIFICIOS</v>
          </cell>
          <cell r="C551">
            <v>4099487135</v>
          </cell>
        </row>
        <row r="552">
          <cell r="A552" t="str">
            <v/>
          </cell>
          <cell r="B552" t="str">
            <v>Total Edificios</v>
          </cell>
          <cell r="C552">
            <v>4099487135</v>
          </cell>
        </row>
        <row r="553">
          <cell r="A553" t="str">
            <v/>
          </cell>
          <cell r="B553" t="str">
            <v>171510. Oficinas</v>
          </cell>
          <cell r="C553">
            <v>0</v>
          </cell>
        </row>
        <row r="554">
          <cell r="A554" t="str">
            <v>171510000</v>
          </cell>
          <cell r="B554" t="str">
            <v>171510000 OFICINAS BOGOTA</v>
          </cell>
          <cell r="C554">
            <v>577302211</v>
          </cell>
        </row>
        <row r="555">
          <cell r="A555" t="str">
            <v/>
          </cell>
          <cell r="B555" t="str">
            <v>Total Oficinas</v>
          </cell>
          <cell r="C555">
            <v>577302211</v>
          </cell>
        </row>
        <row r="556">
          <cell r="A556" t="str">
            <v/>
          </cell>
          <cell r="B556" t="str">
            <v>Total 1715 Edificaciones</v>
          </cell>
          <cell r="C556">
            <v>4676789346</v>
          </cell>
        </row>
        <row r="557">
          <cell r="A557" t="str">
            <v/>
          </cell>
          <cell r="B557" t="str">
            <v>1720. Muebles y equipo de oficina</v>
          </cell>
          <cell r="C557">
            <v>0</v>
          </cell>
        </row>
        <row r="558">
          <cell r="A558" t="str">
            <v/>
          </cell>
          <cell r="B558" t="str">
            <v>172010. Muebles</v>
          </cell>
          <cell r="C558">
            <v>0</v>
          </cell>
        </row>
        <row r="559">
          <cell r="A559" t="str">
            <v>172010000</v>
          </cell>
          <cell r="B559" t="str">
            <v>172010000 MUEBLES Y ENSERES</v>
          </cell>
          <cell r="C559">
            <v>485271659</v>
          </cell>
        </row>
        <row r="560">
          <cell r="A560" t="str">
            <v>172010002</v>
          </cell>
          <cell r="B560" t="str">
            <v>172010002 MUEBLES Y ENSERES AYC</v>
          </cell>
          <cell r="C560">
            <v>45057950</v>
          </cell>
        </row>
        <row r="561">
          <cell r="A561" t="str">
            <v/>
          </cell>
          <cell r="B561" t="str">
            <v>Total Muebles</v>
          </cell>
          <cell r="C561">
            <v>530329609</v>
          </cell>
        </row>
        <row r="562">
          <cell r="A562" t="str">
            <v/>
          </cell>
          <cell r="B562" t="str">
            <v>172015. Equipo</v>
          </cell>
          <cell r="C562">
            <v>0</v>
          </cell>
        </row>
        <row r="563">
          <cell r="A563" t="str">
            <v>172015000</v>
          </cell>
          <cell r="B563" t="str">
            <v>172015000 EQUIPO DE OFICINA</v>
          </cell>
          <cell r="C563">
            <v>208442541</v>
          </cell>
        </row>
        <row r="564">
          <cell r="A564" t="str">
            <v>172015001</v>
          </cell>
          <cell r="B564" t="str">
            <v>172015001 EQUIPO DE OFICINA AYC</v>
          </cell>
          <cell r="C564">
            <v>661728</v>
          </cell>
        </row>
        <row r="565">
          <cell r="A565" t="str">
            <v>172015011</v>
          </cell>
          <cell r="B565" t="str">
            <v>172015011 EQUIPO DE OFICINA DE AYC</v>
          </cell>
          <cell r="C565">
            <v>1448041</v>
          </cell>
        </row>
        <row r="566">
          <cell r="A566" t="str">
            <v/>
          </cell>
          <cell r="B566" t="str">
            <v>Total Equipo</v>
          </cell>
          <cell r="C566">
            <v>210552310</v>
          </cell>
        </row>
        <row r="567">
          <cell r="A567" t="str">
            <v/>
          </cell>
          <cell r="B567" t="str">
            <v>Total 1720 Muebles y equipo de oficina</v>
          </cell>
          <cell r="C567">
            <v>740881919</v>
          </cell>
        </row>
        <row r="568">
          <cell r="A568" t="str">
            <v/>
          </cell>
          <cell r="B568" t="str">
            <v>1725. Equipo de computo y comunicacion</v>
          </cell>
          <cell r="C568">
            <v>0</v>
          </cell>
        </row>
        <row r="569">
          <cell r="A569" t="str">
            <v/>
          </cell>
          <cell r="B569" t="str">
            <v>172505. Equipos de Computo</v>
          </cell>
          <cell r="C569">
            <v>0</v>
          </cell>
        </row>
        <row r="570">
          <cell r="A570" t="str">
            <v>172505000</v>
          </cell>
          <cell r="B570" t="str">
            <v>172505000 COMPUTADORES</v>
          </cell>
          <cell r="C570">
            <v>2067613478</v>
          </cell>
        </row>
        <row r="571">
          <cell r="A571" t="str">
            <v>172505001</v>
          </cell>
          <cell r="B571" t="str">
            <v>172505001 COMPUTADORES CAMBIO TECNOLOGICO AYC</v>
          </cell>
          <cell r="C571">
            <v>33018247</v>
          </cell>
        </row>
        <row r="572">
          <cell r="A572" t="str">
            <v>172505011</v>
          </cell>
          <cell r="B572" t="str">
            <v>172505011 COMPUTADORES CAMBIO TECNOLO AYC</v>
          </cell>
          <cell r="C572">
            <v>0</v>
          </cell>
        </row>
        <row r="573">
          <cell r="A573" t="str">
            <v/>
          </cell>
          <cell r="B573" t="str">
            <v>Total Equipos de Computo</v>
          </cell>
          <cell r="C573">
            <v>2100631725</v>
          </cell>
        </row>
        <row r="574">
          <cell r="A574" t="str">
            <v/>
          </cell>
          <cell r="B574" t="str">
            <v>172510. Equipos de comunicacion</v>
          </cell>
          <cell r="C574">
            <v>0</v>
          </cell>
        </row>
        <row r="575">
          <cell r="A575" t="str">
            <v>172510000</v>
          </cell>
          <cell r="B575" t="str">
            <v>172510000 EQUIPO DE TELECOMUNICACIÓN</v>
          </cell>
          <cell r="C575">
            <v>305680126</v>
          </cell>
        </row>
        <row r="576">
          <cell r="A576" t="str">
            <v>172510001</v>
          </cell>
          <cell r="B576" t="str">
            <v>172510001 EQUIPO DE TELCOMUNICACIONES AYC</v>
          </cell>
          <cell r="C576">
            <v>1528166</v>
          </cell>
        </row>
        <row r="577">
          <cell r="A577" t="str">
            <v/>
          </cell>
          <cell r="B577" t="str">
            <v>Total Equipos de comunicacion</v>
          </cell>
          <cell r="C577">
            <v>307208292</v>
          </cell>
        </row>
        <row r="578">
          <cell r="A578" t="str">
            <v/>
          </cell>
          <cell r="B578" t="str">
            <v>Total 1725 Eq de computo y comunicacion</v>
          </cell>
          <cell r="C578">
            <v>2407840017</v>
          </cell>
        </row>
        <row r="579">
          <cell r="A579" t="str">
            <v/>
          </cell>
          <cell r="B579" t="str">
            <v>1732. Envases Y Empaques</v>
          </cell>
          <cell r="C579">
            <v>0</v>
          </cell>
        </row>
        <row r="580">
          <cell r="A580" t="str">
            <v/>
          </cell>
          <cell r="B580" t="str">
            <v>173205. Envases Y empaques (cjas Plasticas)</v>
          </cell>
          <cell r="C580">
            <v>0</v>
          </cell>
        </row>
        <row r="581">
          <cell r="A581" t="str">
            <v>173205000</v>
          </cell>
          <cell r="B581" t="str">
            <v>173205000 ENVASES Y EMPAQUES</v>
          </cell>
          <cell r="C581">
            <v>331868984</v>
          </cell>
        </row>
        <row r="582">
          <cell r="A582" t="str">
            <v/>
          </cell>
          <cell r="B582" t="str">
            <v>Total Envases Y empaques (cjas Plasticas)</v>
          </cell>
          <cell r="C582">
            <v>331868984</v>
          </cell>
        </row>
        <row r="583">
          <cell r="A583" t="str">
            <v/>
          </cell>
          <cell r="B583" t="str">
            <v>Total  1732 Envases Y Empaques</v>
          </cell>
          <cell r="C583">
            <v>331868984</v>
          </cell>
        </row>
        <row r="584">
          <cell r="A584" t="str">
            <v/>
          </cell>
          <cell r="B584" t="str">
            <v>1745. Maquinaria y Equipo</v>
          </cell>
          <cell r="C584">
            <v>0</v>
          </cell>
        </row>
        <row r="585">
          <cell r="A585" t="str">
            <v/>
          </cell>
          <cell r="B585" t="str">
            <v>174505. Maquinaria</v>
          </cell>
          <cell r="C585">
            <v>0</v>
          </cell>
        </row>
        <row r="586">
          <cell r="A586" t="str">
            <v>174505000</v>
          </cell>
          <cell r="B586" t="str">
            <v>174505000 MAQUINARIA</v>
          </cell>
          <cell r="C586">
            <v>4084811016</v>
          </cell>
        </row>
        <row r="587">
          <cell r="A587" t="str">
            <v/>
          </cell>
          <cell r="B587" t="str">
            <v>Total Maquinaria</v>
          </cell>
          <cell r="C587">
            <v>4084811016</v>
          </cell>
        </row>
        <row r="588">
          <cell r="A588" t="str">
            <v/>
          </cell>
          <cell r="B588" t="str">
            <v>174510. Equipo</v>
          </cell>
          <cell r="C588">
            <v>0</v>
          </cell>
        </row>
        <row r="589">
          <cell r="A589" t="str">
            <v>174510000</v>
          </cell>
          <cell r="B589" t="str">
            <v>174510000 EQUIPO BODEGA</v>
          </cell>
          <cell r="C589">
            <v>371778529</v>
          </cell>
        </row>
        <row r="590">
          <cell r="A590" t="str">
            <v/>
          </cell>
          <cell r="B590" t="str">
            <v>Total Equipo</v>
          </cell>
          <cell r="C590">
            <v>371778529</v>
          </cell>
        </row>
        <row r="591">
          <cell r="A591" t="str">
            <v/>
          </cell>
          <cell r="B591" t="str">
            <v>Total 1745 Maquinaria y Equipo</v>
          </cell>
          <cell r="C591">
            <v>4456589545</v>
          </cell>
        </row>
        <row r="592">
          <cell r="A592" t="str">
            <v/>
          </cell>
          <cell r="B592" t="str">
            <v>1795. Depreciacion Acumulada</v>
          </cell>
          <cell r="C592">
            <v>0</v>
          </cell>
        </row>
        <row r="593">
          <cell r="A593" t="str">
            <v/>
          </cell>
          <cell r="B593" t="str">
            <v>179505. Edificaciones</v>
          </cell>
          <cell r="C593">
            <v>0</v>
          </cell>
        </row>
        <row r="594">
          <cell r="A594" t="str">
            <v>179505000</v>
          </cell>
          <cell r="B594" t="str">
            <v>179505000 DEPRECIACION EDIFICACIONES</v>
          </cell>
          <cell r="C594">
            <v>-2575869120</v>
          </cell>
        </row>
        <row r="595">
          <cell r="A595" t="str">
            <v/>
          </cell>
          <cell r="B595" t="str">
            <v>Total Edificaciones</v>
          </cell>
          <cell r="C595">
            <v>-2575869120</v>
          </cell>
        </row>
        <row r="596">
          <cell r="A596" t="str">
            <v/>
          </cell>
          <cell r="B596" t="str">
            <v>179510. Muebles y equipo de oficina</v>
          </cell>
          <cell r="C596">
            <v>0</v>
          </cell>
        </row>
        <row r="597">
          <cell r="A597" t="str">
            <v>179510000</v>
          </cell>
          <cell r="B597" t="str">
            <v>179510000 DEPRECIACIÓN MUEBLES Y ENSERES Y EQUIPO DE OFICINA</v>
          </cell>
          <cell r="C597">
            <v>-191969526</v>
          </cell>
        </row>
        <row r="598">
          <cell r="A598" t="str">
            <v>179510001</v>
          </cell>
          <cell r="B598" t="str">
            <v>179510001 DEPREC MUEBLES Y ENSERES Y EQUIPO DE OFICINA  AYC</v>
          </cell>
          <cell r="C598">
            <v>-375483</v>
          </cell>
        </row>
        <row r="599">
          <cell r="A599" t="str">
            <v>179510002</v>
          </cell>
          <cell r="B599" t="str">
            <v>179510002 DEPRECIACIÓN EQUIPO DE OFICINA   AYC</v>
          </cell>
          <cell r="C599">
            <v>-57805</v>
          </cell>
        </row>
        <row r="600">
          <cell r="A600" t="str">
            <v/>
          </cell>
          <cell r="B600" t="str">
            <v>Total Muebles y equipo de oficina</v>
          </cell>
          <cell r="C600">
            <v>-192402814</v>
          </cell>
        </row>
        <row r="601">
          <cell r="A601" t="str">
            <v/>
          </cell>
          <cell r="B601" t="str">
            <v>179520. Equipo de computacion y comunicacion</v>
          </cell>
          <cell r="C601">
            <v>0</v>
          </cell>
        </row>
        <row r="602">
          <cell r="A602" t="str">
            <v>179520000</v>
          </cell>
          <cell r="B602" t="str">
            <v>179520000 DEPRECIACIÓN COMPUTADORES Y COMUNICACIONES</v>
          </cell>
          <cell r="C602">
            <v>-1223382324</v>
          </cell>
        </row>
        <row r="603">
          <cell r="A603" t="str">
            <v>179520001</v>
          </cell>
          <cell r="B603" t="str">
            <v>179520001 DEPRECIACIÓN COMPUTADORES  AYC</v>
          </cell>
          <cell r="C603">
            <v>-9064265</v>
          </cell>
        </row>
        <row r="604">
          <cell r="A604" t="str">
            <v>179520002</v>
          </cell>
          <cell r="B604" t="str">
            <v>179520002 DEPRECIACIÓN COMUNICACIONES   AYC</v>
          </cell>
          <cell r="C604">
            <v>-65114</v>
          </cell>
        </row>
        <row r="605">
          <cell r="A605" t="str">
            <v/>
          </cell>
          <cell r="B605" t="str">
            <v>Total Equipo de computacion y comunicacion</v>
          </cell>
          <cell r="C605">
            <v>-1232511703</v>
          </cell>
        </row>
        <row r="606">
          <cell r="A606" t="str">
            <v/>
          </cell>
          <cell r="B606" t="str">
            <v>179535. Envases y Empaques</v>
          </cell>
          <cell r="C606">
            <v>0</v>
          </cell>
        </row>
        <row r="607">
          <cell r="A607" t="str">
            <v>179535000</v>
          </cell>
          <cell r="B607" t="str">
            <v>179535000 DEPRECIACIÓN DEPRECIACION ENVASES Y EMPAQUES</v>
          </cell>
          <cell r="C607">
            <v>-231388900</v>
          </cell>
        </row>
        <row r="608">
          <cell r="A608" t="str">
            <v/>
          </cell>
          <cell r="B608" t="str">
            <v>Total Envases y Empaques</v>
          </cell>
          <cell r="C608">
            <v>-231388900</v>
          </cell>
        </row>
        <row r="609">
          <cell r="A609" t="str">
            <v/>
          </cell>
          <cell r="B609" t="str">
            <v>179545. Maquinaria Y equipo</v>
          </cell>
          <cell r="C609">
            <v>0</v>
          </cell>
        </row>
        <row r="610">
          <cell r="A610" t="str">
            <v>179545000</v>
          </cell>
          <cell r="B610" t="str">
            <v>179545000 DEPRECIACIÓN MAQUINARIA Y EQUIPO</v>
          </cell>
          <cell r="C610">
            <v>-389438910</v>
          </cell>
        </row>
        <row r="611">
          <cell r="A611" t="str">
            <v/>
          </cell>
          <cell r="B611" t="str">
            <v>Total Maquinaria Y equipo</v>
          </cell>
          <cell r="C611">
            <v>-389438910</v>
          </cell>
        </row>
        <row r="612">
          <cell r="A612" t="str">
            <v/>
          </cell>
          <cell r="B612" t="str">
            <v>Total 1795 Depreciacion Acumulada</v>
          </cell>
          <cell r="C612">
            <v>-4621611447</v>
          </cell>
        </row>
        <row r="613">
          <cell r="A613" t="str">
            <v/>
          </cell>
          <cell r="B613" t="str">
            <v>Total 17. Propiedades planta y Equipo</v>
          </cell>
          <cell r="C613">
            <v>11143917635</v>
          </cell>
        </row>
        <row r="614">
          <cell r="A614" t="str">
            <v/>
          </cell>
          <cell r="B614" t="str">
            <v>18. Diferidos</v>
          </cell>
          <cell r="C614">
            <v>0</v>
          </cell>
        </row>
        <row r="615">
          <cell r="A615" t="str">
            <v/>
          </cell>
          <cell r="B615" t="str">
            <v>1810. Gastos Anticipados</v>
          </cell>
          <cell r="C615">
            <v>0</v>
          </cell>
        </row>
        <row r="616">
          <cell r="A616" t="str">
            <v/>
          </cell>
          <cell r="B616" t="str">
            <v>181010. Seguros</v>
          </cell>
          <cell r="C616">
            <v>0</v>
          </cell>
        </row>
        <row r="617">
          <cell r="A617" t="str">
            <v>181010001</v>
          </cell>
          <cell r="B617" t="str">
            <v>181010001 GTOS ANTICIPADOS- POLIZAS</v>
          </cell>
          <cell r="C617">
            <v>0</v>
          </cell>
        </row>
        <row r="618">
          <cell r="A618" t="str">
            <v>181010010</v>
          </cell>
          <cell r="B618" t="str">
            <v>181010010 GTOS ANTICIPADOS- POLIZAS AUTOMOVILES</v>
          </cell>
          <cell r="C618">
            <v>0</v>
          </cell>
        </row>
        <row r="619">
          <cell r="A619" t="str">
            <v>181010011</v>
          </cell>
          <cell r="B619" t="str">
            <v>181010011 GTOS ANTICIPADOS- POL. MANEJO GLOBAL CIAL.</v>
          </cell>
          <cell r="C619">
            <v>22753979</v>
          </cell>
        </row>
        <row r="620">
          <cell r="A620" t="str">
            <v>181010012</v>
          </cell>
          <cell r="B620" t="str">
            <v>181010012 GTOS ANTICIPADOS- POLIZA RESPONSABILIDAD CIVIL</v>
          </cell>
          <cell r="C620">
            <v>1166669</v>
          </cell>
        </row>
        <row r="621">
          <cell r="A621" t="str">
            <v>181010013</v>
          </cell>
          <cell r="B621" t="str">
            <v>181010013 GTOS ANTICIPADOS- POLIZA ROTURA MAQUINARIA</v>
          </cell>
          <cell r="C621">
            <v>625629</v>
          </cell>
        </row>
        <row r="622">
          <cell r="A622" t="str">
            <v>181010014</v>
          </cell>
          <cell r="B622" t="str">
            <v>181010014 GTOS ANTICIPADOS- POLIZA ROTURA VIDRIOS</v>
          </cell>
          <cell r="C622">
            <v>59596</v>
          </cell>
        </row>
        <row r="623">
          <cell r="A623" t="str">
            <v>181010015</v>
          </cell>
          <cell r="B623" t="str">
            <v>181010015 GTOS ANTICIPADOS- POLIZA EQUIPOS ELECTRONICOS</v>
          </cell>
          <cell r="C623">
            <v>17034601</v>
          </cell>
        </row>
        <row r="624">
          <cell r="A624" t="str">
            <v>181010016</v>
          </cell>
          <cell r="B624" t="str">
            <v>181010016 GTOS ANTICIPADOS- POLIZA INCENDIO FIJA</v>
          </cell>
          <cell r="C624">
            <v>8753900</v>
          </cell>
        </row>
        <row r="625">
          <cell r="A625" t="str">
            <v>181010017</v>
          </cell>
          <cell r="B625" t="str">
            <v>181010017 GTOS ANTICIPADOS- POLIZA SUSTRACCION FIJA</v>
          </cell>
          <cell r="C625">
            <v>247923</v>
          </cell>
        </row>
        <row r="626">
          <cell r="A626" t="str">
            <v>181010018</v>
          </cell>
          <cell r="B626" t="str">
            <v>181010018 GTOS ANTICIPADOS- POLIZA SUSTRACCION FLOTANTE</v>
          </cell>
          <cell r="C626">
            <v>36540237</v>
          </cell>
        </row>
        <row r="627">
          <cell r="A627" t="str">
            <v>181010019</v>
          </cell>
          <cell r="B627" t="str">
            <v>181010019 GTOS ANTICIPADOS- POLIZA INCENDIO FLOTANTE</v>
          </cell>
          <cell r="C627">
            <v>41412299</v>
          </cell>
        </row>
        <row r="628">
          <cell r="A628" t="str">
            <v>181010051</v>
          </cell>
          <cell r="B628" t="str">
            <v>181010051 GASTOS POR FONDOS SOCIALES</v>
          </cell>
          <cell r="C628">
            <v>0</v>
          </cell>
        </row>
        <row r="629">
          <cell r="A629" t="str">
            <v/>
          </cell>
          <cell r="B629" t="str">
            <v>Total Seguros</v>
          </cell>
          <cell r="C629">
            <v>128594833</v>
          </cell>
        </row>
        <row r="630">
          <cell r="A630" t="str">
            <v/>
          </cell>
          <cell r="B630" t="str">
            <v>181020. Contrato de Mantenimiento</v>
          </cell>
          <cell r="C630">
            <v>0</v>
          </cell>
        </row>
        <row r="631">
          <cell r="A631" t="str">
            <v>181020001</v>
          </cell>
          <cell r="B631" t="str">
            <v>181020001 GTOS ANTICIPADOS- MANTENIMEINTO</v>
          </cell>
          <cell r="C631">
            <v>0</v>
          </cell>
        </row>
        <row r="632">
          <cell r="A632" t="str">
            <v/>
          </cell>
          <cell r="B632" t="str">
            <v>Total Contrato de Mantenimiento</v>
          </cell>
          <cell r="C632">
            <v>0</v>
          </cell>
        </row>
        <row r="633">
          <cell r="A633" t="str">
            <v/>
          </cell>
          <cell r="B633" t="str">
            <v>181040. Suscripciones</v>
          </cell>
          <cell r="C633">
            <v>0</v>
          </cell>
        </row>
        <row r="634">
          <cell r="A634" t="str">
            <v>181040001</v>
          </cell>
          <cell r="B634" t="str">
            <v>181040001 GTOS ANTICIPADOS -SUSCRIPCIONES</v>
          </cell>
          <cell r="C634">
            <v>3850000</v>
          </cell>
        </row>
        <row r="635">
          <cell r="A635" t="str">
            <v/>
          </cell>
          <cell r="B635" t="str">
            <v>Total Suscripciones</v>
          </cell>
          <cell r="C635">
            <v>3850000</v>
          </cell>
        </row>
        <row r="636">
          <cell r="A636" t="str">
            <v/>
          </cell>
          <cell r="B636" t="str">
            <v>Total 1810 Gastos Anticipados</v>
          </cell>
          <cell r="C636">
            <v>132444833</v>
          </cell>
        </row>
        <row r="637">
          <cell r="A637" t="str">
            <v/>
          </cell>
          <cell r="B637" t="str">
            <v>1820. Cargos Diferidos</v>
          </cell>
          <cell r="C637">
            <v>0</v>
          </cell>
        </row>
        <row r="638">
          <cell r="A638" t="str">
            <v/>
          </cell>
          <cell r="B638" t="str">
            <v>182005. Organizacion y Preoperativos</v>
          </cell>
          <cell r="C638">
            <v>0</v>
          </cell>
        </row>
        <row r="639">
          <cell r="A639" t="str">
            <v>182005051</v>
          </cell>
          <cell r="B639" t="str">
            <v>182005051 ORGANIZACION Y PREOPERATIVOS CALI</v>
          </cell>
          <cell r="C639">
            <v>0</v>
          </cell>
        </row>
        <row r="640">
          <cell r="A640" t="str">
            <v/>
          </cell>
          <cell r="B640" t="str">
            <v>Total Organizacion y Preoperativos</v>
          </cell>
          <cell r="C640">
            <v>0</v>
          </cell>
        </row>
        <row r="641">
          <cell r="A641" t="str">
            <v/>
          </cell>
          <cell r="B641" t="str">
            <v>182015. Estudios y Proyectos</v>
          </cell>
          <cell r="C641">
            <v>0</v>
          </cell>
        </row>
        <row r="642">
          <cell r="A642" t="str">
            <v>182015000</v>
          </cell>
          <cell r="B642" t="str">
            <v>182015000 DIFERIDOS -EQUIPO COMPUTO SAP</v>
          </cell>
          <cell r="C642">
            <v>0</v>
          </cell>
        </row>
        <row r="643">
          <cell r="A643" t="str">
            <v>182015002</v>
          </cell>
          <cell r="B643" t="str">
            <v>182015002 DIFERIDOS-AMORTIZACIÓN PROYECTO SAP</v>
          </cell>
          <cell r="C643">
            <v>0</v>
          </cell>
        </row>
        <row r="644">
          <cell r="A644" t="str">
            <v>182015003</v>
          </cell>
          <cell r="B644" t="str">
            <v>182015003 PROQYECTO FOMIPYME</v>
          </cell>
          <cell r="C644">
            <v>0</v>
          </cell>
        </row>
        <row r="645">
          <cell r="A645" t="str">
            <v/>
          </cell>
          <cell r="B645" t="str">
            <v>Total Estudios y Proyectos</v>
          </cell>
          <cell r="C645">
            <v>0</v>
          </cell>
        </row>
        <row r="646">
          <cell r="A646" t="str">
            <v/>
          </cell>
          <cell r="B646" t="str">
            <v>182020. Programas para Computador(sofware)</v>
          </cell>
          <cell r="C646">
            <v>0</v>
          </cell>
        </row>
        <row r="647">
          <cell r="A647" t="str">
            <v>182020000</v>
          </cell>
          <cell r="B647" t="str">
            <v>182020000 DIFER.-PROGRAMAS COMPUTADOR</v>
          </cell>
          <cell r="C647">
            <v>198281750</v>
          </cell>
        </row>
        <row r="648">
          <cell r="A648" t="str">
            <v>182020001</v>
          </cell>
          <cell r="B648" t="str">
            <v>182020001 DIFER.-PROGRAMAS COMPUTADOR AYC</v>
          </cell>
          <cell r="C648">
            <v>0</v>
          </cell>
        </row>
        <row r="649">
          <cell r="A649" t="str">
            <v>182020010</v>
          </cell>
          <cell r="B649" t="str">
            <v>182020010 CARGOS DIFERIDOS PROGRAMAS SOFTWARE</v>
          </cell>
          <cell r="C649">
            <v>1030389990</v>
          </cell>
        </row>
        <row r="650">
          <cell r="A650" t="str">
            <v/>
          </cell>
          <cell r="B650" t="str">
            <v>Total Programas para Computador(sofware)</v>
          </cell>
          <cell r="C650">
            <v>1228671740</v>
          </cell>
        </row>
        <row r="651">
          <cell r="A651" t="str">
            <v/>
          </cell>
          <cell r="B651" t="str">
            <v>182030. Mejoras Prop.Tomadas en arriendamien.</v>
          </cell>
          <cell r="C651">
            <v>0</v>
          </cell>
        </row>
        <row r="652">
          <cell r="A652" t="str">
            <v>182030010</v>
          </cell>
          <cell r="B652" t="str">
            <v>182030010 CARGOS DIFERIDOS MEJORAS PROPIEDADES ARRENDADAS</v>
          </cell>
          <cell r="C652">
            <v>0</v>
          </cell>
        </row>
        <row r="653">
          <cell r="A653" t="str">
            <v/>
          </cell>
          <cell r="B653" t="str">
            <v>Total Mejoras Prop.Tomadas en arriendamien.</v>
          </cell>
          <cell r="C653">
            <v>0</v>
          </cell>
        </row>
        <row r="654">
          <cell r="A654" t="str">
            <v/>
          </cell>
          <cell r="B654" t="str">
            <v>182045. Impuestos</v>
          </cell>
          <cell r="C654">
            <v>0</v>
          </cell>
        </row>
        <row r="655">
          <cell r="A655" t="str">
            <v>182045000</v>
          </cell>
          <cell r="B655" t="str">
            <v>182045000 DIFER.-IMPUESTO PREDIAL Y VALORIZACIÓN</v>
          </cell>
          <cell r="C655">
            <v>10223501</v>
          </cell>
        </row>
        <row r="656">
          <cell r="A656" t="str">
            <v/>
          </cell>
          <cell r="B656" t="str">
            <v>Total  Impuestos</v>
          </cell>
          <cell r="C656">
            <v>10223501</v>
          </cell>
        </row>
        <row r="657">
          <cell r="A657" t="str">
            <v/>
          </cell>
          <cell r="B657" t="str">
            <v>182050. Contribuciones y afiliaciones</v>
          </cell>
          <cell r="C657">
            <v>0</v>
          </cell>
        </row>
        <row r="658">
          <cell r="A658" t="str">
            <v>182050001</v>
          </cell>
          <cell r="B658" t="str">
            <v>182050001 DIFER.-SÚPER-SOLIDARIA</v>
          </cell>
          <cell r="C658">
            <v>30312256</v>
          </cell>
        </row>
        <row r="659">
          <cell r="A659" t="str">
            <v/>
          </cell>
          <cell r="B659" t="str">
            <v>Total Contribuciones y afiliaciones</v>
          </cell>
          <cell r="C659">
            <v>30312256</v>
          </cell>
        </row>
        <row r="660">
          <cell r="A660" t="str">
            <v/>
          </cell>
          <cell r="B660" t="str">
            <v>182065. Elementos Dotacion y suministro a tra</v>
          </cell>
          <cell r="C660">
            <v>0</v>
          </cell>
        </row>
        <row r="661">
          <cell r="A661" t="str">
            <v>182065000</v>
          </cell>
          <cell r="B661" t="str">
            <v>182065000 DIFER.-UNIFORMES Y DOTACION</v>
          </cell>
          <cell r="C661">
            <v>-513165</v>
          </cell>
        </row>
        <row r="662">
          <cell r="A662" t="str">
            <v>182065011</v>
          </cell>
          <cell r="B662" t="str">
            <v>182065011 DOTACION FUNCIONARIOS</v>
          </cell>
          <cell r="C662">
            <v>60761599</v>
          </cell>
        </row>
        <row r="663">
          <cell r="A663" t="str">
            <v/>
          </cell>
          <cell r="B663" t="str">
            <v>Total Elementos Dotacion y suministro a trab,</v>
          </cell>
          <cell r="C663">
            <v>60248434</v>
          </cell>
        </row>
        <row r="664">
          <cell r="A664" t="str">
            <v/>
          </cell>
          <cell r="B664" t="str">
            <v>182095. Otros</v>
          </cell>
          <cell r="C664">
            <v>0</v>
          </cell>
        </row>
        <row r="665">
          <cell r="A665" t="str">
            <v>182095000</v>
          </cell>
          <cell r="B665" t="str">
            <v>182095000 DIFER.-ELEMENTOS DE EMPAQUE</v>
          </cell>
          <cell r="C665">
            <v>0</v>
          </cell>
        </row>
        <row r="666">
          <cell r="A666" t="str">
            <v/>
          </cell>
          <cell r="B666" t="str">
            <v>Total Otros</v>
          </cell>
          <cell r="C666">
            <v>0</v>
          </cell>
        </row>
        <row r="667">
          <cell r="A667" t="str">
            <v/>
          </cell>
          <cell r="B667" t="str">
            <v>Total 1820 Cargos Diferidos</v>
          </cell>
          <cell r="C667">
            <v>1329455931</v>
          </cell>
        </row>
        <row r="668">
          <cell r="A668" t="str">
            <v/>
          </cell>
          <cell r="B668" t="str">
            <v>Total 18. Diferidos</v>
          </cell>
          <cell r="C668">
            <v>1461900764</v>
          </cell>
        </row>
        <row r="669">
          <cell r="A669" t="str">
            <v/>
          </cell>
          <cell r="B669" t="str">
            <v>19. Otros Activos</v>
          </cell>
          <cell r="C669">
            <v>0</v>
          </cell>
        </row>
        <row r="670">
          <cell r="A670" t="str">
            <v/>
          </cell>
          <cell r="B670" t="str">
            <v>1904. Sucursales Y agencias</v>
          </cell>
          <cell r="C670">
            <v>0</v>
          </cell>
        </row>
        <row r="671">
          <cell r="A671" t="str">
            <v/>
          </cell>
          <cell r="B671" t="str">
            <v>190405. Traslado de fondos</v>
          </cell>
          <cell r="C671">
            <v>0</v>
          </cell>
        </row>
        <row r="672">
          <cell r="A672" t="str">
            <v>190405001</v>
          </cell>
          <cell r="B672" t="str">
            <v>190405001 TRASLADO DE AHORROS</v>
          </cell>
          <cell r="C672">
            <v>0</v>
          </cell>
        </row>
        <row r="673">
          <cell r="A673" t="str">
            <v>190405002</v>
          </cell>
          <cell r="B673" t="str">
            <v>190405002 TRASLADO DE FONDOS</v>
          </cell>
          <cell r="C673">
            <v>0</v>
          </cell>
        </row>
        <row r="674">
          <cell r="A674" t="str">
            <v>190405003</v>
          </cell>
          <cell r="B674" t="str">
            <v>190405003 TRASLADO DE EXASOCIADOS</v>
          </cell>
          <cell r="C674">
            <v>0</v>
          </cell>
        </row>
        <row r="675">
          <cell r="A675" t="str">
            <v>190405004</v>
          </cell>
          <cell r="B675" t="str">
            <v>190405004 TRASLADO DE INVERSIONES</v>
          </cell>
          <cell r="C675">
            <v>0</v>
          </cell>
        </row>
        <row r="676">
          <cell r="A676" t="str">
            <v>190405005</v>
          </cell>
          <cell r="B676" t="str">
            <v>190405005 TRASLADO DE GASTOS GENERALES</v>
          </cell>
          <cell r="C676">
            <v>0</v>
          </cell>
        </row>
        <row r="677">
          <cell r="A677" t="str">
            <v/>
          </cell>
          <cell r="B677" t="str">
            <v>Total Traslado de fondos</v>
          </cell>
          <cell r="C677">
            <v>0</v>
          </cell>
        </row>
        <row r="678">
          <cell r="A678" t="str">
            <v/>
          </cell>
          <cell r="B678" t="str">
            <v>Total  1904 Sucursales Y agencias</v>
          </cell>
          <cell r="C678">
            <v>0</v>
          </cell>
        </row>
        <row r="679">
          <cell r="A679" t="str">
            <v/>
          </cell>
          <cell r="B679" t="str">
            <v>1910. Activos intangibles</v>
          </cell>
          <cell r="C679">
            <v>0</v>
          </cell>
        </row>
        <row r="680">
          <cell r="A680" t="str">
            <v/>
          </cell>
          <cell r="B680" t="str">
            <v>191005. Marcas y Patentes</v>
          </cell>
          <cell r="C680">
            <v>0</v>
          </cell>
        </row>
        <row r="681">
          <cell r="A681" t="str">
            <v>191005000</v>
          </cell>
          <cell r="B681" t="str">
            <v>191005000 INTANGIBLES-MARCAS Y PATENTES</v>
          </cell>
          <cell r="C681">
            <v>61022157</v>
          </cell>
        </row>
        <row r="682">
          <cell r="A682" t="str">
            <v/>
          </cell>
          <cell r="B682" t="str">
            <v>Total Marcas y Patentes</v>
          </cell>
          <cell r="C682">
            <v>61022157</v>
          </cell>
        </row>
        <row r="683">
          <cell r="A683" t="str">
            <v/>
          </cell>
          <cell r="B683" t="str">
            <v>Total 1910 Activos intangibles</v>
          </cell>
          <cell r="C683">
            <v>61022157</v>
          </cell>
        </row>
        <row r="684">
          <cell r="A684" t="str">
            <v/>
          </cell>
          <cell r="B684" t="str">
            <v>1985. Responsabilidades Pendientes</v>
          </cell>
          <cell r="C684">
            <v>0</v>
          </cell>
        </row>
        <row r="685">
          <cell r="A685" t="str">
            <v/>
          </cell>
          <cell r="B685" t="str">
            <v>198515. Otros</v>
          </cell>
          <cell r="C685">
            <v>0</v>
          </cell>
        </row>
        <row r="686">
          <cell r="A686" t="str">
            <v>198515000</v>
          </cell>
          <cell r="B686" t="str">
            <v>198515000 RESPONSABILIDADES PENDIENTES</v>
          </cell>
          <cell r="C686">
            <v>0</v>
          </cell>
        </row>
        <row r="687">
          <cell r="A687" t="str">
            <v/>
          </cell>
          <cell r="B687" t="str">
            <v>Total Otros</v>
          </cell>
          <cell r="C687">
            <v>0</v>
          </cell>
        </row>
        <row r="688">
          <cell r="A688" t="str">
            <v/>
          </cell>
          <cell r="B688" t="str">
            <v>Total 1985 Responsabilidades Pendientes</v>
          </cell>
          <cell r="C688">
            <v>0</v>
          </cell>
        </row>
        <row r="689">
          <cell r="A689" t="str">
            <v/>
          </cell>
          <cell r="B689" t="str">
            <v>1987. Otras Inversiones</v>
          </cell>
          <cell r="C689">
            <v>0</v>
          </cell>
        </row>
        <row r="690">
          <cell r="A690" t="str">
            <v/>
          </cell>
          <cell r="B690" t="str">
            <v>198715. Entidades sin animo de lucro</v>
          </cell>
          <cell r="C690">
            <v>0</v>
          </cell>
        </row>
        <row r="691">
          <cell r="A691" t="str">
            <v>198715001</v>
          </cell>
          <cell r="B691" t="str">
            <v>198715001 APORTES ASCOOP</v>
          </cell>
          <cell r="C691">
            <v>629570</v>
          </cell>
        </row>
        <row r="692">
          <cell r="A692" t="str">
            <v/>
          </cell>
          <cell r="B692" t="str">
            <v>Total Invers. en Entidades sin animo de lucro</v>
          </cell>
          <cell r="C692">
            <v>629570</v>
          </cell>
        </row>
        <row r="693">
          <cell r="A693" t="str">
            <v/>
          </cell>
          <cell r="B693" t="str">
            <v>198795. Otras inversiones</v>
          </cell>
          <cell r="C693">
            <v>0</v>
          </cell>
        </row>
        <row r="694">
          <cell r="A694" t="str">
            <v>198795001</v>
          </cell>
          <cell r="B694" t="str">
            <v>198795001 APORTES COOPDESARROLLO</v>
          </cell>
          <cell r="C694">
            <v>351243881</v>
          </cell>
        </row>
        <row r="695">
          <cell r="A695" t="str">
            <v>198795002</v>
          </cell>
          <cell r="B695" t="str">
            <v>198795002 APORTES SEGUROS LA EQUIDAD</v>
          </cell>
          <cell r="C695">
            <v>197526589</v>
          </cell>
        </row>
        <row r="696">
          <cell r="A696" t="str">
            <v>198795003</v>
          </cell>
          <cell r="B696" t="str">
            <v>198795003 APORTES SALUDCOOP</v>
          </cell>
          <cell r="C696">
            <v>98658930</v>
          </cell>
        </row>
        <row r="697">
          <cell r="A697" t="str">
            <v>198795004</v>
          </cell>
          <cell r="B697" t="str">
            <v>198795004 APORTES EN UCONAL ( BOCEAS)</v>
          </cell>
          <cell r="C697">
            <v>10386927</v>
          </cell>
        </row>
        <row r="698">
          <cell r="A698" t="str">
            <v>198795005</v>
          </cell>
          <cell r="B698" t="str">
            <v>198795005 ICOM INDUSTRIA COLOMBIANA DE MEDICAMENTOS LTDA</v>
          </cell>
          <cell r="C698">
            <v>9000000</v>
          </cell>
        </row>
        <row r="699">
          <cell r="A699" t="str">
            <v/>
          </cell>
          <cell r="B699" t="str">
            <v>Total  Otras inversiones</v>
          </cell>
          <cell r="C699">
            <v>666816327</v>
          </cell>
        </row>
        <row r="700">
          <cell r="A700" t="str">
            <v/>
          </cell>
          <cell r="B700" t="str">
            <v>Total 1987 Otras Inversiones</v>
          </cell>
          <cell r="C700">
            <v>667445897</v>
          </cell>
        </row>
        <row r="701">
          <cell r="A701" t="str">
            <v/>
          </cell>
          <cell r="B701" t="str">
            <v>1990. Diversos</v>
          </cell>
          <cell r="C701">
            <v>0</v>
          </cell>
        </row>
        <row r="702">
          <cell r="A702" t="str">
            <v/>
          </cell>
          <cell r="B702" t="str">
            <v>199050. Bienes Entregado en Comodato</v>
          </cell>
          <cell r="C702">
            <v>0</v>
          </cell>
        </row>
        <row r="703">
          <cell r="A703" t="str">
            <v>199050000</v>
          </cell>
          <cell r="B703" t="str">
            <v>199050000 BIENES ENTRAGADOS COMODATO MUEBLES Y ENSERES</v>
          </cell>
          <cell r="C703">
            <v>0</v>
          </cell>
        </row>
        <row r="704">
          <cell r="A704" t="str">
            <v>199050010</v>
          </cell>
          <cell r="B704" t="str">
            <v>199050010 BIENES ENTRAGADOS COMODATO EQ. COMPUTO</v>
          </cell>
          <cell r="C704">
            <v>0</v>
          </cell>
        </row>
        <row r="705">
          <cell r="A705" t="str">
            <v/>
          </cell>
          <cell r="B705" t="str">
            <v>Total Bienes Entregado en Comodato</v>
          </cell>
          <cell r="C705">
            <v>0</v>
          </cell>
        </row>
        <row r="706">
          <cell r="A706" t="str">
            <v/>
          </cell>
          <cell r="B706" t="str">
            <v>199095. Otros</v>
          </cell>
          <cell r="C706">
            <v>0</v>
          </cell>
        </row>
        <row r="707">
          <cell r="A707" t="str">
            <v>199095001</v>
          </cell>
          <cell r="B707" t="str">
            <v>199095001 OTROS TÍTULOS Y BIENES</v>
          </cell>
          <cell r="C707">
            <v>187568</v>
          </cell>
        </row>
        <row r="708">
          <cell r="A708" t="str">
            <v/>
          </cell>
          <cell r="B708" t="str">
            <v>Total Otros</v>
          </cell>
          <cell r="C708">
            <v>187568</v>
          </cell>
        </row>
        <row r="709">
          <cell r="A709" t="str">
            <v/>
          </cell>
          <cell r="B709" t="str">
            <v>Total 1990 Diversos</v>
          </cell>
          <cell r="C709">
            <v>187568</v>
          </cell>
        </row>
        <row r="710">
          <cell r="A710" t="str">
            <v/>
          </cell>
          <cell r="B710" t="str">
            <v>1995. Valorizaciones</v>
          </cell>
          <cell r="C710">
            <v>0</v>
          </cell>
        </row>
        <row r="711">
          <cell r="A711" t="str">
            <v/>
          </cell>
          <cell r="B711" t="str">
            <v>199510. Propiedad, Planta y Equipo</v>
          </cell>
          <cell r="C711">
            <v>0</v>
          </cell>
        </row>
        <row r="712">
          <cell r="A712" t="str">
            <v>199510001</v>
          </cell>
          <cell r="B712" t="str">
            <v>199510001 VALORIZACIÓN PROP.PLANTA Y EQUIPO</v>
          </cell>
          <cell r="C712">
            <v>5931175538</v>
          </cell>
        </row>
        <row r="713">
          <cell r="A713" t="str">
            <v>199510003</v>
          </cell>
          <cell r="B713" t="str">
            <v>199510003 VALORIZACIÓN  DE OTROS ACTIVOD</v>
          </cell>
          <cell r="C713">
            <v>23573649</v>
          </cell>
        </row>
        <row r="714">
          <cell r="A714" t="str">
            <v/>
          </cell>
          <cell r="B714" t="str">
            <v>Total Propiedad, Planta y Equipo</v>
          </cell>
          <cell r="C714">
            <v>5954749187</v>
          </cell>
        </row>
        <row r="715">
          <cell r="A715" t="str">
            <v/>
          </cell>
          <cell r="B715" t="str">
            <v>Total 1995 Valorizaciones</v>
          </cell>
          <cell r="C715">
            <v>5954749187</v>
          </cell>
        </row>
        <row r="716">
          <cell r="A716" t="str">
            <v/>
          </cell>
          <cell r="B716" t="str">
            <v>1999. Provision otros activos</v>
          </cell>
          <cell r="C716">
            <v>0</v>
          </cell>
        </row>
        <row r="717">
          <cell r="A717" t="str">
            <v/>
          </cell>
          <cell r="B717" t="str">
            <v>199935. Otras inversiones</v>
          </cell>
          <cell r="C717">
            <v>0</v>
          </cell>
        </row>
        <row r="718">
          <cell r="A718" t="str">
            <v>199935001</v>
          </cell>
          <cell r="B718" t="str">
            <v>199935001 PROVISIÓN PARA INVERSIONES PERMANENTES</v>
          </cell>
          <cell r="C718">
            <v>-361630808</v>
          </cell>
        </row>
        <row r="719">
          <cell r="A719" t="str">
            <v/>
          </cell>
          <cell r="B719" t="str">
            <v>Total Otras inversiones</v>
          </cell>
          <cell r="C719">
            <v>-361630808</v>
          </cell>
        </row>
        <row r="720">
          <cell r="A720" t="str">
            <v/>
          </cell>
          <cell r="B720" t="str">
            <v>199999. Amortización Acumulada (Cr)</v>
          </cell>
          <cell r="C720">
            <v>0</v>
          </cell>
        </row>
        <row r="721">
          <cell r="A721" t="str">
            <v>199099000</v>
          </cell>
          <cell r="B721" t="str">
            <v>199099000 AMORTIZACION ACUM.COMODATO MUEBLES Y ENSERES (CR)</v>
          </cell>
          <cell r="C721">
            <v>0</v>
          </cell>
        </row>
        <row r="722">
          <cell r="A722" t="str">
            <v>199099010</v>
          </cell>
          <cell r="B722" t="str">
            <v>199099010 AMORTIZACION ACUM.COMODATO EQ. COMPUTO (CR)</v>
          </cell>
          <cell r="C722">
            <v>0</v>
          </cell>
        </row>
        <row r="723">
          <cell r="A723" t="str">
            <v/>
          </cell>
          <cell r="B723" t="str">
            <v>Total. Amortización Acumulada (Cr)</v>
          </cell>
          <cell r="C723">
            <v>0</v>
          </cell>
        </row>
        <row r="724">
          <cell r="A724" t="str">
            <v/>
          </cell>
          <cell r="B724" t="str">
            <v>Total 1999 Provision otros activos</v>
          </cell>
          <cell r="C724">
            <v>-361630808</v>
          </cell>
        </row>
        <row r="725">
          <cell r="A725" t="str">
            <v/>
          </cell>
          <cell r="B725" t="str">
            <v>Total 19. Otros Activos</v>
          </cell>
          <cell r="C725">
            <v>6321774001</v>
          </cell>
        </row>
        <row r="726">
          <cell r="A726" t="str">
            <v/>
          </cell>
          <cell r="B726" t="str">
            <v>Total 1 Activos</v>
          </cell>
          <cell r="C726">
            <v>158334118822</v>
          </cell>
        </row>
        <row r="727">
          <cell r="A727" t="str">
            <v/>
          </cell>
          <cell r="B727" t="str">
            <v>Total Pasivo y Patrimonio</v>
          </cell>
          <cell r="C727">
            <v>0</v>
          </cell>
        </row>
        <row r="728">
          <cell r="A728" t="str">
            <v/>
          </cell>
          <cell r="B728" t="str">
            <v>2. Pasivo</v>
          </cell>
          <cell r="C728">
            <v>0</v>
          </cell>
        </row>
        <row r="729">
          <cell r="A729" t="str">
            <v/>
          </cell>
          <cell r="B729" t="str">
            <v>21. Depositos</v>
          </cell>
          <cell r="C729">
            <v>0</v>
          </cell>
        </row>
        <row r="730">
          <cell r="A730" t="str">
            <v/>
          </cell>
          <cell r="B730" t="str">
            <v>2110. Certificados depositos de ahorro a term</v>
          </cell>
          <cell r="C730">
            <v>0</v>
          </cell>
        </row>
        <row r="731">
          <cell r="A731" t="str">
            <v/>
          </cell>
          <cell r="B731" t="str">
            <v>211005. Emitidos menos de 6 meses</v>
          </cell>
          <cell r="C731">
            <v>0</v>
          </cell>
        </row>
        <row r="732">
          <cell r="A732" t="str">
            <v>211005001</v>
          </cell>
          <cell r="B732" t="str">
            <v>211005001 EMITIDOS MENOS DE 6 MESES AYC</v>
          </cell>
          <cell r="C732">
            <v>-2415526017</v>
          </cell>
        </row>
        <row r="733">
          <cell r="A733" t="str">
            <v/>
          </cell>
          <cell r="B733" t="str">
            <v>Total Emitidos menos de 6 meses</v>
          </cell>
          <cell r="C733">
            <v>-2415526017</v>
          </cell>
        </row>
        <row r="734">
          <cell r="A734" t="str">
            <v/>
          </cell>
          <cell r="B734" t="str">
            <v>211010. Titulos emitidos a 6 Meses &lt; 12 Meses</v>
          </cell>
          <cell r="C734">
            <v>0</v>
          </cell>
        </row>
        <row r="735">
          <cell r="A735" t="str">
            <v>211010001</v>
          </cell>
          <cell r="B735" t="str">
            <v>211010001 EMITIDOS IGUAL A  6 MESES Y MENOS DE 12 AYC</v>
          </cell>
          <cell r="C735">
            <v>-3583709396</v>
          </cell>
        </row>
        <row r="736">
          <cell r="A736" t="str">
            <v/>
          </cell>
          <cell r="B736" t="str">
            <v>Total Titulos emitidos a 6 Meses &lt; 12 Meses</v>
          </cell>
          <cell r="C736">
            <v>-3583709396</v>
          </cell>
        </row>
        <row r="737">
          <cell r="A737" t="str">
            <v/>
          </cell>
          <cell r="B737" t="str">
            <v>Total 2110 Cert depositos de ahorro a term</v>
          </cell>
          <cell r="C737">
            <v>-5999235413</v>
          </cell>
        </row>
        <row r="738">
          <cell r="A738" t="str">
            <v/>
          </cell>
          <cell r="B738" t="str">
            <v>2125. Depositos de ahorro contractual</v>
          </cell>
          <cell r="C738">
            <v>0</v>
          </cell>
        </row>
        <row r="739">
          <cell r="A739" t="str">
            <v/>
          </cell>
          <cell r="B739" t="str">
            <v>212505. Depositos a corto plazo - Activas</v>
          </cell>
          <cell r="C739">
            <v>0</v>
          </cell>
        </row>
        <row r="740">
          <cell r="A740" t="str">
            <v>212505001</v>
          </cell>
          <cell r="B740" t="str">
            <v>212505001 DEPÓSITOS CONTRACTUALES       A y C</v>
          </cell>
          <cell r="C740">
            <v>-16109874692</v>
          </cell>
        </row>
        <row r="741">
          <cell r="A741" t="str">
            <v>212505002</v>
          </cell>
          <cell r="B741" t="str">
            <v>212505002 CUBRIMIENTO DE CESANTÍAS       A y C</v>
          </cell>
          <cell r="C741">
            <v>-663629798</v>
          </cell>
        </row>
        <row r="742">
          <cell r="A742" t="str">
            <v>212505004</v>
          </cell>
          <cell r="B742" t="str">
            <v>212505004 AHORRO PARA TURISMO           A y C</v>
          </cell>
          <cell r="C742">
            <v>-105341772</v>
          </cell>
        </row>
        <row r="743">
          <cell r="A743" t="str">
            <v/>
          </cell>
          <cell r="B743" t="str">
            <v>Total Depositos a corto plazo - Activas</v>
          </cell>
          <cell r="C743">
            <v>-16878846262</v>
          </cell>
        </row>
        <row r="744">
          <cell r="A744" t="str">
            <v/>
          </cell>
          <cell r="B744" t="str">
            <v>Total 2125 Depositos de ahorro contractual</v>
          </cell>
          <cell r="C744">
            <v>-16878846262</v>
          </cell>
        </row>
        <row r="745">
          <cell r="A745" t="str">
            <v/>
          </cell>
          <cell r="B745" t="str">
            <v>Total 21. Depositos</v>
          </cell>
          <cell r="C745">
            <v>-22878081675</v>
          </cell>
        </row>
        <row r="746">
          <cell r="A746" t="str">
            <v/>
          </cell>
          <cell r="B746" t="str">
            <v>23. Creditos de bancos y otras obligaciones F</v>
          </cell>
          <cell r="C746">
            <v>0</v>
          </cell>
        </row>
        <row r="747">
          <cell r="A747" t="str">
            <v/>
          </cell>
          <cell r="B747" t="str">
            <v>2305. Creditos ordinarios Corto Plazo</v>
          </cell>
          <cell r="C747">
            <v>0</v>
          </cell>
        </row>
        <row r="748">
          <cell r="A748" t="str">
            <v/>
          </cell>
          <cell r="B748" t="str">
            <v>230525. Sobregiros</v>
          </cell>
          <cell r="C748">
            <v>0</v>
          </cell>
        </row>
        <row r="749">
          <cell r="A749" t="str">
            <v>230525001</v>
          </cell>
          <cell r="B749" t="str">
            <v>230525001 SOBREGIROS BANCARIOS</v>
          </cell>
          <cell r="C749">
            <v>-110270415</v>
          </cell>
        </row>
        <row r="750">
          <cell r="A750" t="str">
            <v>230525010</v>
          </cell>
          <cell r="B750" t="str">
            <v>230525010 SOBREGIROS CONTABLES AYC</v>
          </cell>
          <cell r="C750">
            <v>0</v>
          </cell>
        </row>
        <row r="751">
          <cell r="A751" t="str">
            <v/>
          </cell>
          <cell r="B751" t="str">
            <v>Total Sobregiros</v>
          </cell>
          <cell r="C751">
            <v>-110270415</v>
          </cell>
        </row>
        <row r="752">
          <cell r="A752" t="str">
            <v/>
          </cell>
          <cell r="B752" t="str">
            <v>Total 2305 Creditos ordinarios Corto Plazo</v>
          </cell>
          <cell r="C752">
            <v>-110270415</v>
          </cell>
        </row>
        <row r="753">
          <cell r="A753" t="str">
            <v/>
          </cell>
          <cell r="B753" t="str">
            <v>Total 23. Creditos bancos y otras oblig Fin.</v>
          </cell>
          <cell r="C753">
            <v>-110270415</v>
          </cell>
        </row>
        <row r="754">
          <cell r="A754" t="str">
            <v/>
          </cell>
          <cell r="B754" t="str">
            <v>24. Cuentas Por Pagar</v>
          </cell>
          <cell r="C754">
            <v>0</v>
          </cell>
        </row>
        <row r="755">
          <cell r="A755" t="str">
            <v/>
          </cell>
          <cell r="B755" t="str">
            <v>2405. Intereses</v>
          </cell>
          <cell r="C755">
            <v>0</v>
          </cell>
        </row>
        <row r="756">
          <cell r="A756" t="str">
            <v/>
          </cell>
          <cell r="B756" t="str">
            <v>240510. Certificado depositos de ahorro a ter</v>
          </cell>
          <cell r="C756">
            <v>0</v>
          </cell>
        </row>
        <row r="757">
          <cell r="A757" t="str">
            <v>240510001</v>
          </cell>
          <cell r="B757" t="str">
            <v>240510001 CERTIFICADOS DE DEP. A TERMINO  AYC</v>
          </cell>
          <cell r="C757">
            <v>-74753172</v>
          </cell>
        </row>
        <row r="758">
          <cell r="A758" t="str">
            <v/>
          </cell>
          <cell r="B758" t="str">
            <v>Total Certificado depositos de ahorro a ter</v>
          </cell>
          <cell r="C758">
            <v>-74753172</v>
          </cell>
        </row>
        <row r="759">
          <cell r="A759" t="str">
            <v/>
          </cell>
          <cell r="B759" t="str">
            <v>240595. Otros</v>
          </cell>
          <cell r="C759">
            <v>0</v>
          </cell>
        </row>
        <row r="760">
          <cell r="A760" t="str">
            <v>240595003</v>
          </cell>
          <cell r="B760" t="str">
            <v>240595003 CUENTA POR PAGAR ASOCIADOS</v>
          </cell>
          <cell r="C760">
            <v>-88656</v>
          </cell>
        </row>
        <row r="761">
          <cell r="A761" t="str">
            <v/>
          </cell>
          <cell r="B761" t="str">
            <v>Total Otros</v>
          </cell>
          <cell r="C761">
            <v>-88656</v>
          </cell>
        </row>
        <row r="762">
          <cell r="A762" t="str">
            <v/>
          </cell>
          <cell r="B762" t="str">
            <v>Total 2405 Intereses</v>
          </cell>
          <cell r="C762">
            <v>-74841828</v>
          </cell>
        </row>
        <row r="763">
          <cell r="A763" t="str">
            <v/>
          </cell>
          <cell r="B763" t="str">
            <v>2415. Costos Y gastos Por pagar</v>
          </cell>
          <cell r="C763">
            <v>0</v>
          </cell>
        </row>
        <row r="764">
          <cell r="A764" t="str">
            <v/>
          </cell>
          <cell r="B764" t="str">
            <v>241530. Seguros</v>
          </cell>
          <cell r="C764">
            <v>0</v>
          </cell>
        </row>
        <row r="765">
          <cell r="A765" t="str">
            <v>241530000</v>
          </cell>
          <cell r="B765" t="str">
            <v>241530000 CUENTAS POR PAGAR  SEGUROS</v>
          </cell>
          <cell r="C765">
            <v>0</v>
          </cell>
        </row>
        <row r="766">
          <cell r="A766" t="str">
            <v/>
          </cell>
          <cell r="B766" t="str">
            <v>Total Seguros</v>
          </cell>
          <cell r="C766">
            <v>0</v>
          </cell>
        </row>
        <row r="767">
          <cell r="A767" t="str">
            <v/>
          </cell>
          <cell r="B767" t="str">
            <v>241595. Otros</v>
          </cell>
          <cell r="C767">
            <v>0</v>
          </cell>
        </row>
        <row r="768">
          <cell r="A768" t="str">
            <v>241595001</v>
          </cell>
          <cell r="B768" t="str">
            <v>241595001 CUENTA POR PAGAR CUOTAS DE ASOCOLDRO</v>
          </cell>
          <cell r="C768">
            <v>-61005700</v>
          </cell>
        </row>
        <row r="769">
          <cell r="A769" t="str">
            <v>241595002</v>
          </cell>
          <cell r="B769" t="str">
            <v>241595002 CUENTA POR PAGAR TRANSPORTES</v>
          </cell>
          <cell r="C769">
            <v>-709620</v>
          </cell>
        </row>
        <row r="770">
          <cell r="A770" t="str">
            <v>241595005</v>
          </cell>
          <cell r="B770" t="str">
            <v>241595005 COSTOS Y GASTOS POR PAGAR</v>
          </cell>
          <cell r="C770">
            <v>-301655102</v>
          </cell>
        </row>
        <row r="771">
          <cell r="A771" t="str">
            <v>241595007</v>
          </cell>
          <cell r="B771" t="str">
            <v>241595007 DIFERENCIA EN  CONCILIACIONES BANCARIAS</v>
          </cell>
          <cell r="C771">
            <v>0</v>
          </cell>
        </row>
        <row r="772">
          <cell r="A772" t="str">
            <v>241595011</v>
          </cell>
          <cell r="B772" t="str">
            <v>241595011 PROVISIÓN RTOS CUBRIMIENTO DE CESANTIAS  A y C</v>
          </cell>
          <cell r="C772">
            <v>0</v>
          </cell>
        </row>
        <row r="773">
          <cell r="A773" t="str">
            <v>241595022</v>
          </cell>
          <cell r="B773" t="str">
            <v>241595022 CUENTA POR PAGAR FLETES Y REMESAS</v>
          </cell>
          <cell r="C773">
            <v>-2883422</v>
          </cell>
        </row>
        <row r="774">
          <cell r="A774" t="str">
            <v>241595024</v>
          </cell>
          <cell r="B774" t="str">
            <v>241595024 CUENTA X PAGAR  POLIZAS INSTITUCIONALES CAUSACION</v>
          </cell>
          <cell r="C774">
            <v>-1283849</v>
          </cell>
        </row>
        <row r="775">
          <cell r="A775" t="str">
            <v>241595025</v>
          </cell>
          <cell r="B775" t="str">
            <v>241595025 CUENTA POR PAGAR EMPLEADOS</v>
          </cell>
          <cell r="C775">
            <v>-7590703</v>
          </cell>
        </row>
        <row r="776">
          <cell r="A776" t="str">
            <v>241595026</v>
          </cell>
          <cell r="B776" t="str">
            <v>241595026 CUENTA POR PAGAR  POLIZAS (TRANSITORIA)</v>
          </cell>
          <cell r="C776">
            <v>-29502644</v>
          </cell>
        </row>
        <row r="777">
          <cell r="A777" t="str">
            <v>241595027</v>
          </cell>
          <cell r="B777" t="str">
            <v>241595027 CUENTAS POR PAGAR FUNDECOPI</v>
          </cell>
          <cell r="C777">
            <v>-30000000</v>
          </cell>
        </row>
        <row r="778">
          <cell r="A778" t="str">
            <v>241595039</v>
          </cell>
          <cell r="B778" t="str">
            <v>241595039 BONOS Y RIFAS POR PAGAR</v>
          </cell>
          <cell r="C778">
            <v>0</v>
          </cell>
        </row>
        <row r="779">
          <cell r="A779" t="str">
            <v>241595041</v>
          </cell>
          <cell r="B779" t="str">
            <v>241595041 CXP POLIZAS MANEJO GLOBAL CIAL</v>
          </cell>
          <cell r="C779">
            <v>0</v>
          </cell>
        </row>
        <row r="780">
          <cell r="A780" t="str">
            <v>241595042</v>
          </cell>
          <cell r="B780" t="str">
            <v>241595042 CXP POLIZAS RESPONSABILIDAD CIVIL</v>
          </cell>
          <cell r="C780">
            <v>0</v>
          </cell>
        </row>
        <row r="781">
          <cell r="A781" t="str">
            <v>241595043</v>
          </cell>
          <cell r="B781" t="str">
            <v>241595043 CXP POLIZAS ROTURA DE MAQUINARIA</v>
          </cell>
          <cell r="C781">
            <v>0</v>
          </cell>
        </row>
        <row r="782">
          <cell r="A782" t="str">
            <v>241595044</v>
          </cell>
          <cell r="B782" t="str">
            <v>241595044 CXP POLIZAS ROTURA DE VIDIROS</v>
          </cell>
          <cell r="C782">
            <v>0</v>
          </cell>
        </row>
        <row r="783">
          <cell r="A783" t="str">
            <v>241595045</v>
          </cell>
          <cell r="B783" t="str">
            <v>241595045 CXP POLIZAS EQUIPOS ELECTRONICOS</v>
          </cell>
          <cell r="C783">
            <v>0</v>
          </cell>
        </row>
        <row r="784">
          <cell r="A784" t="str">
            <v>241595046</v>
          </cell>
          <cell r="B784" t="str">
            <v>241595046 CXP POLIZAS INCD FIJA</v>
          </cell>
          <cell r="C784">
            <v>0</v>
          </cell>
        </row>
        <row r="785">
          <cell r="A785" t="str">
            <v>241595047</v>
          </cell>
          <cell r="B785" t="str">
            <v>241595047 CXP POLIZAS SUSTRACCION FIJA</v>
          </cell>
          <cell r="C785">
            <v>0</v>
          </cell>
        </row>
        <row r="786">
          <cell r="A786" t="str">
            <v>241595048</v>
          </cell>
          <cell r="B786" t="str">
            <v>241595048 CXP POLIZAS SUSTRACCION FLOTANTE</v>
          </cell>
          <cell r="C786">
            <v>-12187500</v>
          </cell>
        </row>
        <row r="787">
          <cell r="A787" t="str">
            <v>241595049</v>
          </cell>
          <cell r="B787" t="str">
            <v>241595049 CXP POLIZAS INCENDIO FLOTANTE</v>
          </cell>
          <cell r="C787">
            <v>-13812500</v>
          </cell>
        </row>
        <row r="788">
          <cell r="A788" t="str">
            <v>241595050</v>
          </cell>
          <cell r="B788" t="str">
            <v>241595050 CXP POLIZAS TRANSPORTE</v>
          </cell>
          <cell r="C788">
            <v>-16416849</v>
          </cell>
        </row>
        <row r="789">
          <cell r="A789" t="str">
            <v>241595051</v>
          </cell>
          <cell r="B789" t="str">
            <v>241595051 CXP POLIZAS SUBSIDIO COPIDROGAS</v>
          </cell>
          <cell r="C789">
            <v>0</v>
          </cell>
        </row>
        <row r="790">
          <cell r="A790" t="str">
            <v>241595052</v>
          </cell>
          <cell r="B790" t="str">
            <v>241595052 CXP POLIZAS CARTERA DEUDORES</v>
          </cell>
          <cell r="C790">
            <v>-40011109</v>
          </cell>
        </row>
        <row r="791">
          <cell r="A791" t="str">
            <v>241595053</v>
          </cell>
          <cell r="B791" t="str">
            <v>241595053 CXP POLIZAS VALORES</v>
          </cell>
          <cell r="C791">
            <v>-552524</v>
          </cell>
        </row>
        <row r="792">
          <cell r="A792" t="str">
            <v>241595099</v>
          </cell>
          <cell r="B792" t="str">
            <v>241595099 CUENTA X PAGAR  VARIOS CAUSACION</v>
          </cell>
          <cell r="C792">
            <v>0</v>
          </cell>
        </row>
        <row r="793">
          <cell r="A793" t="str">
            <v/>
          </cell>
          <cell r="B793" t="str">
            <v>Total Otros</v>
          </cell>
          <cell r="C793">
            <v>-517611522</v>
          </cell>
        </row>
        <row r="794">
          <cell r="A794" t="str">
            <v/>
          </cell>
          <cell r="B794" t="str">
            <v>Total 2415 Costos Y gastos Por pagar</v>
          </cell>
          <cell r="C794">
            <v>-517611522</v>
          </cell>
        </row>
        <row r="795">
          <cell r="A795" t="str">
            <v/>
          </cell>
          <cell r="B795" t="str">
            <v>2435. Proveedores</v>
          </cell>
          <cell r="C795">
            <v>0</v>
          </cell>
        </row>
        <row r="796">
          <cell r="A796" t="str">
            <v/>
          </cell>
          <cell r="B796" t="str">
            <v>243505. Nacionales</v>
          </cell>
          <cell r="C796">
            <v>0</v>
          </cell>
        </row>
        <row r="797">
          <cell r="A797" t="str">
            <v>243505001</v>
          </cell>
          <cell r="B797" t="str">
            <v>243505001 PROVEEDORES SUMINISTRO DE MERCANCÍA</v>
          </cell>
          <cell r="C797">
            <v>-51878927601</v>
          </cell>
        </row>
        <row r="798">
          <cell r="A798" t="str">
            <v>243505003</v>
          </cell>
          <cell r="B798" t="str">
            <v>243505003 PROVEED.SUMINISTRO DE MERCANCÍA (NOTAS.)</v>
          </cell>
          <cell r="C798">
            <v>-1149128</v>
          </cell>
        </row>
        <row r="799">
          <cell r="A799" t="str">
            <v>243505991</v>
          </cell>
          <cell r="B799" t="str">
            <v>243505991 INVENTARIO EM/RF</v>
          </cell>
          <cell r="C799">
            <v>12601930</v>
          </cell>
        </row>
        <row r="800">
          <cell r="A800" t="str">
            <v/>
          </cell>
          <cell r="B800" t="str">
            <v>Total Nacionales</v>
          </cell>
          <cell r="C800">
            <v>-51867474799</v>
          </cell>
        </row>
        <row r="801">
          <cell r="A801" t="str">
            <v/>
          </cell>
          <cell r="B801" t="str">
            <v>Total 2435 Proveedores</v>
          </cell>
          <cell r="C801">
            <v>-51867474799</v>
          </cell>
        </row>
        <row r="802">
          <cell r="A802" t="str">
            <v/>
          </cell>
          <cell r="B802" t="str">
            <v>2442. Gravamen a los movimientos financieros</v>
          </cell>
          <cell r="C802">
            <v>0</v>
          </cell>
        </row>
        <row r="803">
          <cell r="A803" t="str">
            <v/>
          </cell>
          <cell r="B803" t="str">
            <v>244205. Sobre Depositos de ahorros</v>
          </cell>
          <cell r="C803">
            <v>0</v>
          </cell>
        </row>
        <row r="804">
          <cell r="A804" t="str">
            <v>244205001</v>
          </cell>
          <cell r="B804" t="str">
            <v>244205001 GRAVAMEN DEL 3 x MIL   AYC</v>
          </cell>
          <cell r="C804">
            <v>-911429</v>
          </cell>
        </row>
        <row r="805">
          <cell r="A805" t="str">
            <v/>
          </cell>
          <cell r="B805" t="str">
            <v>Total Sobre Depositos de ahorros</v>
          </cell>
          <cell r="C805">
            <v>-911429</v>
          </cell>
        </row>
        <row r="806">
          <cell r="A806" t="str">
            <v/>
          </cell>
          <cell r="B806" t="str">
            <v>Total 2442 Gravamen a los movim financieros</v>
          </cell>
          <cell r="C806">
            <v>-911429</v>
          </cell>
        </row>
        <row r="807">
          <cell r="A807" t="str">
            <v/>
          </cell>
          <cell r="B807" t="str">
            <v>2445. Retenciones en la Fuente</v>
          </cell>
          <cell r="C807">
            <v>0</v>
          </cell>
        </row>
        <row r="808">
          <cell r="A808" t="str">
            <v/>
          </cell>
          <cell r="B808" t="str">
            <v>244505. Salarios y pagos laborales</v>
          </cell>
          <cell r="C808">
            <v>0</v>
          </cell>
        </row>
        <row r="809">
          <cell r="A809" t="str">
            <v>244505001</v>
          </cell>
          <cell r="B809" t="str">
            <v>244505001 RETEFUENTE POR SALARIOS</v>
          </cell>
          <cell r="C809">
            <v>-13521675</v>
          </cell>
        </row>
        <row r="810">
          <cell r="A810" t="str">
            <v/>
          </cell>
          <cell r="B810" t="str">
            <v>Total Salarios y pagos laborales</v>
          </cell>
          <cell r="C810">
            <v>-13521675</v>
          </cell>
        </row>
        <row r="811">
          <cell r="A811" t="str">
            <v/>
          </cell>
          <cell r="B811" t="str">
            <v>244515. Honorarios</v>
          </cell>
          <cell r="C811">
            <v>0</v>
          </cell>
        </row>
        <row r="812">
          <cell r="A812" t="str">
            <v>244515001</v>
          </cell>
          <cell r="B812" t="str">
            <v>244515001 RETEFUENTE HONORARIOS (10%)</v>
          </cell>
          <cell r="C812">
            <v>-3626110</v>
          </cell>
        </row>
        <row r="813">
          <cell r="A813" t="str">
            <v>244515002</v>
          </cell>
          <cell r="B813" t="str">
            <v>244515002 RETEFUENTE HONORARIOS (11%)</v>
          </cell>
          <cell r="C813">
            <v>-3445431</v>
          </cell>
        </row>
        <row r="814">
          <cell r="A814" t="str">
            <v>244515013</v>
          </cell>
          <cell r="B814" t="str">
            <v>244515013 * RETEFUENTE HONORARIOS (11%)</v>
          </cell>
          <cell r="C814">
            <v>-443520</v>
          </cell>
        </row>
        <row r="815">
          <cell r="A815" t="str">
            <v/>
          </cell>
          <cell r="B815" t="str">
            <v>Total Honorarios</v>
          </cell>
          <cell r="C815">
            <v>-7515061</v>
          </cell>
        </row>
        <row r="816">
          <cell r="A816" t="str">
            <v/>
          </cell>
          <cell r="B816" t="str">
            <v>244525. Servicios</v>
          </cell>
          <cell r="C816">
            <v>0</v>
          </cell>
        </row>
        <row r="817">
          <cell r="A817" t="str">
            <v>244525001</v>
          </cell>
          <cell r="B817" t="str">
            <v>244525001 SERVICIOS GENERALES(6%)  AYC</v>
          </cell>
          <cell r="C817">
            <v>0</v>
          </cell>
        </row>
        <row r="818">
          <cell r="A818" t="str">
            <v>244525002</v>
          </cell>
          <cell r="B818" t="str">
            <v>244525002 SERVICIO DE VIGILANCIA Y ASEO</v>
          </cell>
          <cell r="C818">
            <v>-201072</v>
          </cell>
        </row>
        <row r="819">
          <cell r="A819" t="str">
            <v>244525004</v>
          </cell>
          <cell r="B819" t="str">
            <v>244525004 SERVICIOS DE TRASPORTE (1%)</v>
          </cell>
          <cell r="C819">
            <v>-5855435</v>
          </cell>
        </row>
        <row r="820">
          <cell r="A820" t="str">
            <v>244525005</v>
          </cell>
          <cell r="B820" t="str">
            <v>244525005 SERVICIO DE TRASPORTE DE PASAJEROS   3.5%</v>
          </cell>
          <cell r="C820">
            <v>-14000</v>
          </cell>
        </row>
        <row r="821">
          <cell r="A821" t="str">
            <v>244525006</v>
          </cell>
          <cell r="B821" t="str">
            <v>244525006 SERVICIOS TEMPORALES          2.0%</v>
          </cell>
          <cell r="C821">
            <v>-815982</v>
          </cell>
        </row>
        <row r="822">
          <cell r="A822" t="str">
            <v>244525007</v>
          </cell>
          <cell r="B822" t="str">
            <v>244525007 SERVICIOS GENERALES(4Y6%) CMO</v>
          </cell>
          <cell r="C822">
            <v>-2820903</v>
          </cell>
        </row>
        <row r="823">
          <cell r="A823" t="str">
            <v>244525011</v>
          </cell>
          <cell r="B823" t="str">
            <v>244525011 * SERVICIOS GENERALES(6%) CMO</v>
          </cell>
          <cell r="C823">
            <v>0</v>
          </cell>
        </row>
        <row r="824">
          <cell r="A824" t="str">
            <v>244525015</v>
          </cell>
          <cell r="B824" t="str">
            <v>244525015 * SERVICIO DE TRASPORTE DE PASAJEROS   3.5%</v>
          </cell>
          <cell r="C824">
            <v>0</v>
          </cell>
        </row>
        <row r="825">
          <cell r="A825" t="str">
            <v/>
          </cell>
          <cell r="B825" t="str">
            <v>Total Servicios</v>
          </cell>
          <cell r="C825">
            <v>-9707392</v>
          </cell>
        </row>
        <row r="826">
          <cell r="A826" t="str">
            <v/>
          </cell>
          <cell r="B826" t="str">
            <v>244530. Arrendamientos</v>
          </cell>
          <cell r="C826">
            <v>0</v>
          </cell>
        </row>
        <row r="827">
          <cell r="A827" t="str">
            <v>244530001</v>
          </cell>
          <cell r="B827" t="str">
            <v>244530001 RETEFUENTE POR ARRENDAMIENTO INMUEB.   3.5%</v>
          </cell>
          <cell r="C827">
            <v>-921158</v>
          </cell>
        </row>
        <row r="828">
          <cell r="A828" t="str">
            <v>244530002</v>
          </cell>
          <cell r="B828" t="str">
            <v>244530002 RETEFUENTE POR ARRENDAMIENTO MUEMB.   4.0%</v>
          </cell>
          <cell r="C828">
            <v>-393067</v>
          </cell>
        </row>
        <row r="829">
          <cell r="A829" t="str">
            <v/>
          </cell>
          <cell r="B829" t="str">
            <v>Total Arrendamientos</v>
          </cell>
          <cell r="C829">
            <v>-1314225</v>
          </cell>
        </row>
        <row r="830">
          <cell r="A830" t="str">
            <v/>
          </cell>
          <cell r="B830" t="str">
            <v>244535. Rendimientos Financieros</v>
          </cell>
          <cell r="C830">
            <v>0</v>
          </cell>
        </row>
        <row r="831">
          <cell r="A831" t="str">
            <v>244535001</v>
          </cell>
          <cell r="B831" t="str">
            <v>244535001 RENDIMIENTOS FINANCIEROS        7.0% AYC</v>
          </cell>
          <cell r="C831">
            <v>-7401109</v>
          </cell>
        </row>
        <row r="832">
          <cell r="A832" t="str">
            <v>244535003</v>
          </cell>
          <cell r="B832" t="str">
            <v>244535003 RENDIMIENTOS FINANCIEROS     CDAT AYC</v>
          </cell>
          <cell r="C832">
            <v>-3026384</v>
          </cell>
        </row>
        <row r="833">
          <cell r="A833" t="str">
            <v/>
          </cell>
          <cell r="B833" t="str">
            <v>Total Rendimientos Financieros</v>
          </cell>
          <cell r="C833">
            <v>-10427493</v>
          </cell>
        </row>
        <row r="834">
          <cell r="A834" t="str">
            <v/>
          </cell>
          <cell r="B834" t="str">
            <v>244540. Compras</v>
          </cell>
          <cell r="C834">
            <v>0</v>
          </cell>
        </row>
        <row r="835">
          <cell r="A835" t="str">
            <v>244540001</v>
          </cell>
          <cell r="B835" t="str">
            <v>244540001 COMPRAS A PROVEEDORES (3.5% Y 1.5%)</v>
          </cell>
          <cell r="C835">
            <v>-245028889</v>
          </cell>
        </row>
        <row r="836">
          <cell r="A836" t="str">
            <v>244540003</v>
          </cell>
          <cell r="B836" t="str">
            <v>244540003 COMPRAS DE COMBUSTIBLES (0.1%)</v>
          </cell>
          <cell r="C836">
            <v>0</v>
          </cell>
        </row>
        <row r="837">
          <cell r="A837" t="str">
            <v>244540004</v>
          </cell>
          <cell r="B837" t="str">
            <v>244540004 COMPRAS Y SUM.S (3.5%)</v>
          </cell>
          <cell r="C837">
            <v>-24797562</v>
          </cell>
        </row>
        <row r="838">
          <cell r="A838" t="str">
            <v>244540013</v>
          </cell>
          <cell r="B838" t="str">
            <v>244540013 * COMPRAS Y SUM.S (3.5%)</v>
          </cell>
          <cell r="C838">
            <v>-621377</v>
          </cell>
        </row>
        <row r="839">
          <cell r="A839" t="str">
            <v/>
          </cell>
          <cell r="B839" t="str">
            <v>Total Compras</v>
          </cell>
          <cell r="C839">
            <v>-270447828</v>
          </cell>
        </row>
        <row r="840">
          <cell r="A840" t="str">
            <v/>
          </cell>
          <cell r="B840" t="str">
            <v>244545. Loterias, rifas y similares</v>
          </cell>
          <cell r="C840">
            <v>0</v>
          </cell>
        </row>
        <row r="841">
          <cell r="A841" t="str">
            <v>244545001</v>
          </cell>
          <cell r="B841" t="str">
            <v>244545001 LOTERIAS, RIFAS Y SIMILARES</v>
          </cell>
          <cell r="C841">
            <v>0</v>
          </cell>
        </row>
        <row r="842">
          <cell r="A842" t="str">
            <v/>
          </cell>
          <cell r="B842" t="str">
            <v>Total loterias, rifas y similares</v>
          </cell>
          <cell r="C842">
            <v>0</v>
          </cell>
        </row>
        <row r="843">
          <cell r="A843" t="str">
            <v/>
          </cell>
          <cell r="B843" t="str">
            <v>244565. Por impuesto de timbre</v>
          </cell>
          <cell r="C843">
            <v>0</v>
          </cell>
        </row>
        <row r="844">
          <cell r="A844" t="str">
            <v>244565001</v>
          </cell>
          <cell r="B844" t="str">
            <v>244565001 TIMBRES Y PAGARES             1.5%   58.500.000</v>
          </cell>
          <cell r="C844">
            <v>0</v>
          </cell>
        </row>
        <row r="845">
          <cell r="A845" t="str">
            <v>244565002</v>
          </cell>
          <cell r="B845" t="str">
            <v>244565002 TIMBRES Y PAGARES             0.75%   60.142..000</v>
          </cell>
          <cell r="C845">
            <v>-1457679</v>
          </cell>
        </row>
        <row r="846">
          <cell r="A846" t="str">
            <v>244565011</v>
          </cell>
          <cell r="B846" t="str">
            <v>244565011 * TIMBRES Y PAGARES             1.5%   58.500.000</v>
          </cell>
          <cell r="C846">
            <v>-4583324</v>
          </cell>
        </row>
        <row r="847">
          <cell r="A847" t="str">
            <v/>
          </cell>
          <cell r="B847" t="str">
            <v>Total Por impuesto de timbre</v>
          </cell>
          <cell r="C847">
            <v>-6041003</v>
          </cell>
        </row>
        <row r="848">
          <cell r="A848" t="str">
            <v/>
          </cell>
          <cell r="B848" t="str">
            <v>244570. Otras Retenciones y patrimonio</v>
          </cell>
          <cell r="C848">
            <v>0</v>
          </cell>
        </row>
        <row r="849">
          <cell r="A849" t="str">
            <v>244570001</v>
          </cell>
          <cell r="B849" t="str">
            <v>244570001 CONTRATOS DE CONSTRUCCION</v>
          </cell>
          <cell r="C849">
            <v>0</v>
          </cell>
        </row>
        <row r="850">
          <cell r="A850" t="str">
            <v>244570002</v>
          </cell>
          <cell r="B850" t="str">
            <v>244570002 HOTEL Y RESTAURANTE  (3.5%)</v>
          </cell>
          <cell r="C850">
            <v>-1891891</v>
          </cell>
        </row>
        <row r="851">
          <cell r="A851" t="str">
            <v>244570003</v>
          </cell>
          <cell r="B851" t="str">
            <v>244570003 OTROS ING.TRIBUTARIOS.        3.5 %</v>
          </cell>
          <cell r="C851">
            <v>0</v>
          </cell>
        </row>
        <row r="852">
          <cell r="A852" t="str">
            <v>244570004</v>
          </cell>
          <cell r="B852" t="str">
            <v>244570004 CANCELACIONES RETENCION EN LA FUENTE</v>
          </cell>
          <cell r="C852">
            <v>0</v>
          </cell>
        </row>
        <row r="853">
          <cell r="A853" t="str">
            <v/>
          </cell>
          <cell r="B853" t="str">
            <v>Total Otras Retenciones y patrimonio</v>
          </cell>
          <cell r="C853">
            <v>-1891891</v>
          </cell>
        </row>
        <row r="854">
          <cell r="A854" t="str">
            <v/>
          </cell>
          <cell r="B854" t="str">
            <v>Total 2445 Retenciones en la Fuente</v>
          </cell>
          <cell r="C854">
            <v>-320866568</v>
          </cell>
        </row>
        <row r="855">
          <cell r="A855" t="str">
            <v/>
          </cell>
          <cell r="B855" t="str">
            <v>2447. Impuesto a las ventas retenido</v>
          </cell>
          <cell r="C855">
            <v>0</v>
          </cell>
        </row>
        <row r="856">
          <cell r="A856" t="str">
            <v/>
          </cell>
          <cell r="B856" t="str">
            <v>244705. Impuesto a las ventas retenido</v>
          </cell>
          <cell r="C856">
            <v>0</v>
          </cell>
        </row>
        <row r="857">
          <cell r="A857" t="str">
            <v>244705001</v>
          </cell>
          <cell r="B857" t="str">
            <v>244705001 IVA A LAS  VENTAS RETENIDA PROVEEDORES</v>
          </cell>
          <cell r="C857">
            <v>-93916908</v>
          </cell>
        </row>
        <row r="858">
          <cell r="A858" t="str">
            <v>244705002</v>
          </cell>
          <cell r="B858" t="str">
            <v>244705002 IVA A LAS VENTAS RETENIDA OTRAS COMPRAS Y SERVICIO</v>
          </cell>
          <cell r="C858">
            <v>-14352395</v>
          </cell>
        </row>
        <row r="859">
          <cell r="A859" t="str">
            <v>244705005</v>
          </cell>
          <cell r="B859" t="str">
            <v>244705005 IVA A LAS  VENTAS RETENIDO HONORARIOS AYC</v>
          </cell>
          <cell r="C859">
            <v>0</v>
          </cell>
        </row>
        <row r="860">
          <cell r="A860" t="str">
            <v>244705007</v>
          </cell>
          <cell r="B860" t="str">
            <v>244705007 IVA RETENIDO SERVIVIOS 16% AYC</v>
          </cell>
          <cell r="C860">
            <v>0</v>
          </cell>
        </row>
        <row r="861">
          <cell r="A861" t="str">
            <v>244705009</v>
          </cell>
          <cell r="B861" t="str">
            <v>244705009 * IVA RETENIDO OTRAS COMPRAS.</v>
          </cell>
          <cell r="C861">
            <v>-1742849</v>
          </cell>
        </row>
        <row r="862">
          <cell r="A862" t="str">
            <v>244705013</v>
          </cell>
          <cell r="B862" t="str">
            <v>244705013 * IVA RETENIDO OTRAS COMPRAS.</v>
          </cell>
          <cell r="C862">
            <v>0</v>
          </cell>
        </row>
        <row r="863">
          <cell r="A863" t="str">
            <v>244705082</v>
          </cell>
          <cell r="B863" t="str">
            <v>244705082 *VA A LAS VENTAS RETENIDA OTRAS COMPRAS Y SERVICIO</v>
          </cell>
          <cell r="C863">
            <v>-105600</v>
          </cell>
        </row>
        <row r="864">
          <cell r="A864" t="str">
            <v/>
          </cell>
          <cell r="B864" t="str">
            <v>Total Impuesto a las ventas retenido</v>
          </cell>
          <cell r="C864">
            <v>-110117752</v>
          </cell>
        </row>
        <row r="865">
          <cell r="A865" t="str">
            <v/>
          </cell>
          <cell r="B865" t="str">
            <v>244710. Impuesto a las ventas ret.R Simplifi</v>
          </cell>
          <cell r="C865">
            <v>0</v>
          </cell>
        </row>
        <row r="866">
          <cell r="A866" t="str">
            <v>244710001</v>
          </cell>
          <cell r="B866" t="str">
            <v>244710001 IVA RETEN. COMPRAS RÉGIMEN SIMPLIFICADO 75%</v>
          </cell>
          <cell r="C866">
            <v>-1154144</v>
          </cell>
        </row>
        <row r="867">
          <cell r="A867" t="str">
            <v>244710002</v>
          </cell>
          <cell r="B867" t="str">
            <v>244710002 IVA RETENIDO SERVICI.REGIMEN SIMPLIFICADO  75%</v>
          </cell>
          <cell r="C867">
            <v>-5002904</v>
          </cell>
        </row>
        <row r="868">
          <cell r="A868" t="str">
            <v>244710003</v>
          </cell>
          <cell r="B868" t="str">
            <v>244710003 CANCELACIONES IVA RETENIDO</v>
          </cell>
          <cell r="C868">
            <v>0</v>
          </cell>
        </row>
        <row r="869">
          <cell r="A869" t="str">
            <v/>
          </cell>
          <cell r="B869" t="str">
            <v>Total  Impuesto a las ventas ret.R Simplifi</v>
          </cell>
          <cell r="C869">
            <v>-6157048</v>
          </cell>
        </row>
        <row r="870">
          <cell r="A870" t="str">
            <v/>
          </cell>
          <cell r="B870" t="str">
            <v>Total 2447 Impuesto a las ventas retenido</v>
          </cell>
          <cell r="C870">
            <v>-116274800</v>
          </cell>
        </row>
        <row r="871">
          <cell r="A871" t="str">
            <v/>
          </cell>
          <cell r="B871" t="str">
            <v>2448. Impuesto de industria y comercio reten.</v>
          </cell>
          <cell r="C871">
            <v>0</v>
          </cell>
        </row>
        <row r="872">
          <cell r="A872" t="str">
            <v/>
          </cell>
          <cell r="B872" t="str">
            <v>244801. Ica renido AYC</v>
          </cell>
          <cell r="C872">
            <v>0</v>
          </cell>
        </row>
        <row r="873">
          <cell r="A873" t="str">
            <v>244801001</v>
          </cell>
          <cell r="B873" t="str">
            <v>244801001 ICA RETENIDO BOGOTA        A y C</v>
          </cell>
          <cell r="C873">
            <v>0</v>
          </cell>
        </row>
        <row r="874">
          <cell r="A874" t="str">
            <v/>
          </cell>
          <cell r="B874" t="str">
            <v>Tota  Ica renido AYC</v>
          </cell>
          <cell r="C874">
            <v>0</v>
          </cell>
        </row>
        <row r="875">
          <cell r="A875" t="str">
            <v/>
          </cell>
          <cell r="B875" t="str">
            <v>244805. Impuesto de industria y cio retenido</v>
          </cell>
          <cell r="C875">
            <v>0</v>
          </cell>
        </row>
        <row r="876">
          <cell r="A876" t="str">
            <v>244805004</v>
          </cell>
          <cell r="B876" t="str">
            <v>244805004 CANCELACIONES ICA RETENIDO</v>
          </cell>
          <cell r="C876">
            <v>0</v>
          </cell>
        </row>
        <row r="877">
          <cell r="A877" t="str">
            <v>244805011</v>
          </cell>
          <cell r="B877" t="str">
            <v>244805011 ICA RETENIDA BOGOTA  4.14/1000</v>
          </cell>
          <cell r="C877">
            <v>-7839248</v>
          </cell>
        </row>
        <row r="878">
          <cell r="A878" t="str">
            <v>244805012</v>
          </cell>
          <cell r="B878" t="str">
            <v>244805012 ICA RETENIDA BOGOTA      6.9/1000</v>
          </cell>
          <cell r="C878">
            <v>-280198</v>
          </cell>
        </row>
        <row r="879">
          <cell r="A879" t="str">
            <v>244805013</v>
          </cell>
          <cell r="B879" t="str">
            <v>244805013 ICA RETENIDA BOGOTA     9.66/1000</v>
          </cell>
          <cell r="C879">
            <v>-2047176</v>
          </cell>
        </row>
        <row r="880">
          <cell r="A880" t="str">
            <v>244805014</v>
          </cell>
          <cell r="B880" t="str">
            <v>244805014 ICA RETENIDA BOGOTA     11.04/1000</v>
          </cell>
          <cell r="C880">
            <v>-19322259</v>
          </cell>
        </row>
        <row r="881">
          <cell r="A881" t="str">
            <v>244805015</v>
          </cell>
          <cell r="B881" t="str">
            <v>244805015 ICA RETENIDA BOGOTA      13.8/1000</v>
          </cell>
          <cell r="C881">
            <v>-67221</v>
          </cell>
        </row>
        <row r="882">
          <cell r="A882" t="str">
            <v>244805021</v>
          </cell>
          <cell r="B882" t="str">
            <v>244805021 ICA RETENIDA PEREIRA</v>
          </cell>
          <cell r="C882">
            <v>-63917</v>
          </cell>
        </row>
        <row r="883">
          <cell r="A883" t="str">
            <v>244805022</v>
          </cell>
          <cell r="B883" t="str">
            <v>244805022 ICA RETENIDA PEREIRA</v>
          </cell>
          <cell r="C883">
            <v>-9192</v>
          </cell>
        </row>
        <row r="884">
          <cell r="A884" t="str">
            <v>244805023</v>
          </cell>
          <cell r="B884" t="str">
            <v>244805023 ICA RETENIDA PEREIRA</v>
          </cell>
          <cell r="C884">
            <v>-181284</v>
          </cell>
        </row>
        <row r="885">
          <cell r="A885" t="str">
            <v>244805031</v>
          </cell>
          <cell r="B885" t="str">
            <v>244805031 ICA RETENIDA BARRANQUILLA    7/1000</v>
          </cell>
          <cell r="C885">
            <v>-633324</v>
          </cell>
        </row>
        <row r="886">
          <cell r="A886" t="str">
            <v>244805033</v>
          </cell>
          <cell r="B886" t="str">
            <v>244805033 ICA RETENIDA BARRANQUILLA     5/1000</v>
          </cell>
          <cell r="C886">
            <v>0</v>
          </cell>
        </row>
        <row r="887">
          <cell r="A887" t="str">
            <v>244805038</v>
          </cell>
          <cell r="B887" t="str">
            <v>244805038 ICA RETENIDA BARRANQUILLA     4.5/1000</v>
          </cell>
          <cell r="C887">
            <v>0</v>
          </cell>
        </row>
        <row r="888">
          <cell r="A888" t="str">
            <v>244805041</v>
          </cell>
          <cell r="B888" t="str">
            <v>244805041 * ICA RETENIDA BOGOTA  4.14/1000</v>
          </cell>
          <cell r="C888">
            <v>-236225</v>
          </cell>
        </row>
        <row r="889">
          <cell r="A889" t="str">
            <v>244805063</v>
          </cell>
          <cell r="B889" t="str">
            <v>244805063 ICA RETENIDA YUMBO 6 POR MIL</v>
          </cell>
          <cell r="C889">
            <v>0</v>
          </cell>
        </row>
        <row r="890">
          <cell r="A890" t="str">
            <v>244805066</v>
          </cell>
          <cell r="B890" t="str">
            <v>244805066 ICA RETENIDA YUMBO 10 POR MIL</v>
          </cell>
          <cell r="C890">
            <v>-27395</v>
          </cell>
        </row>
        <row r="891">
          <cell r="A891" t="str">
            <v/>
          </cell>
          <cell r="B891" t="str">
            <v>Total Impuesto de industria y cio retenido</v>
          </cell>
          <cell r="C891">
            <v>-30707439</v>
          </cell>
        </row>
        <row r="892">
          <cell r="A892" t="str">
            <v/>
          </cell>
          <cell r="B892" t="str">
            <v>Total 2448 Imp de industria y comercio reten.</v>
          </cell>
          <cell r="C892">
            <v>-30707439</v>
          </cell>
        </row>
        <row r="893">
          <cell r="A893" t="str">
            <v/>
          </cell>
          <cell r="B893" t="str">
            <v>2450. Retenciones y aportes de Nomina</v>
          </cell>
          <cell r="C893">
            <v>0</v>
          </cell>
        </row>
        <row r="894">
          <cell r="A894" t="str">
            <v/>
          </cell>
          <cell r="B894" t="str">
            <v>245005. Aport.a bienestar promot.de salud EPS</v>
          </cell>
          <cell r="C894">
            <v>0</v>
          </cell>
        </row>
        <row r="895">
          <cell r="A895" t="str">
            <v>245005001</v>
          </cell>
          <cell r="B895" t="str">
            <v>245005001 PAGOS APORTES SALUD</v>
          </cell>
          <cell r="C895">
            <v>0</v>
          </cell>
        </row>
        <row r="896">
          <cell r="A896" t="str">
            <v>245005002</v>
          </cell>
          <cell r="B896" t="str">
            <v>245005002 CAUSACION APORTES SALUD</v>
          </cell>
          <cell r="C896">
            <v>0</v>
          </cell>
        </row>
        <row r="897">
          <cell r="A897" t="str">
            <v>245005003</v>
          </cell>
          <cell r="B897" t="str">
            <v>245005003 SALUD COMPLEMENTARIA</v>
          </cell>
          <cell r="C897">
            <v>-734413</v>
          </cell>
        </row>
        <row r="898">
          <cell r="A898" t="str">
            <v/>
          </cell>
          <cell r="B898" t="str">
            <v>Total Aport.a bienestar promot.de salud EPS</v>
          </cell>
          <cell r="C898">
            <v>-734413</v>
          </cell>
        </row>
        <row r="899">
          <cell r="A899" t="str">
            <v/>
          </cell>
          <cell r="B899" t="str">
            <v>245010. Aport.a bienestar promot de pension</v>
          </cell>
          <cell r="C899">
            <v>0</v>
          </cell>
        </row>
        <row r="900">
          <cell r="A900" t="str">
            <v>245010001</v>
          </cell>
          <cell r="B900" t="str">
            <v>245010001 PAGOS APORTES PENSIÓN</v>
          </cell>
          <cell r="C900">
            <v>0</v>
          </cell>
        </row>
        <row r="901">
          <cell r="A901" t="str">
            <v>245010002</v>
          </cell>
          <cell r="B901" t="str">
            <v>245010002 CAUSACION APORTES PENSION</v>
          </cell>
          <cell r="C901">
            <v>0</v>
          </cell>
        </row>
        <row r="902">
          <cell r="A902" t="str">
            <v>245010003</v>
          </cell>
          <cell r="B902" t="str">
            <v>245010003 PENSION VOLUNTARIA</v>
          </cell>
          <cell r="C902">
            <v>-4300000</v>
          </cell>
        </row>
        <row r="903">
          <cell r="A903" t="str">
            <v>245010011</v>
          </cell>
          <cell r="B903" t="str">
            <v>245010011 APORTE PENSION  EMPLEADOR AYC</v>
          </cell>
          <cell r="C903">
            <v>0</v>
          </cell>
        </row>
        <row r="904">
          <cell r="A904" t="str">
            <v/>
          </cell>
          <cell r="B904" t="str">
            <v>Total Aport.a bienestar promot de pension</v>
          </cell>
          <cell r="C904">
            <v>-4300000</v>
          </cell>
        </row>
        <row r="905">
          <cell r="A905" t="str">
            <v/>
          </cell>
          <cell r="B905" t="str">
            <v>245015. Aport.a adm.de riesgos profesion.ARP</v>
          </cell>
          <cell r="C905">
            <v>0</v>
          </cell>
        </row>
        <row r="906">
          <cell r="A906" t="str">
            <v>245015001</v>
          </cell>
          <cell r="B906" t="str">
            <v>245015001 PAGOS SEG.SOCIAL A.R.P.</v>
          </cell>
          <cell r="C906">
            <v>0</v>
          </cell>
        </row>
        <row r="907">
          <cell r="A907" t="str">
            <v>245015002</v>
          </cell>
          <cell r="B907" t="str">
            <v>245015002 PAGOS FONDO DE PENSIONES.SEG.SOCIAL</v>
          </cell>
          <cell r="C907">
            <v>0</v>
          </cell>
        </row>
        <row r="908">
          <cell r="A908" t="str">
            <v>245015003</v>
          </cell>
          <cell r="B908" t="str">
            <v>245015003 CAUSACION ARP</v>
          </cell>
          <cell r="C908">
            <v>0</v>
          </cell>
        </row>
        <row r="909">
          <cell r="A909" t="str">
            <v>245015004</v>
          </cell>
          <cell r="B909" t="str">
            <v>245015004 CAUSACION FONDE PENSION Y SEG.SOCIAL 1%</v>
          </cell>
          <cell r="C909">
            <v>0</v>
          </cell>
        </row>
        <row r="910">
          <cell r="A910" t="str">
            <v/>
          </cell>
          <cell r="B910" t="str">
            <v>Total Aport.a adm.de riesgos profesion.ARP</v>
          </cell>
          <cell r="C910">
            <v>0</v>
          </cell>
        </row>
        <row r="911">
          <cell r="A911" t="str">
            <v/>
          </cell>
          <cell r="B911" t="str">
            <v>245020. Aportes al ICBF,SENA y caja de comp.</v>
          </cell>
          <cell r="C911">
            <v>0</v>
          </cell>
        </row>
        <row r="912">
          <cell r="A912" t="str">
            <v>245020001</v>
          </cell>
          <cell r="B912" t="str">
            <v>245020001 PAGOS CAJA DE COMPENSACIÓN</v>
          </cell>
          <cell r="C912">
            <v>0</v>
          </cell>
        </row>
        <row r="913">
          <cell r="A913" t="str">
            <v/>
          </cell>
          <cell r="B913" t="str">
            <v>Total Aportes al ICBF,SENA y caja de comp.</v>
          </cell>
          <cell r="C913">
            <v>0</v>
          </cell>
        </row>
        <row r="914">
          <cell r="A914" t="str">
            <v/>
          </cell>
          <cell r="B914" t="str">
            <v>245030. Embargos Judiciales</v>
          </cell>
          <cell r="C914">
            <v>0</v>
          </cell>
        </row>
        <row r="915">
          <cell r="A915" t="str">
            <v>245030002</v>
          </cell>
          <cell r="B915" t="str">
            <v>245030002 CAUSACION  POR EMBARGOS</v>
          </cell>
          <cell r="C915">
            <v>-78400</v>
          </cell>
        </row>
        <row r="916">
          <cell r="A916" t="str">
            <v/>
          </cell>
          <cell r="B916" t="str">
            <v>Total Embargos Judiciales</v>
          </cell>
          <cell r="C916">
            <v>-78400</v>
          </cell>
        </row>
        <row r="917">
          <cell r="A917" t="str">
            <v/>
          </cell>
          <cell r="B917" t="str">
            <v>245050. Fondo de Empleados</v>
          </cell>
          <cell r="C917">
            <v>0</v>
          </cell>
        </row>
        <row r="918">
          <cell r="A918" t="str">
            <v>245050000</v>
          </cell>
          <cell r="B918" t="str">
            <v>245050000 CAUSACION FONDO DE EMPLEADOS COPIDROGAS</v>
          </cell>
          <cell r="C918">
            <v>-56839980</v>
          </cell>
        </row>
        <row r="919">
          <cell r="A919" t="str">
            <v/>
          </cell>
          <cell r="B919" t="str">
            <v>Total Fondo de Empleados</v>
          </cell>
          <cell r="C919">
            <v>-56839980</v>
          </cell>
        </row>
        <row r="920">
          <cell r="A920" t="str">
            <v/>
          </cell>
          <cell r="B920" t="str">
            <v>Total 2450 Retenciones y aportes de Nomina</v>
          </cell>
          <cell r="C920">
            <v>-61952793</v>
          </cell>
        </row>
        <row r="921">
          <cell r="A921" t="str">
            <v/>
          </cell>
          <cell r="B921" t="str">
            <v>2465. Remanentes Por pagar</v>
          </cell>
          <cell r="C921">
            <v>0</v>
          </cell>
        </row>
        <row r="922">
          <cell r="A922" t="str">
            <v/>
          </cell>
          <cell r="B922" t="str">
            <v>246505. De aportes Exasociados</v>
          </cell>
          <cell r="C922">
            <v>0</v>
          </cell>
        </row>
        <row r="923">
          <cell r="A923" t="str">
            <v>246505002</v>
          </cell>
          <cell r="B923" t="str">
            <v>246505002 SALDOS A FAVOR EX - ASOCIADOS MERCADEO</v>
          </cell>
          <cell r="C923">
            <v>-194254866</v>
          </cell>
        </row>
        <row r="924">
          <cell r="A924" t="str">
            <v/>
          </cell>
          <cell r="B924" t="str">
            <v>Total De aportes Exasociados</v>
          </cell>
          <cell r="C924">
            <v>-194254866</v>
          </cell>
        </row>
        <row r="925">
          <cell r="A925" t="str">
            <v/>
          </cell>
          <cell r="B925" t="str">
            <v>246510. De deposito Exasociado</v>
          </cell>
          <cell r="C925">
            <v>0</v>
          </cell>
        </row>
        <row r="926">
          <cell r="A926" t="str">
            <v>246510001</v>
          </cell>
          <cell r="B926" t="str">
            <v>246510001 EX - ASOCIADOS AYC</v>
          </cell>
          <cell r="C926">
            <v>0</v>
          </cell>
        </row>
        <row r="927">
          <cell r="A927" t="str">
            <v/>
          </cell>
          <cell r="B927" t="str">
            <v>Total De deposito Exasociado</v>
          </cell>
          <cell r="C927">
            <v>0</v>
          </cell>
        </row>
        <row r="928">
          <cell r="A928" t="str">
            <v/>
          </cell>
          <cell r="B928" t="str">
            <v>Total 2465 Remanentes Por pagar</v>
          </cell>
          <cell r="C928">
            <v>-194254866</v>
          </cell>
        </row>
        <row r="929">
          <cell r="A929" t="str">
            <v/>
          </cell>
          <cell r="B929" t="str">
            <v>2495. Diversas</v>
          </cell>
          <cell r="C929">
            <v>0</v>
          </cell>
        </row>
        <row r="930">
          <cell r="A930" t="str">
            <v/>
          </cell>
          <cell r="B930" t="str">
            <v>249510. Nomina</v>
          </cell>
          <cell r="C930">
            <v>0</v>
          </cell>
        </row>
        <row r="931">
          <cell r="A931" t="str">
            <v>249510000</v>
          </cell>
          <cell r="B931" t="str">
            <v>249510000 NOMINA POR PAGAR</v>
          </cell>
          <cell r="C931">
            <v>0</v>
          </cell>
        </row>
        <row r="932">
          <cell r="A932" t="str">
            <v/>
          </cell>
          <cell r="B932" t="str">
            <v>Total Nomina</v>
          </cell>
          <cell r="C932">
            <v>0</v>
          </cell>
        </row>
        <row r="933">
          <cell r="A933" t="str">
            <v/>
          </cell>
          <cell r="B933" t="str">
            <v>249595. Otras</v>
          </cell>
          <cell r="C933">
            <v>0</v>
          </cell>
        </row>
        <row r="934">
          <cell r="A934" t="str">
            <v>249595000</v>
          </cell>
          <cell r="B934" t="str">
            <v>249595000 GASTOS CAUSADOS</v>
          </cell>
          <cell r="C934">
            <v>0</v>
          </cell>
        </row>
        <row r="935">
          <cell r="A935" t="str">
            <v>249595001</v>
          </cell>
          <cell r="B935" t="str">
            <v>249595001 GASTOS CAUSADOS AYC</v>
          </cell>
          <cell r="C935">
            <v>-8526243</v>
          </cell>
        </row>
        <row r="936">
          <cell r="A936" t="str">
            <v>249595002</v>
          </cell>
          <cell r="B936" t="str">
            <v>249595002 CUENTA POR PAGAR CAJA MENOR</v>
          </cell>
          <cell r="C936">
            <v>0</v>
          </cell>
        </row>
        <row r="937">
          <cell r="A937" t="str">
            <v>249595012</v>
          </cell>
          <cell r="B937" t="str">
            <v>249595012 CUENTA POR PAGAR CAJA MENOR</v>
          </cell>
          <cell r="C937">
            <v>4004916</v>
          </cell>
        </row>
        <row r="938">
          <cell r="A938" t="str">
            <v>249595013</v>
          </cell>
          <cell r="B938" t="str">
            <v>249595013 DTO ESPECIAL EN COMPRAS POR PAGAR A ASOCIADOS</v>
          </cell>
          <cell r="C938">
            <v>1</v>
          </cell>
        </row>
        <row r="939">
          <cell r="A939" t="str">
            <v>249595061</v>
          </cell>
          <cell r="B939" t="str">
            <v>249595061 OTROS APORTES DESCONTADOS Y NO TRASLADOS</v>
          </cell>
          <cell r="C939">
            <v>-139524</v>
          </cell>
        </row>
        <row r="940">
          <cell r="A940" t="str">
            <v>249595062</v>
          </cell>
          <cell r="B940" t="str">
            <v>249595062 TRASLADO DE PASIVO ESTIMADOS AL CIERRE DE PERIODO</v>
          </cell>
          <cell r="C940">
            <v>0</v>
          </cell>
        </row>
        <row r="941">
          <cell r="A941" t="str">
            <v/>
          </cell>
          <cell r="B941" t="str">
            <v>Total Otras</v>
          </cell>
          <cell r="C941">
            <v>-4660850</v>
          </cell>
        </row>
        <row r="942">
          <cell r="A942" t="str">
            <v/>
          </cell>
          <cell r="B942" t="str">
            <v>Total 2495 Diversas</v>
          </cell>
          <cell r="C942">
            <v>-4660850</v>
          </cell>
        </row>
        <row r="943">
          <cell r="A943" t="str">
            <v/>
          </cell>
          <cell r="B943" t="str">
            <v>Total 24. Cuentas Por Pagar</v>
          </cell>
          <cell r="C943">
            <v>-53189556894</v>
          </cell>
        </row>
        <row r="944">
          <cell r="A944" t="str">
            <v/>
          </cell>
          <cell r="B944" t="str">
            <v>25. Impuestos,Gravamenes y Tasas</v>
          </cell>
          <cell r="C944">
            <v>0</v>
          </cell>
        </row>
        <row r="945">
          <cell r="A945" t="str">
            <v/>
          </cell>
          <cell r="B945" t="str">
            <v>2510. Impuesto a las ventas por pagar</v>
          </cell>
          <cell r="C945">
            <v>0</v>
          </cell>
        </row>
        <row r="946">
          <cell r="A946" t="str">
            <v/>
          </cell>
          <cell r="B946" t="str">
            <v>Total Impuesto a las ventas generado</v>
          </cell>
          <cell r="C946">
            <v>0</v>
          </cell>
        </row>
        <row r="947">
          <cell r="A947" t="str">
            <v>251001001</v>
          </cell>
          <cell r="B947" t="str">
            <v>251001001 GENERACIÓN-FACTURACIÓN Y OTROS   IVA 10%</v>
          </cell>
          <cell r="C947">
            <v>-15536353</v>
          </cell>
        </row>
        <row r="948">
          <cell r="A948" t="str">
            <v>251001002</v>
          </cell>
          <cell r="B948" t="str">
            <v>251001002 GENERACIÓN-FACTURACIÓN Y OTROS   IVA 16%</v>
          </cell>
          <cell r="C948">
            <v>-1477480089</v>
          </cell>
        </row>
        <row r="949">
          <cell r="A949" t="str">
            <v>251001007</v>
          </cell>
          <cell r="B949" t="str">
            <v>251001007 GENERACIÓN-FACTURACIÓN Y OTROS   IVA 7%</v>
          </cell>
          <cell r="C949">
            <v>0</v>
          </cell>
        </row>
        <row r="950">
          <cell r="A950" t="str">
            <v>251001009</v>
          </cell>
          <cell r="B950" t="str">
            <v>251001009 *GENERACIÓN-FACTURACIÓN Y OTROS   IVA 16%</v>
          </cell>
          <cell r="C950">
            <v>0</v>
          </cell>
        </row>
        <row r="951">
          <cell r="A951" t="str">
            <v>251001012</v>
          </cell>
          <cell r="B951" t="str">
            <v>251001012 GENERACIÓN-FACTURACIÓN Y OTROS   IVA 0%</v>
          </cell>
          <cell r="C951">
            <v>-55941</v>
          </cell>
        </row>
        <row r="952">
          <cell r="A952" t="str">
            <v>251001016</v>
          </cell>
          <cell r="B952" t="str">
            <v>251001016 CUENTA TRANSITORIA DE  IVA AYC</v>
          </cell>
          <cell r="C952">
            <v>0</v>
          </cell>
        </row>
        <row r="953">
          <cell r="A953" t="str">
            <v/>
          </cell>
          <cell r="B953" t="str">
            <v>Total Impuesto a las ventas generado</v>
          </cell>
          <cell r="C953">
            <v>-1493072383</v>
          </cell>
        </row>
        <row r="954">
          <cell r="A954" t="str">
            <v/>
          </cell>
          <cell r="B954" t="str">
            <v>Total Impuesto a las ventas descontables</v>
          </cell>
          <cell r="C954">
            <v>0</v>
          </cell>
        </row>
        <row r="955">
          <cell r="A955" t="str">
            <v>251001051</v>
          </cell>
          <cell r="B955" t="str">
            <v>251001051 DESCONTABLE COMPRAS NACIONALES  IVA 10%</v>
          </cell>
          <cell r="C955">
            <v>16083987</v>
          </cell>
        </row>
        <row r="956">
          <cell r="A956" t="str">
            <v>251001052</v>
          </cell>
          <cell r="B956" t="str">
            <v>251001052 DESCONTABLE COMPRAS NACIONALES   IVA 16%</v>
          </cell>
          <cell r="C956">
            <v>1563011906</v>
          </cell>
        </row>
        <row r="957">
          <cell r="A957" t="str">
            <v>251001053</v>
          </cell>
          <cell r="B957" t="str">
            <v>251001053 DESCONTABLE COMPRAS NACIONALES  IVA  20%</v>
          </cell>
          <cell r="C957">
            <v>45451</v>
          </cell>
        </row>
        <row r="958">
          <cell r="A958" t="str">
            <v>251001056</v>
          </cell>
          <cell r="B958" t="str">
            <v>251001056 DESCONTABLE COMPRAS NACIONALES   IVA 7%</v>
          </cell>
          <cell r="C958">
            <v>0</v>
          </cell>
        </row>
        <row r="959">
          <cell r="A959" t="str">
            <v>251001057</v>
          </cell>
          <cell r="B959" t="str">
            <v>251001057 IMPUESTO DESCONTABLE IVA RETENIDO</v>
          </cell>
          <cell r="C959">
            <v>4569839</v>
          </cell>
        </row>
        <row r="960">
          <cell r="A960" t="str">
            <v>251001060</v>
          </cell>
          <cell r="B960" t="str">
            <v>251001060 CUENTA TRANSITORIA IVA</v>
          </cell>
          <cell r="C960">
            <v>71361506</v>
          </cell>
        </row>
        <row r="961">
          <cell r="A961" t="str">
            <v>251001070</v>
          </cell>
          <cell r="B961" t="str">
            <v>251001070 * CUENTA TRANSITORIA IVA</v>
          </cell>
          <cell r="C961">
            <v>4947741</v>
          </cell>
        </row>
        <row r="962">
          <cell r="A962" t="str">
            <v>251001072</v>
          </cell>
          <cell r="B962" t="str">
            <v>251001072 * GENERACIÓN-FACTURACIÓN Y OTROS   IVA 16%</v>
          </cell>
          <cell r="C962">
            <v>-213321</v>
          </cell>
        </row>
        <row r="963">
          <cell r="A963" t="str">
            <v>251001082</v>
          </cell>
          <cell r="B963" t="str">
            <v>251001082 * DESCONTABLE COMPRAS NACIONALES   IVA 16%</v>
          </cell>
          <cell r="C963">
            <v>0</v>
          </cell>
        </row>
        <row r="964">
          <cell r="A964" t="str">
            <v>251001098</v>
          </cell>
          <cell r="B964" t="str">
            <v>251001098 CANCELACIÓN  DE IVA</v>
          </cell>
          <cell r="C964">
            <v>257635674</v>
          </cell>
        </row>
        <row r="965">
          <cell r="A965" t="str">
            <v/>
          </cell>
          <cell r="B965" t="str">
            <v>Total Impuesto a las ventas descontables</v>
          </cell>
          <cell r="C965">
            <v>1917442783</v>
          </cell>
        </row>
        <row r="966">
          <cell r="A966" t="str">
            <v/>
          </cell>
          <cell r="B966" t="str">
            <v>Total 2510 Impuesto a las ventas por pagar</v>
          </cell>
          <cell r="C966">
            <v>424370400</v>
          </cell>
        </row>
        <row r="967">
          <cell r="A967" t="str">
            <v/>
          </cell>
          <cell r="B967" t="str">
            <v>Total 25. Impuestos,Gravamenes y Tasas</v>
          </cell>
          <cell r="C967">
            <v>424370400</v>
          </cell>
        </row>
        <row r="968">
          <cell r="A968" t="str">
            <v/>
          </cell>
          <cell r="B968" t="str">
            <v>26. Fondos Sociales, Mutuales y otros</v>
          </cell>
          <cell r="C968">
            <v>0</v>
          </cell>
        </row>
        <row r="969">
          <cell r="A969" t="str">
            <v/>
          </cell>
          <cell r="B969" t="str">
            <v>2605. Fondo social de educacion</v>
          </cell>
          <cell r="C969">
            <v>0</v>
          </cell>
        </row>
        <row r="970">
          <cell r="A970" t="str">
            <v/>
          </cell>
          <cell r="B970" t="str">
            <v>260505. Fondo Social de Educacion</v>
          </cell>
          <cell r="C970">
            <v>0</v>
          </cell>
        </row>
        <row r="971">
          <cell r="A971" t="str">
            <v>260505001</v>
          </cell>
          <cell r="B971" t="str">
            <v>260505001 FONDOS PARA EDUCACIÓN</v>
          </cell>
          <cell r="C971">
            <v>-466769035</v>
          </cell>
        </row>
        <row r="972">
          <cell r="A972" t="str">
            <v/>
          </cell>
          <cell r="B972" t="str">
            <v>Total Fondo Social de Educacion</v>
          </cell>
          <cell r="C972">
            <v>-466769035</v>
          </cell>
        </row>
        <row r="973">
          <cell r="A973" t="str">
            <v/>
          </cell>
          <cell r="B973" t="str">
            <v>Total 2605 Fondo social de educacion</v>
          </cell>
          <cell r="C973">
            <v>-466769035</v>
          </cell>
        </row>
        <row r="974">
          <cell r="A974" t="str">
            <v/>
          </cell>
          <cell r="B974" t="str">
            <v>2610. Fondo social de solidaridad</v>
          </cell>
          <cell r="C974">
            <v>0</v>
          </cell>
        </row>
        <row r="975">
          <cell r="A975" t="str">
            <v/>
          </cell>
          <cell r="B975" t="str">
            <v>261005. Fondo Social de solidaridad</v>
          </cell>
          <cell r="C975">
            <v>0</v>
          </cell>
        </row>
        <row r="976">
          <cell r="A976" t="str">
            <v>261005001</v>
          </cell>
          <cell r="B976" t="str">
            <v>261005001 FONDO PARA SOLIDARIDAD</v>
          </cell>
          <cell r="C976">
            <v>-149284053</v>
          </cell>
        </row>
        <row r="977">
          <cell r="A977" t="str">
            <v/>
          </cell>
          <cell r="B977" t="str">
            <v>Total  Fondo Social de solidaridad</v>
          </cell>
          <cell r="C977">
            <v>-149284053</v>
          </cell>
        </row>
        <row r="978">
          <cell r="A978" t="str">
            <v/>
          </cell>
          <cell r="B978" t="str">
            <v>Total 2610 Fondo social de solidaridad</v>
          </cell>
          <cell r="C978">
            <v>-149284053</v>
          </cell>
        </row>
        <row r="979">
          <cell r="A979" t="str">
            <v/>
          </cell>
          <cell r="B979" t="str">
            <v>2648. Fondo social para otros fines</v>
          </cell>
          <cell r="C979">
            <v>0</v>
          </cell>
        </row>
        <row r="980">
          <cell r="A980" t="str">
            <v/>
          </cell>
          <cell r="B980" t="str">
            <v>264805. Fondo Social para otros fines</v>
          </cell>
          <cell r="C980">
            <v>0</v>
          </cell>
        </row>
        <row r="981">
          <cell r="A981" t="str">
            <v>264805001</v>
          </cell>
          <cell r="B981" t="str">
            <v>264805001 FONDO PARA ASISTENCIA TECNICA Y FOMENTO EMPRESARIA</v>
          </cell>
          <cell r="C981">
            <v>-59595088</v>
          </cell>
        </row>
        <row r="982">
          <cell r="A982" t="str">
            <v>264805002</v>
          </cell>
          <cell r="B982" t="str">
            <v>264805002 FONDO PARA ACTIVIDADES DE CAPACITACION</v>
          </cell>
          <cell r="C982">
            <v>-99892165</v>
          </cell>
        </row>
        <row r="983">
          <cell r="A983" t="str">
            <v/>
          </cell>
          <cell r="B983" t="str">
            <v>Total  Fondo  Social para otros fines</v>
          </cell>
          <cell r="C983">
            <v>-159487253</v>
          </cell>
        </row>
        <row r="984">
          <cell r="A984" t="str">
            <v/>
          </cell>
          <cell r="B984" t="str">
            <v>Total .2648 Fondo social para otros fines</v>
          </cell>
          <cell r="C984">
            <v>-159487253</v>
          </cell>
        </row>
        <row r="985">
          <cell r="A985" t="str">
            <v/>
          </cell>
          <cell r="B985" t="str">
            <v>Total 26. Fondos Sociales, Mutuales y otros</v>
          </cell>
          <cell r="C985">
            <v>-775540341</v>
          </cell>
        </row>
        <row r="986">
          <cell r="A986" t="str">
            <v/>
          </cell>
          <cell r="B986" t="str">
            <v>27. Otros Pasivos</v>
          </cell>
          <cell r="C986">
            <v>0</v>
          </cell>
        </row>
        <row r="987">
          <cell r="A987" t="str">
            <v/>
          </cell>
          <cell r="B987" t="str">
            <v>2710. Obligaciones laborales</v>
          </cell>
          <cell r="C987">
            <v>0</v>
          </cell>
        </row>
        <row r="988">
          <cell r="A988" t="str">
            <v/>
          </cell>
          <cell r="B988" t="str">
            <v>271010. Cesantias consolidadas</v>
          </cell>
          <cell r="C988">
            <v>0</v>
          </cell>
        </row>
        <row r="989">
          <cell r="A989" t="str">
            <v>271010002</v>
          </cell>
          <cell r="B989" t="str">
            <v>271010002 CESANTIAS CONSOLIDADAS</v>
          </cell>
          <cell r="C989">
            <v>0</v>
          </cell>
        </row>
        <row r="990">
          <cell r="A990" t="str">
            <v/>
          </cell>
          <cell r="B990" t="str">
            <v>Total Cesantias consolidadas</v>
          </cell>
          <cell r="C990">
            <v>0</v>
          </cell>
        </row>
        <row r="991">
          <cell r="A991" t="str">
            <v/>
          </cell>
          <cell r="B991" t="str">
            <v>271015. Intereses sobre Cesantias</v>
          </cell>
          <cell r="C991">
            <v>0</v>
          </cell>
        </row>
        <row r="992">
          <cell r="A992" t="str">
            <v>271015002</v>
          </cell>
          <cell r="B992" t="str">
            <v>271015002 INT/CESANTIAS CONSOLIDADAS</v>
          </cell>
          <cell r="C992">
            <v>0</v>
          </cell>
        </row>
        <row r="993">
          <cell r="A993" t="str">
            <v/>
          </cell>
          <cell r="B993" t="str">
            <v>Total Intereses sobre Cesantias</v>
          </cell>
          <cell r="C993">
            <v>0</v>
          </cell>
        </row>
        <row r="994">
          <cell r="A994" t="str">
            <v/>
          </cell>
          <cell r="B994" t="str">
            <v>271025. Vacaciones Consolidadas</v>
          </cell>
          <cell r="C994">
            <v>0</v>
          </cell>
        </row>
        <row r="995">
          <cell r="A995" t="str">
            <v>271025002</v>
          </cell>
          <cell r="B995" t="str">
            <v>271025002 VACACIONES CONSOLIDADAS</v>
          </cell>
          <cell r="C995">
            <v>-210227663</v>
          </cell>
        </row>
        <row r="996">
          <cell r="A996" t="str">
            <v/>
          </cell>
          <cell r="B996" t="str">
            <v>Total Vacaciones Consolidadas</v>
          </cell>
          <cell r="C996">
            <v>-210227663</v>
          </cell>
        </row>
        <row r="997">
          <cell r="A997" t="str">
            <v/>
          </cell>
          <cell r="B997" t="str">
            <v>271095. Otras Prestaciones sociales</v>
          </cell>
          <cell r="C997">
            <v>0</v>
          </cell>
        </row>
        <row r="998">
          <cell r="A998" t="str">
            <v>271095002</v>
          </cell>
          <cell r="B998" t="str">
            <v>271095002 AUXILIO DE VACACIONES</v>
          </cell>
          <cell r="C998">
            <v>-89186396</v>
          </cell>
        </row>
        <row r="999">
          <cell r="A999" t="str">
            <v/>
          </cell>
          <cell r="B999" t="str">
            <v>Total Otras Prestaciones sociales</v>
          </cell>
          <cell r="C999">
            <v>-89186396</v>
          </cell>
        </row>
        <row r="1000">
          <cell r="A1000" t="str">
            <v/>
          </cell>
          <cell r="B1000" t="str">
            <v>Total 2710 Obligaciones laborales</v>
          </cell>
          <cell r="C1000">
            <v>-299414059</v>
          </cell>
        </row>
        <row r="1001">
          <cell r="A1001" t="str">
            <v/>
          </cell>
          <cell r="B1001" t="str">
            <v>2725. Ingresos Anticipados</v>
          </cell>
          <cell r="C1001">
            <v>0</v>
          </cell>
        </row>
        <row r="1002">
          <cell r="A1002" t="str">
            <v/>
          </cell>
          <cell r="B1002" t="str">
            <v>272505. Intereses</v>
          </cell>
          <cell r="C1002">
            <v>0</v>
          </cell>
        </row>
        <row r="1003">
          <cell r="A1003" t="str">
            <v>272505001</v>
          </cell>
          <cell r="B1003" t="str">
            <v>272505001 INT. SOBRE PRESTAMOS LÍNEA DORADA            A y C</v>
          </cell>
          <cell r="C1003">
            <v>0</v>
          </cell>
        </row>
        <row r="1004">
          <cell r="A1004" t="str">
            <v/>
          </cell>
          <cell r="B1004" t="str">
            <v>Total Intereses</v>
          </cell>
          <cell r="C1004">
            <v>0</v>
          </cell>
        </row>
        <row r="1005">
          <cell r="A1005" t="str">
            <v/>
          </cell>
          <cell r="B1005" t="str">
            <v>272595. Otros</v>
          </cell>
          <cell r="C1005">
            <v>0</v>
          </cell>
        </row>
        <row r="1006">
          <cell r="A1006" t="str">
            <v>272595001</v>
          </cell>
          <cell r="B1006" t="str">
            <v>272595001 INGRESOS RECIBIDOS X ANTICIPADO PROVEEDORES</v>
          </cell>
          <cell r="C1006">
            <v>-65484594</v>
          </cell>
        </row>
        <row r="1007">
          <cell r="A1007" t="str">
            <v/>
          </cell>
          <cell r="B1007" t="str">
            <v>Total Otros</v>
          </cell>
          <cell r="C1007">
            <v>-65484594</v>
          </cell>
        </row>
        <row r="1008">
          <cell r="A1008" t="str">
            <v/>
          </cell>
          <cell r="B1008" t="str">
            <v>Total 2725 Ingresos Anticipados</v>
          </cell>
          <cell r="C1008">
            <v>-65484594</v>
          </cell>
        </row>
        <row r="1009">
          <cell r="A1009" t="str">
            <v/>
          </cell>
          <cell r="B1009" t="str">
            <v>Total 27. Otros Pasivos</v>
          </cell>
          <cell r="C1009">
            <v>-364898653</v>
          </cell>
        </row>
        <row r="1010">
          <cell r="A1010" t="str">
            <v/>
          </cell>
          <cell r="B1010" t="str">
            <v>28. Pasivos Estimados Y Provisiones</v>
          </cell>
          <cell r="C1010">
            <v>0</v>
          </cell>
        </row>
        <row r="1011">
          <cell r="A1011" t="str">
            <v/>
          </cell>
          <cell r="B1011" t="str">
            <v>2810. Para Costos y gastos</v>
          </cell>
          <cell r="C1011">
            <v>0</v>
          </cell>
        </row>
        <row r="1012">
          <cell r="A1012" t="str">
            <v/>
          </cell>
          <cell r="B1012" t="str">
            <v>281025. Trasportes,fletes y acarreos</v>
          </cell>
          <cell r="C1012">
            <v>0</v>
          </cell>
        </row>
        <row r="1013">
          <cell r="A1013" t="str">
            <v>281025000</v>
          </cell>
          <cell r="B1013" t="str">
            <v>281025000 GTOS ESTIMADOS TRANSPORTE FLETES Y ACARREOS</v>
          </cell>
          <cell r="C1013">
            <v>-191485449</v>
          </cell>
        </row>
        <row r="1014">
          <cell r="A1014" t="str">
            <v>281025001</v>
          </cell>
          <cell r="B1014" t="str">
            <v>281025001 GTOS ESTIMADOS TRANSP.FLETES Y ACARREOS AYC</v>
          </cell>
          <cell r="C1014">
            <v>-2370610</v>
          </cell>
        </row>
        <row r="1015">
          <cell r="A1015" t="str">
            <v/>
          </cell>
          <cell r="B1015" t="str">
            <v>Total Trasportes,fletes y acarreos</v>
          </cell>
          <cell r="C1015">
            <v>-193856059</v>
          </cell>
        </row>
        <row r="1016">
          <cell r="A1016" t="str">
            <v/>
          </cell>
          <cell r="B1016" t="str">
            <v>281035. Servicios publicos</v>
          </cell>
          <cell r="C1016">
            <v>0</v>
          </cell>
        </row>
        <row r="1017">
          <cell r="A1017" t="str">
            <v>281035000</v>
          </cell>
          <cell r="B1017" t="str">
            <v>281035000 GTOS ESTIMADOS SERVICIOS PUBLICOS</v>
          </cell>
          <cell r="C1017">
            <v>-177902537</v>
          </cell>
        </row>
        <row r="1018">
          <cell r="A1018" t="str">
            <v/>
          </cell>
          <cell r="B1018" t="str">
            <v>Total Servicios publicos</v>
          </cell>
          <cell r="C1018">
            <v>-177902537</v>
          </cell>
        </row>
        <row r="1019">
          <cell r="A1019" t="str">
            <v/>
          </cell>
          <cell r="B1019" t="str">
            <v>281055. Arrendamientos</v>
          </cell>
          <cell r="C1019">
            <v>0</v>
          </cell>
        </row>
        <row r="1020">
          <cell r="A1020" t="str">
            <v>281055000</v>
          </cell>
          <cell r="B1020" t="str">
            <v>281055000 GTOS ESTIMADOS POR ARRENDAMIENTOS</v>
          </cell>
          <cell r="C1020">
            <v>0</v>
          </cell>
        </row>
        <row r="1021">
          <cell r="A1021" t="str">
            <v/>
          </cell>
          <cell r="B1021" t="str">
            <v>Total Arrendamientos</v>
          </cell>
          <cell r="C1021">
            <v>0</v>
          </cell>
        </row>
        <row r="1022">
          <cell r="A1022" t="str">
            <v/>
          </cell>
          <cell r="B1022" t="str">
            <v>281060. Contribuciones y Afiliaciones</v>
          </cell>
          <cell r="C1022">
            <v>0</v>
          </cell>
        </row>
        <row r="1023">
          <cell r="A1023" t="str">
            <v>281060000</v>
          </cell>
          <cell r="B1023" t="str">
            <v>281060000 GTOS ESTIMADOS POR CONTRIBUCIONES Y AFILIACIONES</v>
          </cell>
          <cell r="C1023">
            <v>0</v>
          </cell>
        </row>
        <row r="1024">
          <cell r="A1024" t="str">
            <v/>
          </cell>
          <cell r="B1024" t="str">
            <v>Total Contribuciones y Afiliaciones</v>
          </cell>
          <cell r="C1024">
            <v>0</v>
          </cell>
        </row>
        <row r="1025">
          <cell r="A1025" t="str">
            <v/>
          </cell>
          <cell r="B1025" t="str">
            <v>281065. Servicios varios</v>
          </cell>
          <cell r="C1025">
            <v>0</v>
          </cell>
        </row>
        <row r="1026">
          <cell r="A1026" t="str">
            <v>281065000</v>
          </cell>
          <cell r="B1026" t="str">
            <v>281065000 GTOS ESTIMADOS POR SERVICIOS VARIOS</v>
          </cell>
          <cell r="C1026">
            <v>-146588328</v>
          </cell>
        </row>
        <row r="1027">
          <cell r="A1027" t="str">
            <v/>
          </cell>
          <cell r="B1027" t="str">
            <v>Total Servicios varios</v>
          </cell>
          <cell r="C1027">
            <v>-146588328</v>
          </cell>
        </row>
        <row r="1028">
          <cell r="A1028" t="str">
            <v/>
          </cell>
          <cell r="B1028" t="str">
            <v>281095. Otros</v>
          </cell>
          <cell r="C1028">
            <v>0</v>
          </cell>
        </row>
        <row r="1029">
          <cell r="A1029" t="str">
            <v>281095011</v>
          </cell>
          <cell r="B1029" t="str">
            <v>281095011 OTROS GASTOS ESTIMADOS</v>
          </cell>
          <cell r="C1029">
            <v>-15142179</v>
          </cell>
        </row>
        <row r="1030">
          <cell r="A1030" t="str">
            <v>281095012</v>
          </cell>
          <cell r="B1030" t="str">
            <v>281095012 OTROS ESTIMADOS DESCUENTO ESPECIAL EN COMPRAS</v>
          </cell>
          <cell r="C1030">
            <v>-4890386000</v>
          </cell>
        </row>
        <row r="1031">
          <cell r="A1031" t="str">
            <v>281095013</v>
          </cell>
          <cell r="B1031" t="str">
            <v>281095013 OTROS ESTIMADOS ALTO COSTO</v>
          </cell>
          <cell r="C1031">
            <v>-165401008</v>
          </cell>
        </row>
        <row r="1032">
          <cell r="A1032" t="str">
            <v>281095017</v>
          </cell>
          <cell r="B1032" t="str">
            <v>281095017 OTROS ESTIMADOS FIDELIDAD</v>
          </cell>
          <cell r="C1032">
            <v>0</v>
          </cell>
        </row>
        <row r="1033">
          <cell r="A1033" t="str">
            <v>281095018</v>
          </cell>
          <cell r="B1033" t="str">
            <v>281095018 OTROS ESTIMADOS PLANES COMERCIALES</v>
          </cell>
          <cell r="C1033">
            <v>-820043039</v>
          </cell>
        </row>
        <row r="1034">
          <cell r="A1034" t="str">
            <v>281095019</v>
          </cell>
          <cell r="B1034" t="str">
            <v>281095019 OTROS ESTIMADOS EVENTOS PLANES PROMOCIONALES</v>
          </cell>
          <cell r="C1034">
            <v>-793252913</v>
          </cell>
        </row>
        <row r="1035">
          <cell r="A1035" t="str">
            <v>281095020</v>
          </cell>
          <cell r="B1035" t="str">
            <v>281095020 OTROS ESTIMADOS ESCICION AYC</v>
          </cell>
          <cell r="C1035">
            <v>-405427494</v>
          </cell>
        </row>
        <row r="1036">
          <cell r="A1036" t="str">
            <v>281095050</v>
          </cell>
          <cell r="B1036" t="str">
            <v>281095050 OTROS ESTIMADOS GASTOS BANCARIOS</v>
          </cell>
          <cell r="C1036">
            <v>-42358179</v>
          </cell>
        </row>
        <row r="1037">
          <cell r="A1037" t="str">
            <v/>
          </cell>
          <cell r="B1037" t="str">
            <v>Total Otros</v>
          </cell>
          <cell r="C1037">
            <v>-7132010812</v>
          </cell>
        </row>
        <row r="1038">
          <cell r="A1038" t="str">
            <v/>
          </cell>
          <cell r="B1038" t="str">
            <v>Total 2810 Para Costos y gastos</v>
          </cell>
          <cell r="C1038">
            <v>-7650357736</v>
          </cell>
        </row>
        <row r="1039">
          <cell r="A1039" t="str">
            <v/>
          </cell>
          <cell r="B1039" t="str">
            <v>2820. Para Mantenimiento y reparaciones</v>
          </cell>
          <cell r="C1039">
            <v>0</v>
          </cell>
        </row>
        <row r="1040">
          <cell r="A1040" t="str">
            <v/>
          </cell>
          <cell r="B1040" t="str">
            <v>282025. Equipo de computacion y comunicacion</v>
          </cell>
          <cell r="C1040">
            <v>0</v>
          </cell>
        </row>
        <row r="1041">
          <cell r="A1041" t="str">
            <v>282025001</v>
          </cell>
          <cell r="B1041" t="str">
            <v>282025001 GTOS ESTIMADOS EQ. COMPUTO Y COMUNICACION</v>
          </cell>
          <cell r="C1041">
            <v>-12129999</v>
          </cell>
        </row>
        <row r="1042">
          <cell r="A1042" t="str">
            <v/>
          </cell>
          <cell r="B1042" t="str">
            <v>Total Equipo de computacion y comunicaciones</v>
          </cell>
          <cell r="C1042">
            <v>-12129999</v>
          </cell>
        </row>
        <row r="1043">
          <cell r="A1043" t="str">
            <v/>
          </cell>
          <cell r="B1043" t="str">
            <v>Total 2820 Para Mantenimiento y reparaciones</v>
          </cell>
          <cell r="C1043">
            <v>-12129999</v>
          </cell>
        </row>
        <row r="1044">
          <cell r="A1044" t="str">
            <v/>
          </cell>
          <cell r="B1044" t="str">
            <v>2825. Obligaciones laborales</v>
          </cell>
          <cell r="C1044">
            <v>0</v>
          </cell>
        </row>
        <row r="1045">
          <cell r="A1045" t="str">
            <v/>
          </cell>
          <cell r="B1045" t="str">
            <v>282505. Cesantias</v>
          </cell>
          <cell r="C1045">
            <v>0</v>
          </cell>
        </row>
        <row r="1046">
          <cell r="A1046" t="str">
            <v>282505001</v>
          </cell>
          <cell r="B1046" t="str">
            <v>282505001 CESANTIAS     AYC</v>
          </cell>
          <cell r="C1046">
            <v>0</v>
          </cell>
        </row>
        <row r="1047">
          <cell r="A1047" t="str">
            <v>282505002</v>
          </cell>
          <cell r="B1047" t="str">
            <v>282505002 CESANTIAS</v>
          </cell>
          <cell r="C1047">
            <v>-320792124</v>
          </cell>
        </row>
        <row r="1048">
          <cell r="A1048" t="str">
            <v/>
          </cell>
          <cell r="B1048" t="str">
            <v>Total Cesantias</v>
          </cell>
          <cell r="C1048">
            <v>-320792124</v>
          </cell>
        </row>
        <row r="1049">
          <cell r="A1049" t="str">
            <v/>
          </cell>
          <cell r="B1049" t="str">
            <v>282510. Intereses sobre cesantias</v>
          </cell>
          <cell r="C1049">
            <v>0</v>
          </cell>
        </row>
        <row r="1050">
          <cell r="A1050" t="str">
            <v>282510001</v>
          </cell>
          <cell r="B1050" t="str">
            <v>282510001 INTERESES SOBRE CESANTIAS AYC</v>
          </cell>
          <cell r="C1050">
            <v>0</v>
          </cell>
        </row>
        <row r="1051">
          <cell r="A1051" t="str">
            <v>282510002</v>
          </cell>
          <cell r="B1051" t="str">
            <v>282510002 INTERESES SOBRE CESANTIAS</v>
          </cell>
          <cell r="C1051">
            <v>-26447726</v>
          </cell>
        </row>
        <row r="1052">
          <cell r="A1052" t="str">
            <v/>
          </cell>
          <cell r="B1052" t="str">
            <v>Total Intereses sobre cesantias</v>
          </cell>
          <cell r="C1052">
            <v>-26447726</v>
          </cell>
        </row>
        <row r="1053">
          <cell r="A1053" t="str">
            <v/>
          </cell>
          <cell r="B1053" t="str">
            <v>282515. Vacaciones</v>
          </cell>
          <cell r="C1053">
            <v>0</v>
          </cell>
        </row>
        <row r="1054">
          <cell r="A1054" t="str">
            <v>282515002</v>
          </cell>
          <cell r="B1054" t="str">
            <v>282515002 VACACIONES</v>
          </cell>
          <cell r="C1054">
            <v>-125514234</v>
          </cell>
        </row>
        <row r="1055">
          <cell r="A1055" t="str">
            <v/>
          </cell>
          <cell r="B1055" t="str">
            <v>Total Vacaciones</v>
          </cell>
          <cell r="C1055">
            <v>-125514234</v>
          </cell>
        </row>
        <row r="1056">
          <cell r="A1056" t="str">
            <v/>
          </cell>
          <cell r="B1056" t="str">
            <v>282520. Prima Legal</v>
          </cell>
          <cell r="C1056">
            <v>0</v>
          </cell>
        </row>
        <row r="1057">
          <cell r="A1057" t="str">
            <v>282520002</v>
          </cell>
          <cell r="B1057" t="str">
            <v>282520002 PRIMA LEGAL</v>
          </cell>
          <cell r="C1057">
            <v>-127885115</v>
          </cell>
        </row>
        <row r="1058">
          <cell r="A1058" t="str">
            <v/>
          </cell>
          <cell r="B1058" t="str">
            <v>Total Prima Legal</v>
          </cell>
          <cell r="C1058">
            <v>-127885115</v>
          </cell>
        </row>
        <row r="1059">
          <cell r="A1059" t="str">
            <v/>
          </cell>
          <cell r="B1059" t="str">
            <v>282595. Otras prestaciones</v>
          </cell>
          <cell r="C1059">
            <v>0</v>
          </cell>
        </row>
        <row r="1060">
          <cell r="A1060" t="str">
            <v>282595008</v>
          </cell>
          <cell r="B1060" t="str">
            <v>282595008 ATENCION Y ESTIMULOS AYC</v>
          </cell>
          <cell r="C1060">
            <v>0</v>
          </cell>
        </row>
        <row r="1061">
          <cell r="A1061" t="str">
            <v>282595021</v>
          </cell>
          <cell r="B1061" t="str">
            <v>282595021 AUXILIO DE VACACIONES</v>
          </cell>
          <cell r="C1061">
            <v>-63306145</v>
          </cell>
        </row>
        <row r="1062">
          <cell r="A1062" t="str">
            <v>282595024</v>
          </cell>
          <cell r="B1062" t="str">
            <v>282595024 SERVICIO MEDICO</v>
          </cell>
          <cell r="C1062">
            <v>0</v>
          </cell>
        </row>
        <row r="1063">
          <cell r="A1063" t="str">
            <v>282595025</v>
          </cell>
          <cell r="B1063" t="str">
            <v>282595025 ATENCION Y ESTIMULOS Y DE INTEGRACION(PERSONAL)</v>
          </cell>
          <cell r="C1063">
            <v>-32580000</v>
          </cell>
        </row>
        <row r="1064">
          <cell r="A1064" t="str">
            <v>282595027</v>
          </cell>
          <cell r="B1064" t="str">
            <v>282595027 BONIFICACION DE NAVIDAD</v>
          </cell>
          <cell r="C1064">
            <v>-328218497</v>
          </cell>
        </row>
        <row r="1065">
          <cell r="A1065" t="str">
            <v>282595028</v>
          </cell>
          <cell r="B1065" t="str">
            <v>282595028 INDEMNIZACIONES</v>
          </cell>
          <cell r="C1065">
            <v>0</v>
          </cell>
        </row>
        <row r="1066">
          <cell r="A1066" t="str">
            <v/>
          </cell>
          <cell r="B1066" t="str">
            <v>Total Otras prestaciones</v>
          </cell>
          <cell r="C1066">
            <v>-424104642</v>
          </cell>
        </row>
        <row r="1067">
          <cell r="A1067" t="str">
            <v/>
          </cell>
          <cell r="B1067" t="str">
            <v>Total 2825 Obligaciones laborales</v>
          </cell>
          <cell r="C1067">
            <v>-1024743841</v>
          </cell>
        </row>
        <row r="1068">
          <cell r="A1068" t="str">
            <v/>
          </cell>
          <cell r="B1068" t="str">
            <v>2830. Impuestos</v>
          </cell>
          <cell r="C1068">
            <v>0</v>
          </cell>
        </row>
        <row r="1069">
          <cell r="A1069" t="str">
            <v/>
          </cell>
          <cell r="B1069" t="str">
            <v>283005. Renta Y Complementarios</v>
          </cell>
          <cell r="C1069">
            <v>0</v>
          </cell>
        </row>
        <row r="1070">
          <cell r="A1070" t="str">
            <v>283005000</v>
          </cell>
          <cell r="B1070" t="str">
            <v>283005000 IMPUESTO DE RENTA</v>
          </cell>
          <cell r="C1070">
            <v>0</v>
          </cell>
        </row>
        <row r="1071">
          <cell r="A1071" t="str">
            <v/>
          </cell>
          <cell r="B1071" t="str">
            <v>Total Renta Y Complementarios</v>
          </cell>
          <cell r="C1071">
            <v>0</v>
          </cell>
        </row>
        <row r="1072">
          <cell r="A1072" t="str">
            <v/>
          </cell>
          <cell r="B1072" t="str">
            <v>283010. Industria Comercio</v>
          </cell>
          <cell r="C1072">
            <v>0</v>
          </cell>
        </row>
        <row r="1073">
          <cell r="A1073" t="str">
            <v>283010001</v>
          </cell>
          <cell r="B1073" t="str">
            <v>283010001 INDUSTRIA Y COMERCIO BOGOTA</v>
          </cell>
          <cell r="C1073">
            <v>-186381410</v>
          </cell>
        </row>
        <row r="1074">
          <cell r="A1074" t="str">
            <v>283010002</v>
          </cell>
          <cell r="B1074" t="str">
            <v>283010002 INDUSTRIA Y COMERCIO BARRANQUILLA</v>
          </cell>
          <cell r="C1074">
            <v>-26763422</v>
          </cell>
        </row>
        <row r="1075">
          <cell r="A1075" t="str">
            <v>283010003</v>
          </cell>
          <cell r="B1075" t="str">
            <v>283010003 INDUSTRIA Y COMERCIO YUMBO</v>
          </cell>
          <cell r="C1075">
            <v>-3197249</v>
          </cell>
        </row>
        <row r="1076">
          <cell r="A1076" t="str">
            <v>283010004</v>
          </cell>
          <cell r="B1076" t="str">
            <v>283010004 INDUSTRIA Y COMERCIO LETICIA</v>
          </cell>
          <cell r="C1076">
            <v>-9801316</v>
          </cell>
        </row>
        <row r="1077">
          <cell r="A1077" t="str">
            <v/>
          </cell>
          <cell r="B1077" t="str">
            <v>Total Industria Comercio</v>
          </cell>
          <cell r="C1077">
            <v>-226143397</v>
          </cell>
        </row>
        <row r="1078">
          <cell r="A1078" t="str">
            <v/>
          </cell>
          <cell r="B1078" t="str">
            <v>283015. Predial</v>
          </cell>
          <cell r="C1078">
            <v>0</v>
          </cell>
        </row>
        <row r="1079">
          <cell r="A1079" t="str">
            <v>283015001</v>
          </cell>
          <cell r="B1079" t="str">
            <v>283015001 IMPUESTO PREDIAL BOGOTA</v>
          </cell>
          <cell r="C1079">
            <v>0</v>
          </cell>
        </row>
        <row r="1080">
          <cell r="A1080" t="str">
            <v>283015002</v>
          </cell>
          <cell r="B1080" t="str">
            <v>283015002 PREDIAL BARRANQUILLA</v>
          </cell>
          <cell r="C1080">
            <v>0</v>
          </cell>
        </row>
        <row r="1081">
          <cell r="A1081" t="str">
            <v/>
          </cell>
          <cell r="B1081" t="str">
            <v>Total Predial</v>
          </cell>
          <cell r="C1081">
            <v>0</v>
          </cell>
        </row>
        <row r="1082">
          <cell r="A1082" t="str">
            <v/>
          </cell>
          <cell r="B1082" t="str">
            <v>283095. Otros impuestos</v>
          </cell>
          <cell r="C1082">
            <v>0</v>
          </cell>
        </row>
        <row r="1083">
          <cell r="A1083" t="str">
            <v>283095001</v>
          </cell>
          <cell r="B1083" t="str">
            <v>283095001 OTROS  IMPUESTOS</v>
          </cell>
          <cell r="C1083">
            <v>-13850822</v>
          </cell>
        </row>
        <row r="1084">
          <cell r="A1084" t="str">
            <v>283095002</v>
          </cell>
          <cell r="B1084" t="str">
            <v>283095002 OTROS IMPUESTO AL PATRIMONIO</v>
          </cell>
          <cell r="C1084">
            <v>0</v>
          </cell>
        </row>
        <row r="1085">
          <cell r="A1085" t="str">
            <v/>
          </cell>
          <cell r="B1085" t="str">
            <v>Total Otros impuestos</v>
          </cell>
          <cell r="C1085">
            <v>-13850822</v>
          </cell>
        </row>
        <row r="1086">
          <cell r="A1086" t="str">
            <v/>
          </cell>
          <cell r="B1086" t="str">
            <v>Total 2830 Impuestos</v>
          </cell>
          <cell r="C1086">
            <v>-239994219</v>
          </cell>
        </row>
        <row r="1087">
          <cell r="A1087" t="str">
            <v/>
          </cell>
          <cell r="B1087" t="str">
            <v>2835. Contribuciones y afiliaciones</v>
          </cell>
          <cell r="C1087">
            <v>0</v>
          </cell>
        </row>
        <row r="1088">
          <cell r="A1088" t="str">
            <v/>
          </cell>
          <cell r="B1088" t="str">
            <v>283520. Fondo de garantias de entidades coop.</v>
          </cell>
          <cell r="C1088">
            <v>0</v>
          </cell>
        </row>
        <row r="1089">
          <cell r="A1089" t="str">
            <v>283520001</v>
          </cell>
          <cell r="B1089" t="str">
            <v>283520001 CONTRIBUCCION FOGACOOP</v>
          </cell>
          <cell r="C1089">
            <v>0</v>
          </cell>
        </row>
        <row r="1090">
          <cell r="A1090" t="str">
            <v/>
          </cell>
          <cell r="B1090" t="str">
            <v>Total Fondo de garantias de entidades coop.</v>
          </cell>
          <cell r="C1090">
            <v>0</v>
          </cell>
        </row>
        <row r="1091">
          <cell r="A1091" t="str">
            <v/>
          </cell>
          <cell r="B1091" t="str">
            <v>Total 2835 Contribuciones y afiliaciones</v>
          </cell>
          <cell r="C1091">
            <v>0</v>
          </cell>
        </row>
        <row r="1092">
          <cell r="A1092" t="str">
            <v/>
          </cell>
          <cell r="B1092" t="str">
            <v>2845. Multas y sanciones,litigios,indem.y dem</v>
          </cell>
          <cell r="C1092">
            <v>0</v>
          </cell>
        </row>
        <row r="1093">
          <cell r="A1093" t="str">
            <v/>
          </cell>
          <cell r="B1093" t="str">
            <v>284525. Demandas Laborales</v>
          </cell>
          <cell r="C1093">
            <v>0</v>
          </cell>
        </row>
        <row r="1094">
          <cell r="A1094" t="str">
            <v>284525000</v>
          </cell>
          <cell r="B1094" t="str">
            <v>284525000 DEMANDAS LABORALES</v>
          </cell>
          <cell r="C1094">
            <v>-35000000</v>
          </cell>
        </row>
        <row r="1095">
          <cell r="A1095" t="str">
            <v/>
          </cell>
          <cell r="B1095" t="str">
            <v>Total. Demandas Laborales</v>
          </cell>
          <cell r="C1095">
            <v>-35000000</v>
          </cell>
        </row>
        <row r="1096">
          <cell r="A1096" t="str">
            <v/>
          </cell>
          <cell r="B1096" t="str">
            <v>Total 2845 Multas y sanci,litigios,indem.dem</v>
          </cell>
          <cell r="C1096">
            <v>-35000000</v>
          </cell>
        </row>
        <row r="1097">
          <cell r="A1097" t="str">
            <v/>
          </cell>
          <cell r="B1097" t="str">
            <v>Total 28. Pasivos Estimados Y Provisiones</v>
          </cell>
          <cell r="C1097">
            <v>-8962225795</v>
          </cell>
        </row>
        <row r="1098">
          <cell r="A1098" t="str">
            <v/>
          </cell>
          <cell r="B1098" t="str">
            <v>Total 2 Pasivo</v>
          </cell>
          <cell r="C1098">
            <v>-85856203373</v>
          </cell>
        </row>
        <row r="1099">
          <cell r="A1099" t="str">
            <v/>
          </cell>
          <cell r="B1099" t="str">
            <v>3. Patrimonio</v>
          </cell>
          <cell r="C1099">
            <v>0</v>
          </cell>
        </row>
        <row r="1100">
          <cell r="A1100" t="str">
            <v/>
          </cell>
          <cell r="B1100" t="str">
            <v>31. Capital Social</v>
          </cell>
          <cell r="C1100">
            <v>0</v>
          </cell>
        </row>
        <row r="1101">
          <cell r="A1101" t="str">
            <v/>
          </cell>
          <cell r="B1101" t="str">
            <v>3105. Aportes Sociales</v>
          </cell>
          <cell r="C1101">
            <v>0</v>
          </cell>
        </row>
        <row r="1102">
          <cell r="A1102" t="str">
            <v/>
          </cell>
          <cell r="B1102" t="str">
            <v>310505. Aportes ordinarios</v>
          </cell>
          <cell r="C1102">
            <v>0</v>
          </cell>
        </row>
        <row r="1103">
          <cell r="A1103" t="str">
            <v>310505002</v>
          </cell>
          <cell r="B1103" t="str">
            <v>310505002 RETORNO COOPERATIVO</v>
          </cell>
          <cell r="C1103">
            <v>-546349312</v>
          </cell>
        </row>
        <row r="1104">
          <cell r="A1104" t="str">
            <v>310505003</v>
          </cell>
          <cell r="B1104" t="str">
            <v>310505003 CAPITAL POR DESCUENTO ESP.EN COMPRAS</v>
          </cell>
          <cell r="C1104">
            <v>-13520168814</v>
          </cell>
        </row>
        <row r="1105">
          <cell r="A1105" t="str">
            <v>310505004</v>
          </cell>
          <cell r="B1105" t="str">
            <v>310505004 APORTES A CAPITAL DEL 1%</v>
          </cell>
          <cell r="C1105">
            <v>-5366805112</v>
          </cell>
        </row>
        <row r="1106">
          <cell r="A1106" t="str">
            <v>310505005</v>
          </cell>
          <cell r="B1106" t="str">
            <v>310505005 APORTES ORDINARIOS</v>
          </cell>
          <cell r="C1106">
            <v>-33526805525</v>
          </cell>
        </row>
        <row r="1107">
          <cell r="A1107" t="str">
            <v>310505051</v>
          </cell>
          <cell r="B1107" t="str">
            <v>310505051 CAPITAL PAGADO SECCION AHORRO Y CREDITO</v>
          </cell>
          <cell r="C1107">
            <v>0</v>
          </cell>
        </row>
        <row r="1108">
          <cell r="A1108" t="str">
            <v>310505099</v>
          </cell>
          <cell r="B1108" t="str">
            <v>310505099 CAPITALIZACIÓN POR REVALORIZACION</v>
          </cell>
          <cell r="C1108">
            <v>-4260117324</v>
          </cell>
        </row>
        <row r="1109">
          <cell r="A1109" t="str">
            <v/>
          </cell>
          <cell r="B1109" t="str">
            <v>Total Aportes ordinarios</v>
          </cell>
          <cell r="C1109">
            <v>-57220246087</v>
          </cell>
        </row>
        <row r="1110">
          <cell r="A1110" t="str">
            <v/>
          </cell>
          <cell r="B1110" t="str">
            <v>Total 3105 Aportes Sociales</v>
          </cell>
          <cell r="C1110">
            <v>-57220246087</v>
          </cell>
        </row>
        <row r="1111">
          <cell r="A1111" t="str">
            <v/>
          </cell>
          <cell r="B1111" t="str">
            <v>Total 31. Capital Social</v>
          </cell>
          <cell r="C1111">
            <v>-57220246087</v>
          </cell>
        </row>
        <row r="1112">
          <cell r="A1112" t="str">
            <v/>
          </cell>
          <cell r="B1112" t="str">
            <v>32. Reservas</v>
          </cell>
          <cell r="C1112">
            <v>0</v>
          </cell>
        </row>
        <row r="1113">
          <cell r="A1113" t="str">
            <v/>
          </cell>
          <cell r="B1113" t="str">
            <v>3205. Reserva proteccion de aportes</v>
          </cell>
          <cell r="C1113">
            <v>0</v>
          </cell>
        </row>
        <row r="1114">
          <cell r="A1114" t="str">
            <v/>
          </cell>
          <cell r="B1114" t="str">
            <v>320505. Reserva Proteccion de Aportes</v>
          </cell>
          <cell r="C1114">
            <v>0</v>
          </cell>
        </row>
        <row r="1115">
          <cell r="A1115" t="str">
            <v>320505000</v>
          </cell>
          <cell r="B1115" t="str">
            <v>320505000 PROTECCIÓN DE APORTES SOCIALES</v>
          </cell>
          <cell r="C1115">
            <v>-3112865684</v>
          </cell>
        </row>
        <row r="1116">
          <cell r="A1116" t="str">
            <v/>
          </cell>
          <cell r="B1116" t="str">
            <v>Total Reserva Proteccion de Aportes</v>
          </cell>
          <cell r="C1116">
            <v>-3112865684</v>
          </cell>
        </row>
        <row r="1117">
          <cell r="A1117" t="str">
            <v/>
          </cell>
          <cell r="B1117" t="str">
            <v>Total 3205 Reserva proteccion de aportes</v>
          </cell>
          <cell r="C1117">
            <v>-3112865684</v>
          </cell>
        </row>
        <row r="1118">
          <cell r="A1118" t="str">
            <v/>
          </cell>
          <cell r="B1118" t="str">
            <v>3215. Reserva de Asamblea</v>
          </cell>
          <cell r="C1118">
            <v>0</v>
          </cell>
        </row>
        <row r="1119">
          <cell r="A1119" t="str">
            <v/>
          </cell>
          <cell r="B1119" t="str">
            <v>321505. Reservas de Asamblea</v>
          </cell>
          <cell r="C1119">
            <v>0</v>
          </cell>
        </row>
        <row r="1120">
          <cell r="A1120" t="str">
            <v>321505000</v>
          </cell>
          <cell r="B1120" t="str">
            <v>321505000 RESERVAS DE ASAMBLEA</v>
          </cell>
          <cell r="C1120">
            <v>-850000</v>
          </cell>
        </row>
        <row r="1121">
          <cell r="A1121" t="str">
            <v/>
          </cell>
          <cell r="B1121" t="str">
            <v>Total Reservas de Asamblea</v>
          </cell>
          <cell r="C1121">
            <v>-850000</v>
          </cell>
        </row>
        <row r="1122">
          <cell r="A1122" t="str">
            <v/>
          </cell>
          <cell r="B1122" t="str">
            <v>321510. Reservas especiales</v>
          </cell>
          <cell r="C1122">
            <v>0</v>
          </cell>
        </row>
        <row r="1123">
          <cell r="A1123" t="str">
            <v>321510001</v>
          </cell>
          <cell r="B1123" t="str">
            <v>321510001 RESERVAS ESPECIALES</v>
          </cell>
          <cell r="C1123">
            <v>-240620067</v>
          </cell>
        </row>
        <row r="1124">
          <cell r="A1124" t="str">
            <v/>
          </cell>
          <cell r="B1124" t="str">
            <v>Total Reservas especiales</v>
          </cell>
          <cell r="C1124">
            <v>-240620067</v>
          </cell>
        </row>
        <row r="1125">
          <cell r="A1125" t="str">
            <v/>
          </cell>
          <cell r="B1125" t="str">
            <v>321520. Reserva por exp.a la inflacion.</v>
          </cell>
          <cell r="C1125">
            <v>0</v>
          </cell>
        </row>
        <row r="1126">
          <cell r="A1126" t="str">
            <v>321520000</v>
          </cell>
          <cell r="B1126" t="str">
            <v>321520000 RESERVA POR EXPOSICIÓN A LA INFLACIÓN</v>
          </cell>
          <cell r="C1126">
            <v>-7209574</v>
          </cell>
        </row>
        <row r="1127">
          <cell r="A1127" t="str">
            <v/>
          </cell>
          <cell r="B1127" t="str">
            <v>Total Reserva por exp.a la inflacion.</v>
          </cell>
          <cell r="C1127">
            <v>-7209574</v>
          </cell>
        </row>
        <row r="1128">
          <cell r="A1128" t="str">
            <v/>
          </cell>
          <cell r="B1128" t="str">
            <v>Total 3215 Reserva de Asamblea</v>
          </cell>
          <cell r="C1128">
            <v>-248679641</v>
          </cell>
        </row>
        <row r="1129">
          <cell r="A1129" t="str">
            <v/>
          </cell>
          <cell r="B1129" t="str">
            <v>Total 32. Reservas</v>
          </cell>
          <cell r="C1129">
            <v>-3361545325</v>
          </cell>
        </row>
        <row r="1130">
          <cell r="A1130" t="str">
            <v/>
          </cell>
          <cell r="B1130" t="str">
            <v>33. Fondos de Destinacion especifica</v>
          </cell>
          <cell r="C1130">
            <v>0</v>
          </cell>
        </row>
        <row r="1131">
          <cell r="A1131" t="str">
            <v/>
          </cell>
          <cell r="B1131" t="str">
            <v>3310. Fondo para revalorizacion de aportes</v>
          </cell>
          <cell r="C1131">
            <v>0</v>
          </cell>
        </row>
        <row r="1132">
          <cell r="A1132" t="str">
            <v/>
          </cell>
          <cell r="B1132" t="str">
            <v>331005. Fondo Para revalorizacion de Aportes</v>
          </cell>
          <cell r="C1132">
            <v>0</v>
          </cell>
        </row>
        <row r="1133">
          <cell r="A1133" t="str">
            <v>331005001</v>
          </cell>
          <cell r="B1133" t="str">
            <v>331005001 FONDO REVALORIZACION DE APORTES</v>
          </cell>
          <cell r="C1133">
            <v>-14880353</v>
          </cell>
        </row>
        <row r="1134">
          <cell r="A1134" t="str">
            <v/>
          </cell>
          <cell r="B1134" t="str">
            <v>Total Fondo Para revalorizacion de Aportes</v>
          </cell>
          <cell r="C1134">
            <v>-14880353</v>
          </cell>
        </row>
        <row r="1135">
          <cell r="A1135" t="str">
            <v/>
          </cell>
          <cell r="B1135" t="str">
            <v>Total 3310 Fdo para revalorizacion de aportes</v>
          </cell>
          <cell r="C1135">
            <v>-14880353</v>
          </cell>
        </row>
        <row r="1136">
          <cell r="A1136" t="str">
            <v/>
          </cell>
          <cell r="B1136" t="str">
            <v>3325. Fondo especial</v>
          </cell>
          <cell r="C1136">
            <v>0</v>
          </cell>
        </row>
        <row r="1137">
          <cell r="A1137" t="str">
            <v/>
          </cell>
          <cell r="B1137" t="str">
            <v>332505. Fondo Especial</v>
          </cell>
          <cell r="C1137">
            <v>0</v>
          </cell>
        </row>
        <row r="1138">
          <cell r="A1138" t="str">
            <v>332505000</v>
          </cell>
          <cell r="B1138" t="str">
            <v>332505000 FONDO ESPECIAL</v>
          </cell>
          <cell r="C1138">
            <v>-3108724536</v>
          </cell>
        </row>
        <row r="1139">
          <cell r="A1139" t="str">
            <v/>
          </cell>
          <cell r="B1139" t="str">
            <v>Total Fondo Especial</v>
          </cell>
          <cell r="C1139">
            <v>-3108724536</v>
          </cell>
        </row>
        <row r="1140">
          <cell r="A1140" t="str">
            <v/>
          </cell>
          <cell r="B1140" t="str">
            <v>Total 3325 Fondo especial</v>
          </cell>
          <cell r="C1140">
            <v>-3108724536</v>
          </cell>
        </row>
        <row r="1141">
          <cell r="A1141" t="str">
            <v/>
          </cell>
          <cell r="B1141" t="str">
            <v>3335. Fondos de inversion</v>
          </cell>
          <cell r="C1141">
            <v>0</v>
          </cell>
        </row>
        <row r="1142">
          <cell r="A1142" t="str">
            <v/>
          </cell>
          <cell r="B1142" t="str">
            <v>333505. Fondos de inversion</v>
          </cell>
          <cell r="C1142">
            <v>0</v>
          </cell>
        </row>
        <row r="1143">
          <cell r="A1143" t="str">
            <v>333505000</v>
          </cell>
          <cell r="B1143" t="str">
            <v>333505000 FONDOS DE INVERSIÓN</v>
          </cell>
          <cell r="C1143">
            <v>-57447547</v>
          </cell>
        </row>
        <row r="1144">
          <cell r="A1144" t="str">
            <v/>
          </cell>
          <cell r="B1144" t="str">
            <v>Total Fondos de inversion</v>
          </cell>
          <cell r="C1144">
            <v>-57447547</v>
          </cell>
        </row>
        <row r="1145">
          <cell r="A1145" t="str">
            <v/>
          </cell>
          <cell r="B1145" t="str">
            <v>Total 3335 Fondos de inversion</v>
          </cell>
          <cell r="C1145">
            <v>-57447547</v>
          </cell>
        </row>
        <row r="1146">
          <cell r="A1146" t="str">
            <v/>
          </cell>
          <cell r="B1146" t="str">
            <v>3340. Otros fondos</v>
          </cell>
          <cell r="C1146">
            <v>0</v>
          </cell>
        </row>
        <row r="1147">
          <cell r="A1147" t="str">
            <v/>
          </cell>
          <cell r="B1147" t="str">
            <v>334005. Otros Fondos</v>
          </cell>
          <cell r="C1147">
            <v>0</v>
          </cell>
        </row>
        <row r="1148">
          <cell r="A1148" t="str">
            <v>334005002</v>
          </cell>
          <cell r="B1148" t="str">
            <v>334005002 OTROS FONDOS DE INVERSIÓN</v>
          </cell>
          <cell r="C1148">
            <v>-50017116</v>
          </cell>
        </row>
        <row r="1149">
          <cell r="A1149" t="str">
            <v>334005003</v>
          </cell>
          <cell r="B1149" t="str">
            <v>334005003 FONDO ESPECIAL PUC RES.1017</v>
          </cell>
          <cell r="C1149">
            <v>-49334496</v>
          </cell>
        </row>
        <row r="1150">
          <cell r="A1150" t="str">
            <v/>
          </cell>
          <cell r="B1150" t="str">
            <v>Total Otros Fondos</v>
          </cell>
          <cell r="C1150">
            <v>-99351612</v>
          </cell>
        </row>
        <row r="1151">
          <cell r="A1151" t="str">
            <v/>
          </cell>
          <cell r="B1151" t="str">
            <v>Total 3340 Otros fondos</v>
          </cell>
          <cell r="C1151">
            <v>-99351612</v>
          </cell>
        </row>
        <row r="1152">
          <cell r="A1152" t="str">
            <v/>
          </cell>
          <cell r="B1152" t="str">
            <v>Total 33. Fondos de Destinacion especifica</v>
          </cell>
          <cell r="C1152">
            <v>-3280404048</v>
          </cell>
        </row>
        <row r="1153">
          <cell r="A1153" t="str">
            <v/>
          </cell>
          <cell r="B1153" t="str">
            <v>34. Superavit</v>
          </cell>
          <cell r="C1153">
            <v>0</v>
          </cell>
        </row>
        <row r="1154">
          <cell r="A1154" t="str">
            <v/>
          </cell>
          <cell r="B1154" t="str">
            <v>3405. Auxilios y donaciones</v>
          </cell>
          <cell r="C1154">
            <v>0</v>
          </cell>
        </row>
        <row r="1155">
          <cell r="A1155" t="str">
            <v/>
          </cell>
          <cell r="B1155" t="str">
            <v>340505. Entidades Particulares</v>
          </cell>
          <cell r="C1155">
            <v>0</v>
          </cell>
        </row>
        <row r="1156">
          <cell r="A1156" t="str">
            <v>340505001</v>
          </cell>
          <cell r="B1156" t="str">
            <v>340505001 AUXILIOS Y DONACIONES PERSONALES</v>
          </cell>
          <cell r="C1156">
            <v>-297400</v>
          </cell>
        </row>
        <row r="1157">
          <cell r="A1157" t="str">
            <v/>
          </cell>
          <cell r="B1157" t="str">
            <v>Total Entidades Particulares</v>
          </cell>
          <cell r="C1157">
            <v>-297400</v>
          </cell>
        </row>
        <row r="1158">
          <cell r="A1158" t="str">
            <v/>
          </cell>
          <cell r="B1158" t="str">
            <v>Total 3405 Auxilios y donaciones</v>
          </cell>
          <cell r="C1158">
            <v>-297400</v>
          </cell>
        </row>
        <row r="1159">
          <cell r="A1159" t="str">
            <v/>
          </cell>
          <cell r="B1159" t="str">
            <v>3415. Valorizaciones</v>
          </cell>
          <cell r="C1159">
            <v>0</v>
          </cell>
        </row>
        <row r="1160">
          <cell r="A1160" t="str">
            <v/>
          </cell>
          <cell r="B1160" t="str">
            <v>341510. Propiedades,Planta Y equipo</v>
          </cell>
          <cell r="C1160">
            <v>0</v>
          </cell>
        </row>
        <row r="1161">
          <cell r="A1161" t="str">
            <v>341510001</v>
          </cell>
          <cell r="B1161" t="str">
            <v>341510001 VALORIZACIÓN PROP. PLANTAY EQUIPO</v>
          </cell>
          <cell r="C1161">
            <v>-5954749187</v>
          </cell>
        </row>
        <row r="1162">
          <cell r="A1162" t="str">
            <v/>
          </cell>
          <cell r="B1162" t="str">
            <v>Total Propiedades,Planta Y equipo</v>
          </cell>
          <cell r="C1162">
            <v>-5954749187</v>
          </cell>
        </row>
        <row r="1163">
          <cell r="A1163" t="str">
            <v/>
          </cell>
          <cell r="B1163" t="str">
            <v>Total 3415 Valorizaciones</v>
          </cell>
          <cell r="C1163">
            <v>-5954749187</v>
          </cell>
        </row>
        <row r="1164">
          <cell r="A1164" t="str">
            <v/>
          </cell>
          <cell r="B1164" t="str">
            <v>Total 34. Superavit</v>
          </cell>
          <cell r="C1164">
            <v>-5955046587</v>
          </cell>
        </row>
        <row r="1165">
          <cell r="A1165" t="str">
            <v/>
          </cell>
          <cell r="B1165" t="str">
            <v>35. Resultados del Ejercicio</v>
          </cell>
          <cell r="C1165">
            <v>0</v>
          </cell>
        </row>
        <row r="1166">
          <cell r="A1166" t="str">
            <v/>
          </cell>
          <cell r="B1166" t="str">
            <v>3505. Excedentes y/o perdidas</v>
          </cell>
          <cell r="C1166">
            <v>0</v>
          </cell>
        </row>
        <row r="1167">
          <cell r="A1167" t="str">
            <v/>
          </cell>
          <cell r="B1167" t="str">
            <v>350505. Excedentes</v>
          </cell>
          <cell r="C1167">
            <v>0</v>
          </cell>
        </row>
        <row r="1168">
          <cell r="A1168" t="str">
            <v>350505000</v>
          </cell>
          <cell r="B1168" t="str">
            <v>350505000 EXCEDENTES</v>
          </cell>
          <cell r="C1168">
            <v>0</v>
          </cell>
        </row>
        <row r="1169">
          <cell r="A1169" t="str">
            <v>350505001</v>
          </cell>
          <cell r="B1169" t="str">
            <v>350505001 EXCEDENTES AYC</v>
          </cell>
          <cell r="C1169">
            <v>0</v>
          </cell>
        </row>
        <row r="1170">
          <cell r="A1170" t="str">
            <v/>
          </cell>
          <cell r="B1170" t="str">
            <v>Total Excedentes</v>
          </cell>
          <cell r="C1170">
            <v>0</v>
          </cell>
        </row>
        <row r="1171">
          <cell r="A1171" t="str">
            <v/>
          </cell>
          <cell r="B1171" t="str">
            <v>Total 3505 Excedentes y/o perdidas</v>
          </cell>
          <cell r="C1171">
            <v>0</v>
          </cell>
        </row>
        <row r="1172">
          <cell r="A1172" t="str">
            <v/>
          </cell>
          <cell r="B1172" t="str">
            <v>Total 35. Resultados del Ejercicio</v>
          </cell>
          <cell r="C1172">
            <v>0</v>
          </cell>
        </row>
        <row r="1173">
          <cell r="A1173" t="str">
            <v/>
          </cell>
          <cell r="B1173" t="str">
            <v>36. Resultados de ejercicios anteriores</v>
          </cell>
          <cell r="C1173">
            <v>0</v>
          </cell>
        </row>
        <row r="1174">
          <cell r="A1174" t="str">
            <v/>
          </cell>
          <cell r="B1174" t="str">
            <v>3605. Excedentes y/o perdidas</v>
          </cell>
          <cell r="C1174">
            <v>0</v>
          </cell>
        </row>
        <row r="1175">
          <cell r="A1175" t="str">
            <v/>
          </cell>
          <cell r="B1175" t="str">
            <v>360505. Excedentes</v>
          </cell>
          <cell r="C1175">
            <v>0</v>
          </cell>
        </row>
        <row r="1176">
          <cell r="A1176" t="str">
            <v>360505000</v>
          </cell>
          <cell r="B1176" t="str">
            <v>360505000 EXCEDENTES</v>
          </cell>
          <cell r="C1176">
            <v>0</v>
          </cell>
        </row>
        <row r="1177">
          <cell r="A1177" t="str">
            <v/>
          </cell>
          <cell r="B1177" t="str">
            <v>Total Excedentes</v>
          </cell>
          <cell r="C1177">
            <v>0</v>
          </cell>
        </row>
        <row r="1178">
          <cell r="A1178" t="str">
            <v/>
          </cell>
          <cell r="B1178" t="str">
            <v>Total 3605 Excedentes y/o perdidas</v>
          </cell>
          <cell r="C1178">
            <v>0</v>
          </cell>
        </row>
        <row r="1179">
          <cell r="A1179" t="str">
            <v/>
          </cell>
          <cell r="B1179" t="str">
            <v>Total 36. Resultados de ejercicios anteriores</v>
          </cell>
          <cell r="C1179">
            <v>0</v>
          </cell>
        </row>
        <row r="1180">
          <cell r="A1180" t="str">
            <v/>
          </cell>
          <cell r="B1180" t="str">
            <v>Total 3 Patrimonio</v>
          </cell>
          <cell r="C1180">
            <v>-69817242047</v>
          </cell>
        </row>
        <row r="1181">
          <cell r="A1181" t="str">
            <v/>
          </cell>
          <cell r="B1181" t="str">
            <v>Total Pasivo y Patrimonio</v>
          </cell>
          <cell r="C1181">
            <v>-155673445420</v>
          </cell>
        </row>
        <row r="1182">
          <cell r="A1182" t="str">
            <v/>
          </cell>
          <cell r="B1182" t="str">
            <v>Resultado del balance gananacias</v>
          </cell>
          <cell r="C1182">
            <v>0</v>
          </cell>
        </row>
        <row r="1183">
          <cell r="A1183" t="str">
            <v/>
          </cell>
          <cell r="B1183" t="str">
            <v>Resultado del balance gananacias</v>
          </cell>
          <cell r="C1183">
            <v>-2660673402</v>
          </cell>
        </row>
        <row r="1184">
          <cell r="A1184" t="str">
            <v/>
          </cell>
          <cell r="B1184" t="str">
            <v>4. Ingresos</v>
          </cell>
          <cell r="C1184">
            <v>0</v>
          </cell>
        </row>
        <row r="1185">
          <cell r="A1185" t="str">
            <v/>
          </cell>
          <cell r="B1185" t="str">
            <v>41. Operacionales</v>
          </cell>
          <cell r="C1185">
            <v>0</v>
          </cell>
        </row>
        <row r="1186">
          <cell r="A1186" t="str">
            <v/>
          </cell>
          <cell r="B1186" t="str">
            <v>4135. Comercio al Por mayor y al por menor</v>
          </cell>
          <cell r="C1186">
            <v>0</v>
          </cell>
        </row>
        <row r="1187">
          <cell r="A1187" t="str">
            <v/>
          </cell>
          <cell r="B1187" t="str">
            <v>413538. Venta,product.aseo,farmaceut.medic.to</v>
          </cell>
          <cell r="C1187">
            <v>0</v>
          </cell>
        </row>
        <row r="1188">
          <cell r="A1188" t="str">
            <v>413538001</v>
          </cell>
          <cell r="B1188" t="str">
            <v>413538001 VENTAS MERCANCÍA  EXCLUIDO  ETICOS ASOCIADOS</v>
          </cell>
          <cell r="C1188">
            <v>-284966234581</v>
          </cell>
        </row>
        <row r="1189">
          <cell r="A1189" t="str">
            <v>413538002</v>
          </cell>
          <cell r="B1189" t="str">
            <v>413538002 VENTAS MERCANCÍA  EXCLUIDO POPULARES ASOCIADOS</v>
          </cell>
          <cell r="C1189">
            <v>-41997665071</v>
          </cell>
        </row>
        <row r="1190">
          <cell r="A1190" t="str">
            <v>413538004</v>
          </cell>
          <cell r="B1190" t="str">
            <v>413538004 VENTAS MERCANCÍA  GRAVADA ETICOS ASOCIADOS</v>
          </cell>
          <cell r="C1190">
            <v>-3341891954</v>
          </cell>
        </row>
        <row r="1191">
          <cell r="A1191" t="str">
            <v>413538005</v>
          </cell>
          <cell r="B1191" t="str">
            <v>413538005 VENTAS MERCANCÍA  GRAVADAS POPULARES ASOCIADOS</v>
          </cell>
          <cell r="C1191">
            <v>-125047854411</v>
          </cell>
        </row>
        <row r="1192">
          <cell r="A1192" t="str">
            <v>413538006</v>
          </cell>
          <cell r="B1192" t="str">
            <v>413538006 VENTAS MERCANCÍA  GRAVADAS  CONVENIOS</v>
          </cell>
          <cell r="C1192">
            <v>-1903087884</v>
          </cell>
        </row>
        <row r="1193">
          <cell r="A1193" t="str">
            <v>413538014</v>
          </cell>
          <cell r="B1193" t="str">
            <v>413538014 VENTAS MERCANCÍA  GRAVADAS POPULARES EPS</v>
          </cell>
          <cell r="C1193">
            <v>-248735</v>
          </cell>
        </row>
        <row r="1194">
          <cell r="A1194" t="str">
            <v>413538031</v>
          </cell>
          <cell r="B1194" t="str">
            <v>413538031 VENTAS MERCANCÍA  EXCLUIDA  ETICOS TERCEROS</v>
          </cell>
          <cell r="C1194">
            <v>-310579303</v>
          </cell>
        </row>
        <row r="1195">
          <cell r="A1195" t="str">
            <v>413538032</v>
          </cell>
          <cell r="B1195" t="str">
            <v>413538032 VENTAS MERCANCÍA  EXCLUIDA POPULARES TERCEROS</v>
          </cell>
          <cell r="C1195">
            <v>-48542934</v>
          </cell>
        </row>
        <row r="1196">
          <cell r="A1196" t="str">
            <v>413538034</v>
          </cell>
          <cell r="B1196" t="str">
            <v>413538034 VENTAS MERCANCÍA  GRAVADA ETICOS TERCEROS</v>
          </cell>
          <cell r="C1196">
            <v>-1433736</v>
          </cell>
        </row>
        <row r="1197">
          <cell r="A1197" t="str">
            <v>413538035</v>
          </cell>
          <cell r="B1197" t="str">
            <v>413538035 VENTAS MERCANCÍA  GRAVADA POPULARES TERCEROS</v>
          </cell>
          <cell r="C1197">
            <v>-154259318</v>
          </cell>
        </row>
        <row r="1198">
          <cell r="A1198" t="str">
            <v>413538071</v>
          </cell>
          <cell r="B1198" t="str">
            <v>413538071 DIFERENCIAS EN PRECIOS MERCANCIA EXENTA</v>
          </cell>
          <cell r="C1198">
            <v>16563230</v>
          </cell>
        </row>
        <row r="1199">
          <cell r="A1199" t="str">
            <v>413538072</v>
          </cell>
          <cell r="B1199" t="str">
            <v>413538072 DIFERENCIAS EN PRECIOS MERCANCIA GRAVADA</v>
          </cell>
          <cell r="C1199">
            <v>1442934</v>
          </cell>
        </row>
        <row r="1200">
          <cell r="A1200" t="str">
            <v/>
          </cell>
          <cell r="B1200" t="str">
            <v>Total Venta,product.aseo,farmaceut.medic.toca</v>
          </cell>
          <cell r="C1200">
            <v>-457753791763</v>
          </cell>
        </row>
        <row r="1201">
          <cell r="A1201" t="str">
            <v/>
          </cell>
          <cell r="B1201" t="str">
            <v>Total 4135 Comerc al Por mayor y al por menor</v>
          </cell>
          <cell r="C1201">
            <v>-457753791763</v>
          </cell>
        </row>
        <row r="1202">
          <cell r="A1202" t="str">
            <v/>
          </cell>
          <cell r="B1202" t="str">
            <v>4150. Actividad Financiera</v>
          </cell>
          <cell r="C1202">
            <v>0</v>
          </cell>
        </row>
        <row r="1203">
          <cell r="A1203" t="str">
            <v/>
          </cell>
          <cell r="B1203" t="str">
            <v>415005. Intereses creditos comercial</v>
          </cell>
          <cell r="C1203">
            <v>0</v>
          </cell>
        </row>
        <row r="1204">
          <cell r="A1204" t="str">
            <v>415005001</v>
          </cell>
          <cell r="B1204" t="str">
            <v>415005001 INTER CORRIENTES CREDITOS COMERCIALES AYC</v>
          </cell>
          <cell r="C1204">
            <v>-550676388</v>
          </cell>
        </row>
        <row r="1205">
          <cell r="A1205" t="str">
            <v>415005002</v>
          </cell>
          <cell r="B1205" t="str">
            <v>415005002 INTER MORA CREDITOS COMERCIALES AYC</v>
          </cell>
          <cell r="C1205">
            <v>-2525489</v>
          </cell>
        </row>
        <row r="1206">
          <cell r="A1206" t="str">
            <v/>
          </cell>
          <cell r="B1206" t="str">
            <v>Total Intereses creditos comercial</v>
          </cell>
          <cell r="C1206">
            <v>-553201877</v>
          </cell>
        </row>
        <row r="1207">
          <cell r="A1207" t="str">
            <v/>
          </cell>
          <cell r="B1207" t="str">
            <v>415010. Intereses creditos consumo.</v>
          </cell>
          <cell r="C1207">
            <v>0</v>
          </cell>
        </row>
        <row r="1208">
          <cell r="A1208" t="str">
            <v>415010001</v>
          </cell>
          <cell r="B1208" t="str">
            <v>415010001 INTER CORRIENTES CREDITOS CONSUMO AYC</v>
          </cell>
          <cell r="C1208">
            <v>-2150346631</v>
          </cell>
        </row>
        <row r="1209">
          <cell r="A1209" t="str">
            <v>415010002</v>
          </cell>
          <cell r="B1209" t="str">
            <v>415010002 INTER MORA CREDITOS CONSUMO AYC</v>
          </cell>
          <cell r="C1209">
            <v>-24398435</v>
          </cell>
        </row>
        <row r="1210">
          <cell r="A1210" t="str">
            <v/>
          </cell>
          <cell r="B1210" t="str">
            <v>Total Intereses creditos consumo.</v>
          </cell>
          <cell r="C1210">
            <v>-2174745066</v>
          </cell>
        </row>
        <row r="1211">
          <cell r="A1211" t="str">
            <v/>
          </cell>
          <cell r="B1211" t="str">
            <v>415046. Intereses fondo de liquidez</v>
          </cell>
          <cell r="C1211">
            <v>0</v>
          </cell>
        </row>
        <row r="1212">
          <cell r="A1212" t="str">
            <v>415046001</v>
          </cell>
          <cell r="B1212" t="str">
            <v>415046001 RENDIMIENTOS INVERSIONES FONDO LIQUIDEZ AyC</v>
          </cell>
          <cell r="C1212">
            <v>-104577256</v>
          </cell>
        </row>
        <row r="1213">
          <cell r="A1213" t="str">
            <v/>
          </cell>
          <cell r="B1213" t="str">
            <v>Total Intereses fondo de liquidez</v>
          </cell>
          <cell r="C1213">
            <v>-104577256</v>
          </cell>
        </row>
        <row r="1214">
          <cell r="A1214" t="str">
            <v/>
          </cell>
          <cell r="B1214" t="str">
            <v>415055. Valoracion de inveriones permanentes</v>
          </cell>
          <cell r="C1214">
            <v>0</v>
          </cell>
        </row>
        <row r="1215">
          <cell r="A1215" t="str">
            <v>415055001</v>
          </cell>
          <cell r="B1215" t="str">
            <v>415055001 VALORACION DE  INVERSIONES PERMANENTES</v>
          </cell>
          <cell r="C1215">
            <v>-17167098</v>
          </cell>
        </row>
        <row r="1216">
          <cell r="A1216" t="str">
            <v/>
          </cell>
          <cell r="B1216" t="str">
            <v>Total  Valoracion de inveriones permanentes</v>
          </cell>
          <cell r="C1216">
            <v>-17167098</v>
          </cell>
        </row>
        <row r="1217">
          <cell r="A1217" t="str">
            <v/>
          </cell>
          <cell r="B1217" t="str">
            <v>415098. Otros ingresos Financieros</v>
          </cell>
          <cell r="C1217">
            <v>0</v>
          </cell>
        </row>
        <row r="1218">
          <cell r="A1218" t="str">
            <v>415098001</v>
          </cell>
          <cell r="B1218" t="str">
            <v>415098001 RENDIMIENTOS BANCARIOS AYC</v>
          </cell>
          <cell r="C1218">
            <v>-1285196</v>
          </cell>
        </row>
        <row r="1219">
          <cell r="A1219" t="str">
            <v>415098005</v>
          </cell>
          <cell r="B1219" t="str">
            <v>415098005 OTROS INTERESES RECIBIDOS AYC</v>
          </cell>
          <cell r="C1219">
            <v>-874441</v>
          </cell>
        </row>
        <row r="1220">
          <cell r="A1220" t="str">
            <v>415098011</v>
          </cell>
          <cell r="B1220" t="str">
            <v>415098011 INT MORA FACTURAS DE MERCANCÍA</v>
          </cell>
          <cell r="C1220">
            <v>-100302894</v>
          </cell>
        </row>
        <row r="1221">
          <cell r="A1221" t="str">
            <v/>
          </cell>
          <cell r="B1221" t="str">
            <v>Total Otros ingresos Financieros</v>
          </cell>
          <cell r="C1221">
            <v>-102462531</v>
          </cell>
        </row>
        <row r="1222">
          <cell r="A1222" t="str">
            <v/>
          </cell>
          <cell r="B1222" t="str">
            <v>Total 4150 Actividad Financiera</v>
          </cell>
          <cell r="C1222">
            <v>-2952153828</v>
          </cell>
        </row>
        <row r="1223">
          <cell r="A1223" t="str">
            <v/>
          </cell>
          <cell r="B1223" t="str">
            <v>4151. Utilidad en valoracion de inver.deuda</v>
          </cell>
          <cell r="C1223">
            <v>0</v>
          </cell>
        </row>
        <row r="1224">
          <cell r="A1224" t="str">
            <v/>
          </cell>
          <cell r="B1224" t="str">
            <v>415106. Por increm. en el valor de mercado(cr</v>
          </cell>
          <cell r="C1224">
            <v>0</v>
          </cell>
        </row>
        <row r="1225">
          <cell r="A1225" t="str">
            <v>415106001</v>
          </cell>
          <cell r="B1225" t="str">
            <v>415106001 POR INCREMENTO EN EL VALOR DE MERCADO(CR)</v>
          </cell>
          <cell r="C1225">
            <v>-22941200</v>
          </cell>
        </row>
        <row r="1226">
          <cell r="A1226" t="str">
            <v/>
          </cell>
          <cell r="B1226" t="str">
            <v>Total  Por increm. en el valor de mercado(cr)</v>
          </cell>
          <cell r="C1226">
            <v>-22941200</v>
          </cell>
        </row>
        <row r="1227">
          <cell r="A1227" t="str">
            <v/>
          </cell>
          <cell r="B1227" t="str">
            <v>Total 4151Utilid en valoracion de inver.deuda</v>
          </cell>
          <cell r="C1227">
            <v>-22941200</v>
          </cell>
        </row>
        <row r="1228">
          <cell r="A1228" t="str">
            <v/>
          </cell>
          <cell r="B1228" t="str">
            <v>4152. Util.en valor de inver.neg.en tit.parti</v>
          </cell>
          <cell r="C1228">
            <v>0</v>
          </cell>
        </row>
        <row r="1229">
          <cell r="A1229" t="str">
            <v/>
          </cell>
          <cell r="B1229" t="str">
            <v>415206. Por incremento de valor de mercado(cr</v>
          </cell>
          <cell r="C1229">
            <v>0</v>
          </cell>
        </row>
        <row r="1230">
          <cell r="A1230" t="str">
            <v>415206001</v>
          </cell>
          <cell r="B1230" t="str">
            <v>415206001 POR INCREMENTO EN EL VALOR DE MERCADO(CR)</v>
          </cell>
          <cell r="C1230">
            <v>-87668118</v>
          </cell>
        </row>
        <row r="1231">
          <cell r="A1231" t="str">
            <v/>
          </cell>
          <cell r="B1231" t="str">
            <v>Total Por incremento de valor de mercado(cr)</v>
          </cell>
          <cell r="C1231">
            <v>-87668118</v>
          </cell>
        </row>
        <row r="1232">
          <cell r="A1232" t="str">
            <v/>
          </cell>
          <cell r="B1232" t="str">
            <v>Total 4152 Util.en valor inv.neg.en tit.part</v>
          </cell>
          <cell r="C1232">
            <v>-87668118</v>
          </cell>
        </row>
        <row r="1233">
          <cell r="A1233" t="str">
            <v/>
          </cell>
          <cell r="B1233" t="str">
            <v>4154. Utilidad en valoracion inver.al vencimi</v>
          </cell>
          <cell r="C1233">
            <v>0</v>
          </cell>
        </row>
        <row r="1234">
          <cell r="A1234" t="str">
            <v/>
          </cell>
          <cell r="B1234" t="str">
            <v>415406. Por incremento en el valor presente</v>
          </cell>
          <cell r="C1234">
            <v>0</v>
          </cell>
        </row>
        <row r="1235">
          <cell r="A1235" t="str">
            <v>415406001</v>
          </cell>
          <cell r="B1235" t="str">
            <v>415406001 POR AUMENTO EN EL VALOR PRESENTE(CR)</v>
          </cell>
          <cell r="C1235">
            <v>-322168247</v>
          </cell>
        </row>
        <row r="1236">
          <cell r="A1236" t="str">
            <v/>
          </cell>
          <cell r="B1236" t="str">
            <v>Total Por incremento en el valor presente</v>
          </cell>
          <cell r="C1236">
            <v>-322168247</v>
          </cell>
        </row>
        <row r="1237">
          <cell r="A1237" t="str">
            <v/>
          </cell>
          <cell r="B1237" t="str">
            <v>Total 4154 Utiliden valorac inver.al vencimi</v>
          </cell>
          <cell r="C1237">
            <v>-322168247</v>
          </cell>
        </row>
        <row r="1238">
          <cell r="A1238" t="str">
            <v/>
          </cell>
          <cell r="B1238" t="str">
            <v>4165. Servicios sociales y de salud</v>
          </cell>
          <cell r="C1238">
            <v>0</v>
          </cell>
        </row>
        <row r="1239">
          <cell r="A1239" t="str">
            <v/>
          </cell>
          <cell r="B1239" t="str">
            <v>416535. Cuotas admon y/o asociacion</v>
          </cell>
          <cell r="C1239">
            <v>0</v>
          </cell>
        </row>
        <row r="1240">
          <cell r="A1240" t="str">
            <v>416535001</v>
          </cell>
          <cell r="B1240" t="str">
            <v>416535001 INGRESOS  ADMISIÓN DE ASOCIADOS</v>
          </cell>
          <cell r="C1240">
            <v>-24796700</v>
          </cell>
        </row>
        <row r="1241">
          <cell r="A1241" t="str">
            <v/>
          </cell>
          <cell r="B1241" t="str">
            <v>Total Cuotas admon y/o asociacion</v>
          </cell>
          <cell r="C1241">
            <v>-24796700</v>
          </cell>
        </row>
        <row r="1242">
          <cell r="A1242" t="str">
            <v/>
          </cell>
          <cell r="B1242" t="str">
            <v>416545. Servicios de prev.y seguridad social</v>
          </cell>
          <cell r="C1242">
            <v>0</v>
          </cell>
        </row>
        <row r="1243">
          <cell r="A1243" t="str">
            <v>416545001</v>
          </cell>
          <cell r="B1243" t="str">
            <v>416545001 INGRESOS SERVICIOS OFICINA DE SEGUROS</v>
          </cell>
          <cell r="C1243">
            <v>-316253271</v>
          </cell>
        </row>
        <row r="1244">
          <cell r="A1244" t="str">
            <v>416545002</v>
          </cell>
          <cell r="B1244" t="str">
            <v>416545002 INGRESOS RECUPERACIÓN DE POLIZAS</v>
          </cell>
          <cell r="C1244">
            <v>0</v>
          </cell>
        </row>
        <row r="1245">
          <cell r="A1245" t="str">
            <v/>
          </cell>
          <cell r="B1245" t="str">
            <v>Total  Servicios de prev.y seguridad social</v>
          </cell>
          <cell r="C1245">
            <v>-316253271</v>
          </cell>
        </row>
        <row r="1246">
          <cell r="A1246" t="str">
            <v/>
          </cell>
          <cell r="B1246" t="str">
            <v>416595. Actividades conexas</v>
          </cell>
          <cell r="C1246">
            <v>0</v>
          </cell>
        </row>
        <row r="1247">
          <cell r="A1247" t="str">
            <v>416595002</v>
          </cell>
          <cell r="B1247" t="str">
            <v>416595002 INGRESOS SANCIONES ECONÓMICAS</v>
          </cell>
          <cell r="C1247">
            <v>-16540518</v>
          </cell>
        </row>
        <row r="1248">
          <cell r="A1248" t="str">
            <v>416595003</v>
          </cell>
          <cell r="B1248" t="str">
            <v>416595003 INGRESOS RECARGOS  ECONÓMICOS</v>
          </cell>
          <cell r="C1248">
            <v>-169648646</v>
          </cell>
        </row>
        <row r="1249">
          <cell r="A1249" t="str">
            <v>416595005</v>
          </cell>
          <cell r="B1249" t="str">
            <v>416595005 INGRESOS SANCIÓN INCUMPLIMIENTO VARIOS</v>
          </cell>
          <cell r="C1249">
            <v>-3417950</v>
          </cell>
        </row>
        <row r="1250">
          <cell r="A1250" t="str">
            <v>416595007</v>
          </cell>
          <cell r="B1250" t="str">
            <v>416595007 INGRESOS POR BOLETÍN</v>
          </cell>
          <cell r="C1250">
            <v>-131732900</v>
          </cell>
        </row>
        <row r="1251">
          <cell r="A1251" t="str">
            <v>416595009</v>
          </cell>
          <cell r="B1251" t="str">
            <v>416595009 INGRESOS RECUPERAC.DE GTOS DE INCAP.</v>
          </cell>
          <cell r="C1251">
            <v>-3237110</v>
          </cell>
        </row>
        <row r="1252">
          <cell r="A1252" t="str">
            <v>416595010</v>
          </cell>
          <cell r="B1252" t="str">
            <v>416595010 INGRESOS POR EVENTOS ASOCIADOS</v>
          </cell>
          <cell r="C1252">
            <v>-528380985</v>
          </cell>
        </row>
        <row r="1253">
          <cell r="A1253" t="str">
            <v>416595011</v>
          </cell>
          <cell r="B1253" t="str">
            <v>416595011 INGRESOS SANCIÓN DEPORTIVA              "</v>
          </cell>
          <cell r="C1253">
            <v>-454500</v>
          </cell>
        </row>
        <row r="1254">
          <cell r="A1254" t="str">
            <v>416595012</v>
          </cell>
          <cell r="B1254" t="str">
            <v>416595012 INGRESOS POR LIST,DISKETTE Y OTROS</v>
          </cell>
          <cell r="C1254">
            <v>-313539051</v>
          </cell>
        </row>
        <row r="1255">
          <cell r="A1255" t="str">
            <v>416595013</v>
          </cell>
          <cell r="B1255" t="str">
            <v>416595013 INGRESOS POR OTRAS PUBLICIDADES</v>
          </cell>
          <cell r="C1255">
            <v>-13765000</v>
          </cell>
        </row>
        <row r="1256">
          <cell r="A1256" t="str">
            <v>416595014</v>
          </cell>
          <cell r="B1256" t="str">
            <v>416595014 INGRESOS POR REMESAS</v>
          </cell>
          <cell r="C1256">
            <v>-324041722</v>
          </cell>
        </row>
        <row r="1257">
          <cell r="A1257" t="str">
            <v>416595015</v>
          </cell>
          <cell r="B1257" t="str">
            <v>416595015 INGRESOS POR PLANES PROMOCIONALES</v>
          </cell>
          <cell r="C1257">
            <v>-317430899</v>
          </cell>
        </row>
        <row r="1258">
          <cell r="A1258" t="str">
            <v>416595016</v>
          </cell>
          <cell r="B1258" t="str">
            <v>416595016 INGRESOS POR PROYECTOS COMERCIALES</v>
          </cell>
          <cell r="C1258">
            <v>-19220000</v>
          </cell>
        </row>
        <row r="1259">
          <cell r="A1259" t="str">
            <v>416595017</v>
          </cell>
          <cell r="B1259" t="str">
            <v>416595017 OTROS APROVECHAMIENTOS AYC</v>
          </cell>
          <cell r="C1259">
            <v>-40161657</v>
          </cell>
        </row>
        <row r="1260">
          <cell r="A1260" t="str">
            <v>416595018</v>
          </cell>
          <cell r="B1260" t="str">
            <v>416595018 OTROS APROVECHAMIENTOS</v>
          </cell>
          <cell r="C1260">
            <v>-79419826</v>
          </cell>
        </row>
        <row r="1261">
          <cell r="A1261" t="str">
            <v>416595020</v>
          </cell>
          <cell r="B1261" t="str">
            <v>416595020 INGRESOS CURSOS Y OTROS A ASOCIADOS</v>
          </cell>
          <cell r="C1261">
            <v>-68977665</v>
          </cell>
        </row>
        <row r="1262">
          <cell r="A1262" t="str">
            <v>416595021</v>
          </cell>
          <cell r="B1262" t="str">
            <v>416595021 OTROS</v>
          </cell>
          <cell r="C1262">
            <v>-9353813</v>
          </cell>
        </row>
        <row r="1263">
          <cell r="A1263" t="str">
            <v>416595025</v>
          </cell>
          <cell r="B1263" t="str">
            <v>416595025 INGRESOS ACTIVIDADES FRANQUICIAS</v>
          </cell>
          <cell r="C1263">
            <v>-12250000</v>
          </cell>
        </row>
        <row r="1264">
          <cell r="A1264" t="str">
            <v/>
          </cell>
          <cell r="B1264" t="str">
            <v>Total Actividades conexas</v>
          </cell>
          <cell r="C1264">
            <v>-2051572242</v>
          </cell>
        </row>
        <row r="1265">
          <cell r="A1265" t="str">
            <v/>
          </cell>
          <cell r="B1265" t="str">
            <v>Total 4165 Servicios sociales y de salud</v>
          </cell>
          <cell r="C1265">
            <v>-2392622213</v>
          </cell>
        </row>
        <row r="1266">
          <cell r="A1266" t="str">
            <v/>
          </cell>
          <cell r="B1266" t="str">
            <v>4175. Dev.rebajas y descuentos en ventas(Db)</v>
          </cell>
          <cell r="C1266">
            <v>0</v>
          </cell>
        </row>
        <row r="1267">
          <cell r="A1267" t="str">
            <v/>
          </cell>
          <cell r="B1267" t="str">
            <v>417505. Devoluciones(Db)</v>
          </cell>
          <cell r="C1267">
            <v>0</v>
          </cell>
        </row>
        <row r="1268">
          <cell r="A1268" t="str">
            <v>417505001</v>
          </cell>
          <cell r="B1268" t="str">
            <v>417505001 DEVOL.EN VENTAS MERCANCÍA  EXCLUID  ETICOS ASOCIAD</v>
          </cell>
          <cell r="C1268">
            <v>4140736816</v>
          </cell>
        </row>
        <row r="1269">
          <cell r="A1269" t="str">
            <v>417505002</v>
          </cell>
          <cell r="B1269" t="str">
            <v>417505002 DEVOL.EN VENTAS MERCANCÍA  EXCL POPULARES ASOCIA</v>
          </cell>
          <cell r="C1269">
            <v>391503845</v>
          </cell>
        </row>
        <row r="1270">
          <cell r="A1270" t="str">
            <v>417505004</v>
          </cell>
          <cell r="B1270" t="str">
            <v>417505004 DEVOL EN VENTAS MERCANCÍA  GRAVADA ETICOS ASOCIADO</v>
          </cell>
          <cell r="C1270">
            <v>63696402</v>
          </cell>
        </row>
        <row r="1271">
          <cell r="A1271" t="str">
            <v>417505005</v>
          </cell>
          <cell r="B1271" t="str">
            <v>417505005 DEVOL EN VENTAS MERCANCÍA  GRAVADAS POPULARES ASOC</v>
          </cell>
          <cell r="C1271">
            <v>612265518</v>
          </cell>
        </row>
        <row r="1272">
          <cell r="A1272" t="str">
            <v>417505006</v>
          </cell>
          <cell r="B1272" t="str">
            <v>417505006 DEVOL EN VENTAS MERCANCÍA  GRAVADAS  CONVENIOS ASO</v>
          </cell>
          <cell r="C1272">
            <v>508090</v>
          </cell>
        </row>
        <row r="1273">
          <cell r="A1273" t="str">
            <v>417505031</v>
          </cell>
          <cell r="B1273" t="str">
            <v>417505031 DEVOL EN VENTAS MERCANCÍA  EXCLUID  ETICOS TERCERO</v>
          </cell>
          <cell r="C1273">
            <v>2830208</v>
          </cell>
        </row>
        <row r="1274">
          <cell r="A1274" t="str">
            <v>417505032</v>
          </cell>
          <cell r="B1274" t="str">
            <v>417505032 DEVOL EN VENTAS MERCANCÍA  EXCL  POPULARES TERCER</v>
          </cell>
          <cell r="C1274">
            <v>583465</v>
          </cell>
        </row>
        <row r="1275">
          <cell r="A1275" t="str">
            <v>417505034</v>
          </cell>
          <cell r="B1275" t="str">
            <v>417505034 DEVOL EN VENTAS MERCANCÍA  GRAVADA ETICOS TERCEROS</v>
          </cell>
          <cell r="C1275">
            <v>9950</v>
          </cell>
        </row>
        <row r="1276">
          <cell r="A1276" t="str">
            <v>417505035</v>
          </cell>
          <cell r="B1276" t="str">
            <v>417505035 DEVOL EN VENTAS MERCANCÍA  GRAVADA POPULARES TERCE</v>
          </cell>
          <cell r="C1276">
            <v>1775881</v>
          </cell>
        </row>
        <row r="1277">
          <cell r="A1277" t="str">
            <v/>
          </cell>
          <cell r="B1277" t="str">
            <v>Total Devoluciones(Db)</v>
          </cell>
          <cell r="C1277">
            <v>5213910175</v>
          </cell>
        </row>
        <row r="1278">
          <cell r="A1278" t="str">
            <v/>
          </cell>
          <cell r="B1278" t="str">
            <v>417510. Descuentos (Db)</v>
          </cell>
          <cell r="C1278">
            <v>0</v>
          </cell>
        </row>
        <row r="1279">
          <cell r="A1279" t="str">
            <v>417510000</v>
          </cell>
          <cell r="B1279" t="str">
            <v>417510000 DTOS POR ALTO COSTO</v>
          </cell>
          <cell r="C1279">
            <v>1388686240</v>
          </cell>
        </row>
        <row r="1280">
          <cell r="A1280" t="str">
            <v>417510001</v>
          </cell>
          <cell r="B1280" t="str">
            <v>417510001 DTOS POR BONOS</v>
          </cell>
          <cell r="C1280">
            <v>488945107</v>
          </cell>
        </row>
        <row r="1281">
          <cell r="A1281" t="str">
            <v>417510002</v>
          </cell>
          <cell r="B1281" t="str">
            <v>417510002 DTOS POR TELEFERIA</v>
          </cell>
          <cell r="C1281">
            <v>1443386714</v>
          </cell>
        </row>
        <row r="1282">
          <cell r="A1282" t="str">
            <v>417510006</v>
          </cell>
          <cell r="B1282" t="str">
            <v>417510006 DESCUENTO ADICIONAL POR VOL.EN VENTAS A ASOCIADOS</v>
          </cell>
          <cell r="C1282">
            <v>4890386000</v>
          </cell>
        </row>
        <row r="1283">
          <cell r="A1283" t="str">
            <v>417510007</v>
          </cell>
          <cell r="B1283" t="str">
            <v>417510007 DESCUENTO PLAN FIDELIDAD ASOCIADOS</v>
          </cell>
          <cell r="C1283">
            <v>279537696</v>
          </cell>
        </row>
        <row r="1284">
          <cell r="A1284" t="str">
            <v>417510008</v>
          </cell>
          <cell r="B1284" t="str">
            <v>417510008 OTROS DESCUENTOS A ASOCIADOS</v>
          </cell>
          <cell r="C1284">
            <v>440781595</v>
          </cell>
        </row>
        <row r="1285">
          <cell r="A1285" t="str">
            <v>417510009</v>
          </cell>
          <cell r="B1285" t="str">
            <v>417510009 DTOS POR PLAN ANOTATE</v>
          </cell>
          <cell r="C1285">
            <v>18358204</v>
          </cell>
        </row>
        <row r="1286">
          <cell r="A1286" t="str">
            <v>417510011</v>
          </cell>
          <cell r="B1286" t="str">
            <v>417510011 DTO ESPECIAL EN ANTICIPOS PARA PAGO DE FACT.BTA</v>
          </cell>
          <cell r="C1286">
            <v>587055</v>
          </cell>
        </row>
        <row r="1287">
          <cell r="A1287" t="str">
            <v>417510012</v>
          </cell>
          <cell r="B1287" t="str">
            <v>417510012 DTO ESPECIAL EN ANTICIPOS PARA PAGO DE FACT.PER</v>
          </cell>
          <cell r="C1287">
            <v>39824</v>
          </cell>
        </row>
        <row r="1288">
          <cell r="A1288" t="str">
            <v>417510013</v>
          </cell>
          <cell r="B1288" t="str">
            <v>417510013 DTO ESPECIAL EN ANTICIPOS PARA PAGO DE FACT.B/QUIL</v>
          </cell>
          <cell r="C1288">
            <v>104082</v>
          </cell>
        </row>
        <row r="1289">
          <cell r="A1289" t="str">
            <v>417510021</v>
          </cell>
          <cell r="B1289" t="str">
            <v>417510021 DTOS CONCEDIDOS POR PRONTO PAGO GRAVADOS</v>
          </cell>
          <cell r="C1289">
            <v>2609403999</v>
          </cell>
        </row>
        <row r="1290">
          <cell r="A1290" t="str">
            <v>417510022</v>
          </cell>
          <cell r="B1290" t="str">
            <v>417510022 DTOS CONCEDIDOS POR PRONTO PAGO EXENTOSS</v>
          </cell>
          <cell r="C1290">
            <v>38873753952</v>
          </cell>
        </row>
        <row r="1291">
          <cell r="A1291" t="str">
            <v>417510050</v>
          </cell>
          <cell r="B1291" t="str">
            <v>417510050 DIFERENCIAS EN PAGOS POR DTOS PERDIDOS</v>
          </cell>
          <cell r="C1291">
            <v>-9806734</v>
          </cell>
        </row>
        <row r="1292">
          <cell r="A1292" t="str">
            <v/>
          </cell>
          <cell r="B1292" t="str">
            <v>Total Descuentos</v>
          </cell>
          <cell r="C1292">
            <v>50424163734</v>
          </cell>
        </row>
        <row r="1293">
          <cell r="A1293" t="str">
            <v/>
          </cell>
          <cell r="B1293" t="str">
            <v>Total 4175 Dev.rebajas y destos en ventas(Db)</v>
          </cell>
          <cell r="C1293">
            <v>55638073909</v>
          </cell>
        </row>
        <row r="1294">
          <cell r="A1294" t="str">
            <v/>
          </cell>
          <cell r="B1294" t="str">
            <v>4180. Recuperaciones</v>
          </cell>
          <cell r="C1294">
            <v>0</v>
          </cell>
        </row>
        <row r="1295">
          <cell r="A1295" t="str">
            <v/>
          </cell>
          <cell r="B1295" t="str">
            <v>418015. Provision de Cartera de credito</v>
          </cell>
          <cell r="C1295">
            <v>0</v>
          </cell>
        </row>
        <row r="1296">
          <cell r="A1296" t="str">
            <v>418015001</v>
          </cell>
          <cell r="B1296" t="str">
            <v>418015001 INGRESOS REINTEGRO DE PROVISIONES AYC</v>
          </cell>
          <cell r="C1296">
            <v>0</v>
          </cell>
        </row>
        <row r="1297">
          <cell r="A1297" t="str">
            <v/>
          </cell>
          <cell r="B1297" t="str">
            <v>Total Provision de Cartera de credito</v>
          </cell>
          <cell r="C1297">
            <v>0</v>
          </cell>
        </row>
        <row r="1298">
          <cell r="A1298" t="str">
            <v/>
          </cell>
          <cell r="B1298" t="str">
            <v>418016. Provision de Cartera de Credito</v>
          </cell>
          <cell r="C1298">
            <v>0</v>
          </cell>
        </row>
        <row r="1299">
          <cell r="A1299" t="str">
            <v>418016001</v>
          </cell>
          <cell r="B1299" t="str">
            <v>418016001 INGRESOS REINTEGRO CARTERA DE CREDITO AYC</v>
          </cell>
          <cell r="C1299">
            <v>-61108903</v>
          </cell>
        </row>
        <row r="1300">
          <cell r="A1300" t="str">
            <v/>
          </cell>
          <cell r="B1300" t="str">
            <v>Total. Provision de Cartera de Credito</v>
          </cell>
          <cell r="C1300">
            <v>-61108903</v>
          </cell>
        </row>
        <row r="1301">
          <cell r="A1301" t="str">
            <v/>
          </cell>
          <cell r="B1301" t="str">
            <v>418020. Provision cartera por venta de bienes</v>
          </cell>
          <cell r="C1301">
            <v>0</v>
          </cell>
        </row>
        <row r="1302">
          <cell r="A1302" t="str">
            <v>418020001</v>
          </cell>
          <cell r="B1302" t="str">
            <v>418020001 INGRESOS RECUPERACIÓN DE CARTERA VENTA DE BIENES</v>
          </cell>
          <cell r="C1302">
            <v>-4240784</v>
          </cell>
        </row>
        <row r="1303">
          <cell r="A1303" t="str">
            <v/>
          </cell>
          <cell r="B1303" t="str">
            <v>Total Provision cartera por venta de bienes</v>
          </cell>
          <cell r="C1303">
            <v>-4240784</v>
          </cell>
        </row>
        <row r="1304">
          <cell r="A1304" t="str">
            <v/>
          </cell>
          <cell r="B1304" t="str">
            <v>418095. Otras Recuperaciones</v>
          </cell>
          <cell r="C1304">
            <v>0</v>
          </cell>
        </row>
        <row r="1305">
          <cell r="A1305" t="str">
            <v>418095001</v>
          </cell>
          <cell r="B1305" t="str">
            <v>418095001 INGRESOS POR TELÉFONO MONEDERO</v>
          </cell>
          <cell r="C1305">
            <v>-82430</v>
          </cell>
        </row>
        <row r="1306">
          <cell r="A1306" t="str">
            <v>418095003</v>
          </cell>
          <cell r="B1306" t="str">
            <v>418095003 INGRESOS COB.POR ROT.DE MCIA A TRASPT.</v>
          </cell>
          <cell r="C1306">
            <v>-31034474</v>
          </cell>
        </row>
        <row r="1307">
          <cell r="A1307" t="str">
            <v/>
          </cell>
          <cell r="B1307" t="str">
            <v>Total Otras Recuperaciones</v>
          </cell>
          <cell r="C1307">
            <v>-31116904</v>
          </cell>
        </row>
        <row r="1308">
          <cell r="A1308" t="str">
            <v/>
          </cell>
          <cell r="B1308" t="str">
            <v>Total 4180 Recuperaciones</v>
          </cell>
          <cell r="C1308">
            <v>-96466591</v>
          </cell>
        </row>
        <row r="1309">
          <cell r="A1309" t="str">
            <v/>
          </cell>
          <cell r="B1309" t="str">
            <v>Total 41. Operacionales</v>
          </cell>
          <cell r="C1309">
            <v>-407989738051</v>
          </cell>
        </row>
        <row r="1310">
          <cell r="A1310" t="str">
            <v/>
          </cell>
          <cell r="B1310" t="str">
            <v>42. No operacionales</v>
          </cell>
          <cell r="C1310">
            <v>0</v>
          </cell>
        </row>
        <row r="1311">
          <cell r="A1311" t="str">
            <v/>
          </cell>
          <cell r="B1311" t="str">
            <v>4210. Financieros</v>
          </cell>
          <cell r="C1311">
            <v>0</v>
          </cell>
        </row>
        <row r="1312">
          <cell r="A1312" t="str">
            <v/>
          </cell>
          <cell r="B1312" t="str">
            <v>421005. Intereses varios</v>
          </cell>
          <cell r="C1312">
            <v>0</v>
          </cell>
        </row>
        <row r="1313">
          <cell r="A1313" t="str">
            <v>421005001</v>
          </cell>
          <cell r="B1313" t="str">
            <v>421005001 INTERESES NO OPERACIONALES</v>
          </cell>
          <cell r="C1313">
            <v>-679000</v>
          </cell>
        </row>
        <row r="1314">
          <cell r="A1314" t="str">
            <v/>
          </cell>
          <cell r="B1314" t="str">
            <v>Total Intereses varios</v>
          </cell>
          <cell r="C1314">
            <v>-679000</v>
          </cell>
        </row>
        <row r="1315">
          <cell r="A1315" t="str">
            <v/>
          </cell>
          <cell r="B1315" t="str">
            <v>421098. Otros</v>
          </cell>
          <cell r="C1315">
            <v>0</v>
          </cell>
        </row>
        <row r="1316">
          <cell r="A1316" t="str">
            <v>421098000</v>
          </cell>
          <cell r="B1316" t="str">
            <v>421098000 RENDIMIENTOS BANCARIOS</v>
          </cell>
          <cell r="C1316">
            <v>-107054831</v>
          </cell>
        </row>
        <row r="1317">
          <cell r="A1317" t="str">
            <v/>
          </cell>
          <cell r="B1317" t="str">
            <v>Total Otros</v>
          </cell>
          <cell r="C1317">
            <v>-107054831</v>
          </cell>
        </row>
        <row r="1318">
          <cell r="A1318" t="str">
            <v/>
          </cell>
          <cell r="B1318" t="str">
            <v>Total 4210 Financieros</v>
          </cell>
          <cell r="C1318">
            <v>-107733831</v>
          </cell>
        </row>
        <row r="1319">
          <cell r="A1319" t="str">
            <v/>
          </cell>
          <cell r="B1319" t="str">
            <v>4245. Util.en ventas de propiedad planta y eq</v>
          </cell>
          <cell r="C1319">
            <v>0</v>
          </cell>
        </row>
        <row r="1320">
          <cell r="A1320" t="str">
            <v/>
          </cell>
          <cell r="B1320" t="str">
            <v>424524. Muebles y equipo de oficina</v>
          </cell>
          <cell r="C1320">
            <v>0</v>
          </cell>
        </row>
        <row r="1321">
          <cell r="A1321" t="str">
            <v>424524001</v>
          </cell>
          <cell r="B1321" t="str">
            <v>424524001 UTILIDAD EN VENTA DE EQUIPOS DE OFICINA</v>
          </cell>
          <cell r="C1321">
            <v>-42247967</v>
          </cell>
        </row>
        <row r="1322">
          <cell r="A1322" t="str">
            <v/>
          </cell>
          <cell r="B1322" t="str">
            <v>Total Muebles y equipo de oficina</v>
          </cell>
          <cell r="C1322">
            <v>-42247967</v>
          </cell>
        </row>
        <row r="1323">
          <cell r="A1323" t="str">
            <v/>
          </cell>
          <cell r="B1323" t="str">
            <v>424532. Vehiculos</v>
          </cell>
          <cell r="C1323">
            <v>0</v>
          </cell>
        </row>
        <row r="1324">
          <cell r="A1324" t="str">
            <v>424532001</v>
          </cell>
          <cell r="B1324" t="str">
            <v>424532001 UTILIDAD EN VENTA DE VEHICULOS</v>
          </cell>
          <cell r="C1324">
            <v>-16500000</v>
          </cell>
        </row>
        <row r="1325">
          <cell r="A1325" t="str">
            <v/>
          </cell>
          <cell r="B1325" t="str">
            <v>Total Vehiculos</v>
          </cell>
          <cell r="C1325">
            <v>-16500000</v>
          </cell>
        </row>
        <row r="1326">
          <cell r="A1326" t="str">
            <v/>
          </cell>
          <cell r="B1326" t="str">
            <v>Total 4242 Util.en ventas de prop planta y eq</v>
          </cell>
          <cell r="C1326">
            <v>-58747967</v>
          </cell>
        </row>
        <row r="1327">
          <cell r="A1327" t="str">
            <v/>
          </cell>
          <cell r="B1327" t="str">
            <v>4250. Recuperaciones</v>
          </cell>
          <cell r="C1327">
            <v>0</v>
          </cell>
        </row>
        <row r="1328">
          <cell r="A1328" t="str">
            <v/>
          </cell>
          <cell r="B1328" t="str">
            <v>425030. Descuentos Concedidos</v>
          </cell>
          <cell r="C1328">
            <v>0</v>
          </cell>
        </row>
        <row r="1329">
          <cell r="A1329" t="str">
            <v>425030001</v>
          </cell>
          <cell r="B1329" t="str">
            <v>425030001 DESCUENTOS FINANCIEROS EN COMPRAS ADMINISTRATIVAS</v>
          </cell>
          <cell r="C1329">
            <v>-28624547</v>
          </cell>
        </row>
        <row r="1330">
          <cell r="A1330" t="str">
            <v/>
          </cell>
          <cell r="B1330" t="str">
            <v>Total Descuentos Concedidos</v>
          </cell>
          <cell r="C1330">
            <v>-28624547</v>
          </cell>
        </row>
        <row r="1331">
          <cell r="A1331" t="str">
            <v/>
          </cell>
          <cell r="B1331" t="str">
            <v>425036. Reintegro Provisiones de cartera</v>
          </cell>
          <cell r="C1331">
            <v>0</v>
          </cell>
        </row>
        <row r="1332">
          <cell r="A1332" t="str">
            <v>425036001</v>
          </cell>
          <cell r="B1332" t="str">
            <v>425036001 RECUPERACION DE CARTER5A GENERAL AYC</v>
          </cell>
          <cell r="C1332">
            <v>-2694857</v>
          </cell>
        </row>
        <row r="1333">
          <cell r="A1333" t="str">
            <v/>
          </cell>
          <cell r="B1333" t="str">
            <v>Total  Reintegro Provisiones de cartera</v>
          </cell>
          <cell r="C1333">
            <v>-2694857</v>
          </cell>
        </row>
        <row r="1334">
          <cell r="A1334" t="str">
            <v/>
          </cell>
          <cell r="B1334" t="str">
            <v>425037. Reintegro Provision cuentas por Cobr.</v>
          </cell>
          <cell r="C1334">
            <v>0</v>
          </cell>
        </row>
        <row r="1335">
          <cell r="A1335" t="str">
            <v>425037001</v>
          </cell>
          <cell r="B1335" t="str">
            <v>425037001 RECUPERACION DE CUENTAS POR COBRAR AYC</v>
          </cell>
          <cell r="C1335">
            <v>-9976070</v>
          </cell>
        </row>
        <row r="1336">
          <cell r="A1336" t="str">
            <v/>
          </cell>
          <cell r="B1336" t="str">
            <v>Total Reintegro Provision cuentas por Cobr.</v>
          </cell>
          <cell r="C1336">
            <v>-9976070</v>
          </cell>
        </row>
        <row r="1337">
          <cell r="A1337" t="str">
            <v/>
          </cell>
          <cell r="B1337" t="str">
            <v>425050. Reintegro de otros Costos y Gastos</v>
          </cell>
          <cell r="C1337">
            <v>0</v>
          </cell>
        </row>
        <row r="1338">
          <cell r="A1338" t="str">
            <v>425050001</v>
          </cell>
          <cell r="B1338" t="str">
            <v>425050001 RECUPERACION DE OTROS COSTOS Y GASTOS</v>
          </cell>
          <cell r="C1338">
            <v>-644727243</v>
          </cell>
        </row>
        <row r="1339">
          <cell r="A1339" t="str">
            <v/>
          </cell>
          <cell r="B1339" t="str">
            <v>Total  Reintegro de otros Costos y Gastos</v>
          </cell>
          <cell r="C1339">
            <v>-644727243</v>
          </cell>
        </row>
        <row r="1340">
          <cell r="A1340" t="str">
            <v/>
          </cell>
          <cell r="B1340" t="str">
            <v>Total 4250. Recuperaciones</v>
          </cell>
          <cell r="C1340">
            <v>-686022717</v>
          </cell>
        </row>
        <row r="1341">
          <cell r="A1341" t="str">
            <v/>
          </cell>
          <cell r="B1341" t="str">
            <v>4295. Diversos</v>
          </cell>
          <cell r="C1341">
            <v>0</v>
          </cell>
        </row>
        <row r="1342">
          <cell r="A1342" t="str">
            <v/>
          </cell>
          <cell r="B1342" t="str">
            <v>Total  Ajuste al peso</v>
          </cell>
          <cell r="C1342">
            <v>0</v>
          </cell>
        </row>
        <row r="1343">
          <cell r="A1343" t="str">
            <v>429581001</v>
          </cell>
          <cell r="B1343" t="str">
            <v>429581001 AJUSTE AL PESO IMPUESTO AYC</v>
          </cell>
          <cell r="C1343">
            <v>-4968</v>
          </cell>
        </row>
        <row r="1344">
          <cell r="A1344" t="str">
            <v/>
          </cell>
          <cell r="B1344" t="str">
            <v>Total  Ajuste al peso</v>
          </cell>
          <cell r="C1344">
            <v>-4968</v>
          </cell>
        </row>
        <row r="1345">
          <cell r="A1345" t="str">
            <v/>
          </cell>
          <cell r="B1345" t="str">
            <v>Total Diversos</v>
          </cell>
          <cell r="C1345">
            <v>0</v>
          </cell>
        </row>
        <row r="1346">
          <cell r="A1346" t="str">
            <v>429585001</v>
          </cell>
          <cell r="B1346" t="str">
            <v>429585001 OTROS INGRESOS IMPUESTOS</v>
          </cell>
          <cell r="C1346">
            <v>-144106</v>
          </cell>
        </row>
        <row r="1347">
          <cell r="A1347" t="str">
            <v/>
          </cell>
          <cell r="B1347" t="str">
            <v>Total Diversos</v>
          </cell>
          <cell r="C1347">
            <v>-144106</v>
          </cell>
        </row>
        <row r="1348">
          <cell r="A1348" t="str">
            <v/>
          </cell>
          <cell r="B1348" t="str">
            <v>Total 4295. Diversos</v>
          </cell>
          <cell r="C1348">
            <v>-149074</v>
          </cell>
        </row>
        <row r="1349">
          <cell r="A1349" t="str">
            <v/>
          </cell>
          <cell r="B1349" t="str">
            <v>Total 42. No operacionales</v>
          </cell>
          <cell r="C1349">
            <v>-852653589</v>
          </cell>
        </row>
        <row r="1350">
          <cell r="A1350" t="str">
            <v/>
          </cell>
          <cell r="B1350" t="str">
            <v>Total  4 Ingresos</v>
          </cell>
          <cell r="C1350">
            <v>-408842391640</v>
          </cell>
        </row>
        <row r="1351">
          <cell r="A1351" t="str">
            <v/>
          </cell>
          <cell r="B1351" t="str">
            <v>5. Gastos</v>
          </cell>
          <cell r="C1351">
            <v>0</v>
          </cell>
        </row>
        <row r="1352">
          <cell r="A1352" t="str">
            <v/>
          </cell>
          <cell r="B1352" t="str">
            <v>51. Gastos de administracion</v>
          </cell>
          <cell r="C1352">
            <v>0</v>
          </cell>
        </row>
        <row r="1353">
          <cell r="A1353" t="str">
            <v/>
          </cell>
          <cell r="B1353" t="str">
            <v>5105. Gastos de Personal</v>
          </cell>
          <cell r="C1353">
            <v>0</v>
          </cell>
        </row>
        <row r="1354">
          <cell r="A1354" t="str">
            <v/>
          </cell>
          <cell r="B1354" t="str">
            <v>510503. Salario integral</v>
          </cell>
          <cell r="C1354">
            <v>0</v>
          </cell>
        </row>
        <row r="1355">
          <cell r="A1355" t="str">
            <v>510503000</v>
          </cell>
          <cell r="B1355" t="str">
            <v>510503000 ADMÓN - SALARIO INTEGRAL</v>
          </cell>
          <cell r="C1355">
            <v>390291034</v>
          </cell>
        </row>
        <row r="1356">
          <cell r="A1356" t="str">
            <v/>
          </cell>
          <cell r="B1356" t="str">
            <v>Total Salario  integral</v>
          </cell>
          <cell r="C1356">
            <v>390291034</v>
          </cell>
        </row>
        <row r="1357">
          <cell r="A1357" t="str">
            <v/>
          </cell>
          <cell r="B1357" t="str">
            <v>510506. Sueldos</v>
          </cell>
          <cell r="C1357">
            <v>0</v>
          </cell>
        </row>
        <row r="1358">
          <cell r="A1358" t="str">
            <v>510506000</v>
          </cell>
          <cell r="B1358" t="str">
            <v>510506000 ADMÓN. - SUELDOS</v>
          </cell>
          <cell r="C1358">
            <v>2524666222</v>
          </cell>
        </row>
        <row r="1359">
          <cell r="A1359" t="str">
            <v>510506001</v>
          </cell>
          <cell r="B1359" t="str">
            <v>510506001 ADMÓN. - SUELDOS AYC</v>
          </cell>
          <cell r="C1359">
            <v>69404684</v>
          </cell>
        </row>
        <row r="1360">
          <cell r="A1360" t="str">
            <v/>
          </cell>
          <cell r="B1360" t="str">
            <v>Total Sueldos</v>
          </cell>
          <cell r="C1360">
            <v>2594070906</v>
          </cell>
        </row>
        <row r="1361">
          <cell r="A1361" t="str">
            <v/>
          </cell>
          <cell r="B1361" t="str">
            <v>510515. Horas extras y Recargos</v>
          </cell>
          <cell r="C1361">
            <v>0</v>
          </cell>
        </row>
        <row r="1362">
          <cell r="A1362" t="str">
            <v>510515000</v>
          </cell>
          <cell r="B1362" t="str">
            <v>510515000 ADMÓN - HORAS EXTRAS Y RECARGOS</v>
          </cell>
          <cell r="C1362">
            <v>217858490</v>
          </cell>
        </row>
        <row r="1363">
          <cell r="A1363" t="str">
            <v>510515001</v>
          </cell>
          <cell r="B1363" t="str">
            <v>510515001 ADMÓN - HORAS EXTRAS Y RECARGOS AYC</v>
          </cell>
          <cell r="C1363">
            <v>1279230</v>
          </cell>
        </row>
        <row r="1364">
          <cell r="A1364" t="str">
            <v/>
          </cell>
          <cell r="B1364" t="str">
            <v>Total Horas extras y Recargos</v>
          </cell>
          <cell r="C1364">
            <v>219137720</v>
          </cell>
        </row>
        <row r="1365">
          <cell r="A1365" t="str">
            <v/>
          </cell>
          <cell r="B1365" t="str">
            <v>510518. Comisiones</v>
          </cell>
          <cell r="C1365">
            <v>0</v>
          </cell>
        </row>
        <row r="1366">
          <cell r="A1366" t="str">
            <v>510518000</v>
          </cell>
          <cell r="B1366" t="str">
            <v>510518000 ADMÓN - COMISIONES</v>
          </cell>
          <cell r="C1366">
            <v>1973004</v>
          </cell>
        </row>
        <row r="1367">
          <cell r="A1367" t="str">
            <v/>
          </cell>
          <cell r="B1367" t="str">
            <v>Total Comisiones</v>
          </cell>
          <cell r="C1367">
            <v>1973004</v>
          </cell>
        </row>
        <row r="1368">
          <cell r="A1368" t="str">
            <v/>
          </cell>
          <cell r="B1368" t="str">
            <v>510524. Incapacidades</v>
          </cell>
          <cell r="C1368">
            <v>0</v>
          </cell>
        </row>
        <row r="1369">
          <cell r="A1369" t="str">
            <v>510524000</v>
          </cell>
          <cell r="B1369" t="str">
            <v>510524000 ADMON - INCAPACIDADES</v>
          </cell>
          <cell r="C1369">
            <v>17368164</v>
          </cell>
        </row>
        <row r="1370">
          <cell r="A1370" t="str">
            <v/>
          </cell>
          <cell r="B1370" t="str">
            <v>Total Incapacidades</v>
          </cell>
          <cell r="C1370">
            <v>17368164</v>
          </cell>
        </row>
        <row r="1371">
          <cell r="A1371" t="str">
            <v/>
          </cell>
          <cell r="B1371" t="str">
            <v>510527. Auxilio de Trasporte</v>
          </cell>
          <cell r="C1371">
            <v>0</v>
          </cell>
        </row>
        <row r="1372">
          <cell r="A1372" t="str">
            <v>510527000</v>
          </cell>
          <cell r="B1372" t="str">
            <v>510527000 ADMON - AUXILIO DE TRANSPORTE</v>
          </cell>
          <cell r="C1372">
            <v>100837674</v>
          </cell>
        </row>
        <row r="1373">
          <cell r="A1373" t="str">
            <v>510527001</v>
          </cell>
          <cell r="B1373" t="str">
            <v>510527001 ADMON - AUXILIO DE TRANSPORTE AYC</v>
          </cell>
          <cell r="C1373">
            <v>1537530</v>
          </cell>
        </row>
        <row r="1374">
          <cell r="A1374" t="str">
            <v/>
          </cell>
          <cell r="B1374" t="str">
            <v>Total Auxilio de Trasporte</v>
          </cell>
          <cell r="C1374">
            <v>102375204</v>
          </cell>
        </row>
        <row r="1375">
          <cell r="A1375" t="str">
            <v/>
          </cell>
          <cell r="B1375" t="str">
            <v>510530. Cesantias</v>
          </cell>
          <cell r="C1375">
            <v>0</v>
          </cell>
        </row>
        <row r="1376">
          <cell r="A1376" t="str">
            <v>510530000</v>
          </cell>
          <cell r="B1376" t="str">
            <v>510530000 ADMON - CESANTIAS</v>
          </cell>
          <cell r="C1376">
            <v>263813038</v>
          </cell>
        </row>
        <row r="1377">
          <cell r="A1377" t="str">
            <v>510530001</v>
          </cell>
          <cell r="B1377" t="str">
            <v>510530001 ADMON - CESANTIAS AYC</v>
          </cell>
          <cell r="C1377">
            <v>6669437</v>
          </cell>
        </row>
        <row r="1378">
          <cell r="A1378" t="str">
            <v/>
          </cell>
          <cell r="B1378" t="str">
            <v>Total Cesantias</v>
          </cell>
          <cell r="C1378">
            <v>270482475</v>
          </cell>
        </row>
        <row r="1379">
          <cell r="A1379" t="str">
            <v/>
          </cell>
          <cell r="B1379" t="str">
            <v>510533. Intereses sobre cesantias</v>
          </cell>
          <cell r="C1379">
            <v>0</v>
          </cell>
        </row>
        <row r="1380">
          <cell r="A1380" t="str">
            <v>510533000</v>
          </cell>
          <cell r="B1380" t="str">
            <v>510533000 ADMON - INT. SOB CESANTÍAS</v>
          </cell>
          <cell r="C1380">
            <v>19313631</v>
          </cell>
        </row>
        <row r="1381">
          <cell r="A1381" t="str">
            <v>510533001</v>
          </cell>
          <cell r="B1381" t="str">
            <v>510533001 ADMON - INT. SOB CESANTÍAS AYC</v>
          </cell>
          <cell r="C1381">
            <v>1468058</v>
          </cell>
        </row>
        <row r="1382">
          <cell r="A1382" t="str">
            <v/>
          </cell>
          <cell r="B1382" t="str">
            <v>Total Intereses sobre cesantias</v>
          </cell>
          <cell r="C1382">
            <v>20781689</v>
          </cell>
        </row>
        <row r="1383">
          <cell r="A1383" t="str">
            <v/>
          </cell>
          <cell r="B1383" t="str">
            <v>510536. Prima de Servicios</v>
          </cell>
          <cell r="C1383">
            <v>0</v>
          </cell>
        </row>
        <row r="1384">
          <cell r="A1384" t="str">
            <v>510536000</v>
          </cell>
          <cell r="B1384" t="str">
            <v>510536000 ADMON - PRIMA DE SERVICIOS</v>
          </cell>
          <cell r="C1384">
            <v>261410777</v>
          </cell>
        </row>
        <row r="1385">
          <cell r="A1385" t="str">
            <v>510536001</v>
          </cell>
          <cell r="B1385" t="str">
            <v>510536001 ADMON - PRIMA DE SERVICIOS AYC</v>
          </cell>
          <cell r="C1385">
            <v>6704531</v>
          </cell>
        </row>
        <row r="1386">
          <cell r="A1386" t="str">
            <v/>
          </cell>
          <cell r="B1386" t="str">
            <v>Total Prima de Servicios</v>
          </cell>
          <cell r="C1386">
            <v>268115308</v>
          </cell>
        </row>
        <row r="1387">
          <cell r="A1387" t="str">
            <v/>
          </cell>
          <cell r="B1387" t="str">
            <v>510539. Vacaciones</v>
          </cell>
          <cell r="C1387">
            <v>0</v>
          </cell>
        </row>
        <row r="1388">
          <cell r="A1388" t="str">
            <v>510539000</v>
          </cell>
          <cell r="B1388" t="str">
            <v>510539000 ADMON - VACACIONES</v>
          </cell>
          <cell r="C1388">
            <v>156112566</v>
          </cell>
        </row>
        <row r="1389">
          <cell r="A1389" t="str">
            <v>510539001</v>
          </cell>
          <cell r="B1389" t="str">
            <v>510539001 ADMON - VACACIONES AYC</v>
          </cell>
          <cell r="C1389">
            <v>4287755</v>
          </cell>
        </row>
        <row r="1390">
          <cell r="A1390" t="str">
            <v/>
          </cell>
          <cell r="B1390" t="str">
            <v>Total Vacaciones</v>
          </cell>
          <cell r="C1390">
            <v>160400321</v>
          </cell>
        </row>
        <row r="1391">
          <cell r="A1391" t="str">
            <v/>
          </cell>
          <cell r="B1391" t="str">
            <v>510545. Auxilios</v>
          </cell>
          <cell r="C1391">
            <v>0</v>
          </cell>
        </row>
        <row r="1392">
          <cell r="A1392" t="str">
            <v>510545000</v>
          </cell>
          <cell r="B1392" t="str">
            <v>510545000 ADMON - AUXILIO DE VACACIONES</v>
          </cell>
          <cell r="C1392">
            <v>94781509</v>
          </cell>
        </row>
        <row r="1393">
          <cell r="A1393" t="str">
            <v>510545001</v>
          </cell>
          <cell r="B1393" t="str">
            <v>510545001 ADMON - AUXILIOS AL PERSONAL AYC</v>
          </cell>
          <cell r="C1393">
            <v>2729496</v>
          </cell>
        </row>
        <row r="1394">
          <cell r="A1394" t="str">
            <v/>
          </cell>
          <cell r="B1394" t="str">
            <v>Total  Auxilios</v>
          </cell>
          <cell r="C1394">
            <v>97511005</v>
          </cell>
        </row>
        <row r="1395">
          <cell r="A1395" t="str">
            <v/>
          </cell>
          <cell r="B1395" t="str">
            <v>510548. Bonificaciones</v>
          </cell>
          <cell r="C1395">
            <v>0</v>
          </cell>
        </row>
        <row r="1396">
          <cell r="A1396" t="str">
            <v>510548000</v>
          </cell>
          <cell r="B1396" t="str">
            <v>510548000 ADMON - BONIFICACIONES</v>
          </cell>
          <cell r="C1396">
            <v>215604408</v>
          </cell>
        </row>
        <row r="1397">
          <cell r="A1397" t="str">
            <v>510548001</v>
          </cell>
          <cell r="B1397" t="str">
            <v>510548001 ADMON - BONIFICACIONES AYC</v>
          </cell>
          <cell r="C1397">
            <v>5245514</v>
          </cell>
        </row>
        <row r="1398">
          <cell r="A1398" t="str">
            <v/>
          </cell>
          <cell r="B1398" t="str">
            <v>Total Bonificaciones</v>
          </cell>
          <cell r="C1398">
            <v>220849922</v>
          </cell>
        </row>
        <row r="1399">
          <cell r="A1399" t="str">
            <v/>
          </cell>
          <cell r="B1399" t="str">
            <v>510551. Dotacion y suministro a trabajajores</v>
          </cell>
          <cell r="C1399">
            <v>0</v>
          </cell>
        </row>
        <row r="1400">
          <cell r="A1400" t="str">
            <v>510551000</v>
          </cell>
          <cell r="B1400" t="str">
            <v>510551000 ADMON - DOTACION Y SUMINISTROS A TRAB.</v>
          </cell>
          <cell r="C1400">
            <v>21783102</v>
          </cell>
        </row>
        <row r="1401">
          <cell r="A1401" t="str">
            <v>510551001</v>
          </cell>
          <cell r="B1401" t="str">
            <v>510551001 ADMON - DOTACION Y SUMINISTROS A TRAB. AYC</v>
          </cell>
          <cell r="C1401">
            <v>2542310</v>
          </cell>
        </row>
        <row r="1402">
          <cell r="A1402" t="str">
            <v>510551011</v>
          </cell>
          <cell r="B1402" t="str">
            <v>510551011 ADMON - DOTACION Y SUMINISTROS A TRAB. BODEGA</v>
          </cell>
          <cell r="C1402">
            <v>42857262</v>
          </cell>
        </row>
        <row r="1403">
          <cell r="A1403" t="str">
            <v/>
          </cell>
          <cell r="B1403" t="str">
            <v>Total Dotacion y suministro a trabajadores</v>
          </cell>
          <cell r="C1403">
            <v>67182674</v>
          </cell>
        </row>
        <row r="1404">
          <cell r="A1404" t="str">
            <v/>
          </cell>
          <cell r="B1404" t="str">
            <v>510554. Seguros</v>
          </cell>
          <cell r="C1404">
            <v>0</v>
          </cell>
        </row>
        <row r="1405">
          <cell r="A1405" t="str">
            <v>510554000</v>
          </cell>
          <cell r="B1405" t="str">
            <v>510554000 ADMON - SEGUROS</v>
          </cell>
          <cell r="C1405">
            <v>0</v>
          </cell>
        </row>
        <row r="1406">
          <cell r="A1406" t="str">
            <v/>
          </cell>
          <cell r="B1406" t="str">
            <v>Total Seguros</v>
          </cell>
          <cell r="C1406">
            <v>0</v>
          </cell>
        </row>
        <row r="1407">
          <cell r="A1407" t="str">
            <v/>
          </cell>
          <cell r="B1407" t="str">
            <v>510560. Indemnizaciones laborales</v>
          </cell>
          <cell r="C1407">
            <v>0</v>
          </cell>
        </row>
        <row r="1408">
          <cell r="A1408" t="str">
            <v>510560000</v>
          </cell>
          <cell r="B1408" t="str">
            <v>510560000 ADMON - INDEMNIZACIONES LABORALES</v>
          </cell>
          <cell r="C1408">
            <v>75254889</v>
          </cell>
        </row>
        <row r="1409">
          <cell r="A1409" t="str">
            <v/>
          </cell>
          <cell r="B1409" t="str">
            <v>Total Indemnizaciones laborales</v>
          </cell>
          <cell r="C1409">
            <v>75254889</v>
          </cell>
        </row>
        <row r="1410">
          <cell r="A1410" t="str">
            <v/>
          </cell>
          <cell r="B1410" t="str">
            <v>510563. Capacitacion al personal</v>
          </cell>
          <cell r="C1410">
            <v>0</v>
          </cell>
        </row>
        <row r="1411">
          <cell r="A1411" t="str">
            <v>510563000</v>
          </cell>
          <cell r="B1411" t="str">
            <v>510563000 ADMON - CAPACITACION AL PERSONAL</v>
          </cell>
          <cell r="C1411">
            <v>32771715</v>
          </cell>
        </row>
        <row r="1412">
          <cell r="A1412" t="str">
            <v>510563001</v>
          </cell>
          <cell r="B1412" t="str">
            <v>510563001 ADMON - CAPACITACION AL PERSONAL AYC</v>
          </cell>
          <cell r="C1412">
            <v>1100000</v>
          </cell>
        </row>
        <row r="1413">
          <cell r="A1413" t="str">
            <v/>
          </cell>
          <cell r="B1413" t="str">
            <v>Total Capacitacion al personal</v>
          </cell>
          <cell r="C1413">
            <v>33871715</v>
          </cell>
        </row>
        <row r="1414">
          <cell r="A1414" t="str">
            <v/>
          </cell>
          <cell r="B1414" t="str">
            <v>510566. Gastos deportivos y de recreacion</v>
          </cell>
          <cell r="C1414">
            <v>0</v>
          </cell>
        </row>
        <row r="1415">
          <cell r="A1415" t="str">
            <v>510566000</v>
          </cell>
          <cell r="B1415" t="str">
            <v>510566000 ADMON - GTOS DEPORTIVOS Y DE RECREACI.</v>
          </cell>
          <cell r="C1415">
            <v>10025396</v>
          </cell>
        </row>
        <row r="1416">
          <cell r="A1416" t="str">
            <v/>
          </cell>
          <cell r="B1416" t="str">
            <v>Total Gastos deportivos y de recreacion</v>
          </cell>
          <cell r="C1416">
            <v>10025396</v>
          </cell>
        </row>
        <row r="1417">
          <cell r="A1417" t="str">
            <v/>
          </cell>
          <cell r="B1417" t="str">
            <v>510569. Aportes a salud</v>
          </cell>
          <cell r="C1417">
            <v>0</v>
          </cell>
        </row>
        <row r="1418">
          <cell r="A1418" t="str">
            <v>510569000</v>
          </cell>
          <cell r="B1418" t="str">
            <v>510569000 ADMON - APORTES SALUD</v>
          </cell>
          <cell r="C1418">
            <v>265868306</v>
          </cell>
        </row>
        <row r="1419">
          <cell r="A1419" t="str">
            <v>510569001</v>
          </cell>
          <cell r="B1419" t="str">
            <v>510569001 ADMON - APORTES SALUD AYC</v>
          </cell>
          <cell r="C1419">
            <v>6237282</v>
          </cell>
        </row>
        <row r="1420">
          <cell r="A1420" t="str">
            <v/>
          </cell>
          <cell r="B1420" t="str">
            <v>Total Aportes a salud</v>
          </cell>
          <cell r="C1420">
            <v>272105588</v>
          </cell>
        </row>
        <row r="1421">
          <cell r="A1421" t="str">
            <v/>
          </cell>
          <cell r="B1421" t="str">
            <v>510570. Aportes Pension</v>
          </cell>
          <cell r="C1421">
            <v>0</v>
          </cell>
        </row>
        <row r="1422">
          <cell r="A1422" t="str">
            <v>510570000</v>
          </cell>
          <cell r="B1422" t="str">
            <v>510570000 ADMON - APORTES A PENSION</v>
          </cell>
          <cell r="C1422">
            <v>371826770</v>
          </cell>
        </row>
        <row r="1423">
          <cell r="A1423" t="str">
            <v>510570001</v>
          </cell>
          <cell r="B1423" t="str">
            <v>510570001 ADMON - APORTES A PENSION AYC</v>
          </cell>
          <cell r="C1423">
            <v>8047181</v>
          </cell>
        </row>
        <row r="1424">
          <cell r="A1424" t="str">
            <v/>
          </cell>
          <cell r="B1424" t="str">
            <v>Total Aportes Pension</v>
          </cell>
          <cell r="C1424">
            <v>379873951</v>
          </cell>
        </row>
        <row r="1425">
          <cell r="A1425" t="str">
            <v/>
          </cell>
          <cell r="B1425" t="str">
            <v>510571. Aportes A.R.P.</v>
          </cell>
          <cell r="C1425">
            <v>0</v>
          </cell>
        </row>
        <row r="1426">
          <cell r="A1426" t="str">
            <v>510571000</v>
          </cell>
          <cell r="B1426" t="str">
            <v>510571000 ADMON - APORTES A A.R.P</v>
          </cell>
          <cell r="C1426">
            <v>24305486</v>
          </cell>
        </row>
        <row r="1427">
          <cell r="A1427" t="str">
            <v>510571001</v>
          </cell>
          <cell r="B1427" t="str">
            <v>510571001 ADMON - APORTES A A.R.P AYC</v>
          </cell>
          <cell r="C1427">
            <v>388743</v>
          </cell>
        </row>
        <row r="1428">
          <cell r="A1428" t="str">
            <v/>
          </cell>
          <cell r="B1428" t="str">
            <v>Total Aportes A.R.P.</v>
          </cell>
          <cell r="C1428">
            <v>24694229</v>
          </cell>
        </row>
        <row r="1429">
          <cell r="A1429" t="str">
            <v/>
          </cell>
          <cell r="B1429" t="str">
            <v>510572. Aportes a caja de compensacion</v>
          </cell>
          <cell r="C1429">
            <v>0</v>
          </cell>
        </row>
        <row r="1430">
          <cell r="A1430" t="str">
            <v>510572000</v>
          </cell>
          <cell r="B1430" t="str">
            <v>510572000 ADMON - APORTES A CAJA DE COMPENSACION</v>
          </cell>
          <cell r="C1430">
            <v>131331568</v>
          </cell>
        </row>
        <row r="1431">
          <cell r="A1431" t="str">
            <v>510572001</v>
          </cell>
          <cell r="B1431" t="str">
            <v>510572001 ADMON - APORTES A CAJA DE COMPENSACION AYC</v>
          </cell>
          <cell r="C1431">
            <v>3056030</v>
          </cell>
        </row>
        <row r="1432">
          <cell r="A1432" t="str">
            <v/>
          </cell>
          <cell r="B1432" t="str">
            <v>Total Aportes a caja de compensacion</v>
          </cell>
          <cell r="C1432">
            <v>134387598</v>
          </cell>
        </row>
        <row r="1433">
          <cell r="A1433" t="str">
            <v/>
          </cell>
          <cell r="B1433" t="str">
            <v>510575. Aportes I.C.B.F.</v>
          </cell>
          <cell r="C1433">
            <v>0</v>
          </cell>
        </row>
        <row r="1434">
          <cell r="A1434" t="str">
            <v>510575000</v>
          </cell>
          <cell r="B1434" t="str">
            <v>510575000 ADMON - APORTES I.C.B.F</v>
          </cell>
          <cell r="C1434">
            <v>98498691</v>
          </cell>
        </row>
        <row r="1435">
          <cell r="A1435" t="str">
            <v>510575001</v>
          </cell>
          <cell r="B1435" t="str">
            <v>510575001 ADMON - APORTES I.C.B.F AYC</v>
          </cell>
          <cell r="C1435">
            <v>2292021</v>
          </cell>
        </row>
        <row r="1436">
          <cell r="A1436" t="str">
            <v/>
          </cell>
          <cell r="B1436" t="str">
            <v>Total Aportes I.C.B.F.</v>
          </cell>
          <cell r="C1436">
            <v>100790712</v>
          </cell>
        </row>
        <row r="1437">
          <cell r="A1437" t="str">
            <v/>
          </cell>
          <cell r="B1437" t="str">
            <v>510578. SENA</v>
          </cell>
          <cell r="C1437">
            <v>0</v>
          </cell>
        </row>
        <row r="1438">
          <cell r="A1438" t="str">
            <v>510578000</v>
          </cell>
          <cell r="B1438" t="str">
            <v>510578000 ADMON - SENA</v>
          </cell>
          <cell r="C1438">
            <v>65665786</v>
          </cell>
        </row>
        <row r="1439">
          <cell r="A1439" t="str">
            <v>510578001</v>
          </cell>
          <cell r="B1439" t="str">
            <v>510578001 ADMON - SENA AYC</v>
          </cell>
          <cell r="C1439">
            <v>2544189</v>
          </cell>
        </row>
        <row r="1440">
          <cell r="A1440" t="str">
            <v/>
          </cell>
          <cell r="B1440" t="str">
            <v>Total  SENA</v>
          </cell>
          <cell r="C1440">
            <v>68209975</v>
          </cell>
        </row>
        <row r="1441">
          <cell r="A1441" t="str">
            <v/>
          </cell>
          <cell r="B1441" t="str">
            <v>510584. Gasto medico y drogas</v>
          </cell>
          <cell r="C1441">
            <v>0</v>
          </cell>
        </row>
        <row r="1442">
          <cell r="A1442" t="str">
            <v>510584000</v>
          </cell>
          <cell r="B1442" t="str">
            <v>510584000 ADMON - GASTO MEDICO Y DROGAS</v>
          </cell>
          <cell r="C1442">
            <v>7191208</v>
          </cell>
        </row>
        <row r="1443">
          <cell r="A1443" t="str">
            <v/>
          </cell>
          <cell r="B1443" t="str">
            <v>Total Gasto medico y drogas</v>
          </cell>
          <cell r="C1443">
            <v>7191208</v>
          </cell>
        </row>
        <row r="1444">
          <cell r="A1444" t="str">
            <v/>
          </cell>
          <cell r="B1444" t="str">
            <v>510595. Otros</v>
          </cell>
          <cell r="C1444">
            <v>0</v>
          </cell>
        </row>
        <row r="1445">
          <cell r="A1445" t="str">
            <v>510595001</v>
          </cell>
          <cell r="B1445" t="str">
            <v>510595001 ADMON - AUXILIO DE ALIMENTACION AYC</v>
          </cell>
          <cell r="C1445">
            <v>2594795</v>
          </cell>
        </row>
        <row r="1446">
          <cell r="A1446" t="str">
            <v>510595002</v>
          </cell>
          <cell r="B1446" t="str">
            <v>510595002 ADMON - AUXILIO DE LENTES AYC</v>
          </cell>
          <cell r="C1446">
            <v>50046</v>
          </cell>
        </row>
        <row r="1447">
          <cell r="A1447" t="str">
            <v>510595005</v>
          </cell>
          <cell r="B1447" t="str">
            <v>510595005 ADMON - ATENCION Y ESTIMULOS AYC</v>
          </cell>
          <cell r="C1447">
            <v>90000</v>
          </cell>
        </row>
        <row r="1448">
          <cell r="A1448" t="str">
            <v>510595011</v>
          </cell>
          <cell r="B1448" t="str">
            <v>510595011 ADMON - AUXILIO DE ALIMENTACION</v>
          </cell>
          <cell r="C1448">
            <v>161328040</v>
          </cell>
        </row>
        <row r="1449">
          <cell r="A1449" t="str">
            <v>510595012</v>
          </cell>
          <cell r="B1449" t="str">
            <v>510595012 ADMON - AUXILIO DE LENTES</v>
          </cell>
          <cell r="C1449">
            <v>1148092</v>
          </cell>
        </row>
        <row r="1450">
          <cell r="A1450" t="str">
            <v>510595013</v>
          </cell>
          <cell r="B1450" t="str">
            <v>510595013 ADMON - AUXILIO DE NACIMIENTO</v>
          </cell>
          <cell r="C1450">
            <v>2889240</v>
          </cell>
        </row>
        <row r="1451">
          <cell r="A1451" t="str">
            <v>510595014</v>
          </cell>
          <cell r="B1451" t="str">
            <v>510595014 ADMON - AUXILIO FUNERARIO</v>
          </cell>
          <cell r="C1451">
            <v>716568</v>
          </cell>
        </row>
        <row r="1452">
          <cell r="A1452" t="str">
            <v>510595015</v>
          </cell>
          <cell r="B1452" t="str">
            <v>510595015 ADMON - ATENCION Y ESTIMULOS</v>
          </cell>
          <cell r="C1452">
            <v>53373765</v>
          </cell>
        </row>
        <row r="1453">
          <cell r="A1453" t="str">
            <v>510595016</v>
          </cell>
          <cell r="B1453" t="str">
            <v>510595016 ADMON - OTROS GASTOS DE PERSONAL</v>
          </cell>
          <cell r="C1453">
            <v>1700972</v>
          </cell>
        </row>
        <row r="1454">
          <cell r="A1454" t="str">
            <v>510595031</v>
          </cell>
          <cell r="B1454" t="str">
            <v>510595031 ADMON - COMPENSACION TEMPORALES SENA</v>
          </cell>
          <cell r="C1454">
            <v>39334600</v>
          </cell>
        </row>
        <row r="1455">
          <cell r="A1455" t="str">
            <v/>
          </cell>
          <cell r="B1455" t="str">
            <v>Total Otros</v>
          </cell>
          <cell r="C1455">
            <v>263226118</v>
          </cell>
        </row>
        <row r="1456">
          <cell r="A1456" t="str">
            <v/>
          </cell>
          <cell r="B1456" t="str">
            <v>Total 5105 Gastos de Personal</v>
          </cell>
          <cell r="C1456">
            <v>5800170805</v>
          </cell>
        </row>
        <row r="1457">
          <cell r="A1457" t="str">
            <v/>
          </cell>
          <cell r="B1457" t="str">
            <v>5110. Gastos generales</v>
          </cell>
          <cell r="C1457">
            <v>0</v>
          </cell>
        </row>
        <row r="1458">
          <cell r="A1458" t="str">
            <v/>
          </cell>
          <cell r="B1458" t="str">
            <v>511001. Honorarios</v>
          </cell>
          <cell r="C1458">
            <v>0</v>
          </cell>
        </row>
        <row r="1459">
          <cell r="A1459" t="str">
            <v>511001000</v>
          </cell>
          <cell r="B1459" t="str">
            <v>511001000 ADMON - HONORARIOS</v>
          </cell>
          <cell r="C1459">
            <v>483471132</v>
          </cell>
        </row>
        <row r="1460">
          <cell r="A1460" t="str">
            <v/>
          </cell>
          <cell r="B1460" t="str">
            <v>Total Honorarios</v>
          </cell>
          <cell r="C1460">
            <v>483471132</v>
          </cell>
        </row>
        <row r="1461">
          <cell r="A1461" t="str">
            <v/>
          </cell>
          <cell r="B1461" t="str">
            <v>511002. Impuestos</v>
          </cell>
          <cell r="C1461">
            <v>0</v>
          </cell>
        </row>
        <row r="1462">
          <cell r="A1462" t="str">
            <v>511002001</v>
          </cell>
          <cell r="B1462" t="str">
            <v>511002001 ADMON - IMPUESTO PREDIAL AYC</v>
          </cell>
          <cell r="C1462">
            <v>40553</v>
          </cell>
        </row>
        <row r="1463">
          <cell r="A1463" t="str">
            <v>511002002</v>
          </cell>
          <cell r="B1463" t="str">
            <v>511002002 ADMON - IMPUESTO INDUSTRIA Y COMERC.AYC</v>
          </cell>
          <cell r="C1463">
            <v>28585311</v>
          </cell>
        </row>
        <row r="1464">
          <cell r="A1464" t="str">
            <v>511002003</v>
          </cell>
          <cell r="B1464" t="str">
            <v>511002003 ADMON - IMPUESTO VEHICULOS</v>
          </cell>
          <cell r="C1464">
            <v>425100</v>
          </cell>
        </row>
        <row r="1465">
          <cell r="A1465" t="str">
            <v>511002011</v>
          </cell>
          <cell r="B1465" t="str">
            <v>511002011 ADMON - IMPUESTO PREDIAL</v>
          </cell>
          <cell r="C1465">
            <v>22680615</v>
          </cell>
        </row>
        <row r="1466">
          <cell r="A1466" t="str">
            <v>511002012</v>
          </cell>
          <cell r="B1466" t="str">
            <v>511002012 ADMON - IMPUESTO INDUSTRIA Y COMERCIO</v>
          </cell>
          <cell r="C1466">
            <v>27650013</v>
          </cell>
        </row>
        <row r="1467">
          <cell r="A1467" t="str">
            <v>511002013</v>
          </cell>
          <cell r="B1467" t="str">
            <v>511002013 ADMON - IMPUESTO DE TIMBRE</v>
          </cell>
          <cell r="C1467">
            <v>18666285</v>
          </cell>
        </row>
        <row r="1468">
          <cell r="A1468" t="str">
            <v>511002014</v>
          </cell>
          <cell r="B1468" t="str">
            <v>511002014 ADMON - IMPUESTO 4  X MIL</v>
          </cell>
          <cell r="C1468">
            <v>40658002</v>
          </cell>
        </row>
        <row r="1469">
          <cell r="A1469" t="str">
            <v>511002015</v>
          </cell>
          <cell r="B1469" t="str">
            <v>511002015 ADMON - IMPUESTO 4  X MIL A Y C</v>
          </cell>
          <cell r="C1469">
            <v>102910909</v>
          </cell>
        </row>
        <row r="1470">
          <cell r="A1470" t="str">
            <v/>
          </cell>
          <cell r="B1470" t="str">
            <v>Total Impuestos</v>
          </cell>
          <cell r="C1470">
            <v>241616788</v>
          </cell>
        </row>
        <row r="1471">
          <cell r="A1471" t="str">
            <v/>
          </cell>
          <cell r="B1471" t="str">
            <v>511004. Arrendamientos</v>
          </cell>
          <cell r="C1471">
            <v>0</v>
          </cell>
        </row>
        <row r="1472">
          <cell r="A1472" t="str">
            <v>511004001</v>
          </cell>
          <cell r="B1472" t="str">
            <v>511004001 ADMON - ARRENDAMIENTOS EDIFICACIONES</v>
          </cell>
          <cell r="C1472">
            <v>22195968</v>
          </cell>
        </row>
        <row r="1473">
          <cell r="A1473" t="str">
            <v>511004002</v>
          </cell>
          <cell r="B1473" t="str">
            <v>511004002 ADMON - ARREND.MAQUINARIA Y EQUIPO</v>
          </cell>
          <cell r="C1473">
            <v>3621380</v>
          </cell>
        </row>
        <row r="1474">
          <cell r="A1474" t="str">
            <v>511004003</v>
          </cell>
          <cell r="B1474" t="str">
            <v>511004003 ADMON - ARREND.MUEBLES Y EQUIPO DE OFIC.</v>
          </cell>
          <cell r="C1474">
            <v>8567653</v>
          </cell>
        </row>
        <row r="1475">
          <cell r="A1475" t="str">
            <v>511004004</v>
          </cell>
          <cell r="B1475" t="str">
            <v>511004004 ADMON - ARREND.EQUIP.DE COMPUT.Y COMUN.</v>
          </cell>
          <cell r="C1475">
            <v>43387994</v>
          </cell>
        </row>
        <row r="1476">
          <cell r="A1476" t="str">
            <v/>
          </cell>
          <cell r="B1476" t="str">
            <v>Total Arrendamientos</v>
          </cell>
          <cell r="C1476">
            <v>77772995</v>
          </cell>
        </row>
        <row r="1477">
          <cell r="A1477" t="str">
            <v/>
          </cell>
          <cell r="B1477" t="str">
            <v>511008. Seguros</v>
          </cell>
          <cell r="C1477">
            <v>0</v>
          </cell>
        </row>
        <row r="1478">
          <cell r="A1478" t="str">
            <v>511008007</v>
          </cell>
          <cell r="B1478" t="str">
            <v>511008007 ADMON - POLIZA CARTERA DEUDORES  AYC</v>
          </cell>
          <cell r="C1478">
            <v>70460958</v>
          </cell>
        </row>
        <row r="1479">
          <cell r="A1479" t="str">
            <v>511008011</v>
          </cell>
          <cell r="B1479" t="str">
            <v>511008011 ADMON - SEGUROS VARIOS ( OTROS Y ASUMIDOS)</v>
          </cell>
          <cell r="C1479">
            <v>7200</v>
          </cell>
        </row>
        <row r="1480">
          <cell r="A1480" t="str">
            <v>511008016</v>
          </cell>
          <cell r="B1480" t="str">
            <v>511008016 ADMON - POLIZA SUBSIDIO 30%  A ASOCIADOS</v>
          </cell>
          <cell r="C1480">
            <v>54359709</v>
          </cell>
        </row>
        <row r="1481">
          <cell r="A1481" t="str">
            <v>511008018</v>
          </cell>
          <cell r="B1481" t="str">
            <v>511008018 ADMON - POLIZA INCENDIO FIJA</v>
          </cell>
          <cell r="C1481">
            <v>13769181</v>
          </cell>
        </row>
        <row r="1482">
          <cell r="A1482" t="str">
            <v>511008019</v>
          </cell>
          <cell r="B1482" t="str">
            <v>511008019 ADMON - POLIZA SUSTRACCION FIJA</v>
          </cell>
          <cell r="C1482">
            <v>498876</v>
          </cell>
        </row>
        <row r="1483">
          <cell r="A1483" t="str">
            <v>511008020</v>
          </cell>
          <cell r="B1483" t="str">
            <v>511008020 ADMON - POLIZA DE EQUIPO ELECTRONICO</v>
          </cell>
          <cell r="C1483">
            <v>21148236</v>
          </cell>
        </row>
        <row r="1484">
          <cell r="A1484" t="str">
            <v>511008021</v>
          </cell>
          <cell r="B1484" t="str">
            <v>511008021 ADMON - POLIZA DE RESPONSABILIDAD CIVIL</v>
          </cell>
          <cell r="C1484">
            <v>1428498</v>
          </cell>
        </row>
        <row r="1485">
          <cell r="A1485" t="str">
            <v>511008022</v>
          </cell>
          <cell r="B1485" t="str">
            <v>511008022 ADMON - POLIZA ROTURA DE MAQUINARIA</v>
          </cell>
          <cell r="C1485">
            <v>813681</v>
          </cell>
        </row>
        <row r="1486">
          <cell r="A1486" t="str">
            <v>511008023</v>
          </cell>
          <cell r="B1486" t="str">
            <v>511008023 ADMON - POLIZA MANEJO GLOBAL COMERCIAL</v>
          </cell>
          <cell r="C1486">
            <v>29722148</v>
          </cell>
        </row>
        <row r="1487">
          <cell r="A1487" t="str">
            <v>511008024</v>
          </cell>
          <cell r="B1487" t="str">
            <v>511008024 ADMON - POLIZA PARA ROTURA DE VIDRIOS</v>
          </cell>
          <cell r="C1487">
            <v>423605</v>
          </cell>
        </row>
        <row r="1488">
          <cell r="A1488" t="str">
            <v>511008025</v>
          </cell>
          <cell r="B1488" t="str">
            <v>511008025 ADMON - POLIZA DE AUTOS.</v>
          </cell>
          <cell r="C1488">
            <v>204399</v>
          </cell>
        </row>
        <row r="1489">
          <cell r="A1489" t="str">
            <v>511008027</v>
          </cell>
          <cell r="B1489" t="str">
            <v>511008027 ADMON - POLIZAS JUDICIALES</v>
          </cell>
          <cell r="C1489">
            <v>775435</v>
          </cell>
        </row>
        <row r="1490">
          <cell r="A1490" t="str">
            <v/>
          </cell>
          <cell r="B1490" t="str">
            <v>Total Seguros</v>
          </cell>
          <cell r="C1490">
            <v>193611926</v>
          </cell>
        </row>
        <row r="1491">
          <cell r="A1491" t="str">
            <v/>
          </cell>
          <cell r="B1491" t="str">
            <v>511010. Mantenimiento y reparaciones</v>
          </cell>
          <cell r="C1491">
            <v>0</v>
          </cell>
        </row>
        <row r="1492">
          <cell r="A1492" t="str">
            <v>511010001</v>
          </cell>
          <cell r="B1492" t="str">
            <v>511010001 ADMON - MANTEN.EDIFICAC.E INSTALACIONES</v>
          </cell>
          <cell r="C1492">
            <v>143542893</v>
          </cell>
        </row>
        <row r="1493">
          <cell r="A1493" t="str">
            <v>511010002</v>
          </cell>
          <cell r="B1493" t="str">
            <v>511010002 ADMON - MANTEN.MAQUINARIA Y EQUIPO</v>
          </cell>
          <cell r="C1493">
            <v>88029540</v>
          </cell>
        </row>
        <row r="1494">
          <cell r="A1494" t="str">
            <v>511010011</v>
          </cell>
          <cell r="B1494" t="str">
            <v>511010011 ADMON - MANTENIMIENTO EN PROPIEDADES ARRENDADAS</v>
          </cell>
          <cell r="C1494">
            <v>9738554</v>
          </cell>
        </row>
        <row r="1495">
          <cell r="A1495" t="str">
            <v>511010013</v>
          </cell>
          <cell r="B1495" t="str">
            <v>511010013 ADMON - MANTENIMIENTO MUEBLES</v>
          </cell>
          <cell r="C1495">
            <v>3624050</v>
          </cell>
        </row>
        <row r="1496">
          <cell r="A1496" t="str">
            <v>511010014</v>
          </cell>
          <cell r="B1496" t="str">
            <v>511010014 ADMON - MANTENIMIENTO EQUIPO DE OFICINA</v>
          </cell>
          <cell r="C1496">
            <v>651100</v>
          </cell>
        </row>
        <row r="1497">
          <cell r="A1497" t="str">
            <v>511010015</v>
          </cell>
          <cell r="B1497" t="str">
            <v>511010015 ADMON - MANTENIMIENTO EQUIP. DE COMPUTO</v>
          </cell>
          <cell r="C1497">
            <v>108886099</v>
          </cell>
        </row>
        <row r="1498">
          <cell r="A1498" t="str">
            <v>511010016</v>
          </cell>
          <cell r="B1498" t="str">
            <v>511010016 ADMON - MANTENIM.EQUIPO DE COMUNICACION</v>
          </cell>
          <cell r="C1498">
            <v>13779134</v>
          </cell>
        </row>
        <row r="1499">
          <cell r="A1499" t="str">
            <v>511010017</v>
          </cell>
          <cell r="B1499" t="str">
            <v>511010017 ADMON - MANTENIM.SOFTWARE EQ.COMPUTO</v>
          </cell>
          <cell r="C1499">
            <v>25590791</v>
          </cell>
        </row>
        <row r="1500">
          <cell r="A1500" t="str">
            <v>511010018</v>
          </cell>
          <cell r="B1500" t="str">
            <v>511010018 ADMON - MANTENIM.SOFTWARE EQ.COMPUTO AYC</v>
          </cell>
          <cell r="C1500">
            <v>13064000</v>
          </cell>
        </row>
        <row r="1501">
          <cell r="A1501" t="str">
            <v/>
          </cell>
          <cell r="B1501" t="str">
            <v>Total Mantenimiento y reparaciones</v>
          </cell>
          <cell r="C1501">
            <v>406906161</v>
          </cell>
        </row>
        <row r="1502">
          <cell r="A1502" t="str">
            <v/>
          </cell>
          <cell r="B1502" t="str">
            <v>511014. Cuotas de Administracion</v>
          </cell>
          <cell r="C1502">
            <v>0</v>
          </cell>
        </row>
        <row r="1503">
          <cell r="A1503" t="str">
            <v>511014001</v>
          </cell>
          <cell r="B1503" t="str">
            <v>511014001 ADMON - CUOTAS DE ADMINISTRACION</v>
          </cell>
          <cell r="C1503">
            <v>19165945</v>
          </cell>
        </row>
        <row r="1504">
          <cell r="A1504" t="str">
            <v/>
          </cell>
          <cell r="B1504" t="str">
            <v>Total Cuotas de Administracion</v>
          </cell>
          <cell r="C1504">
            <v>19165945</v>
          </cell>
        </row>
        <row r="1505">
          <cell r="A1505" t="str">
            <v/>
          </cell>
          <cell r="B1505" t="str">
            <v>511016. Reparaciones Locativas</v>
          </cell>
          <cell r="C1505">
            <v>0</v>
          </cell>
        </row>
        <row r="1506">
          <cell r="A1506" t="str">
            <v>511016001</v>
          </cell>
          <cell r="B1506" t="str">
            <v>511016001 ADMON - SUMINIST. Y ARREGLOS LOCATIVOS AYC</v>
          </cell>
          <cell r="C1506">
            <v>14400</v>
          </cell>
        </row>
        <row r="1507">
          <cell r="A1507" t="str">
            <v>511016011</v>
          </cell>
          <cell r="B1507" t="str">
            <v>511016011 ADMON - SUMINIST. Y ARREGLOS LOCATIVOS</v>
          </cell>
          <cell r="C1507">
            <v>48351391</v>
          </cell>
        </row>
        <row r="1508">
          <cell r="A1508" t="str">
            <v/>
          </cell>
          <cell r="B1508" t="str">
            <v>Total Reparaciones Locativas</v>
          </cell>
          <cell r="C1508">
            <v>48365791</v>
          </cell>
        </row>
        <row r="1509">
          <cell r="A1509" t="str">
            <v/>
          </cell>
          <cell r="B1509" t="str">
            <v>511018. Aseo Y elementos</v>
          </cell>
          <cell r="C1509">
            <v>0</v>
          </cell>
        </row>
        <row r="1510">
          <cell r="A1510" t="str">
            <v>511018001</v>
          </cell>
          <cell r="B1510" t="str">
            <v>511018001 ADMON - IMPLEMENTOS DE ASEO AYC</v>
          </cell>
          <cell r="C1510">
            <v>373926</v>
          </cell>
        </row>
        <row r="1511">
          <cell r="A1511" t="str">
            <v>511018011</v>
          </cell>
          <cell r="B1511" t="str">
            <v>511018011 ADMON - IMPLEMENTOS DE ASEO</v>
          </cell>
          <cell r="C1511">
            <v>57405432</v>
          </cell>
        </row>
        <row r="1512">
          <cell r="A1512" t="str">
            <v>511018012</v>
          </cell>
          <cell r="B1512" t="str">
            <v>511018012 ADMON - ASEO GENERAL</v>
          </cell>
          <cell r="C1512">
            <v>10354263</v>
          </cell>
        </row>
        <row r="1513">
          <cell r="A1513" t="str">
            <v/>
          </cell>
          <cell r="B1513" t="str">
            <v>Total Aseo Y elementos</v>
          </cell>
          <cell r="C1513">
            <v>68133621</v>
          </cell>
        </row>
        <row r="1514">
          <cell r="A1514" t="str">
            <v/>
          </cell>
          <cell r="B1514" t="str">
            <v>511020. Cafeteria</v>
          </cell>
          <cell r="C1514">
            <v>0</v>
          </cell>
        </row>
        <row r="1515">
          <cell r="A1515" t="str">
            <v>511020001</v>
          </cell>
          <cell r="B1515" t="str">
            <v>511020001 ADMON - SUMINISTROS CAFETERIA AYC</v>
          </cell>
          <cell r="C1515">
            <v>286869</v>
          </cell>
        </row>
        <row r="1516">
          <cell r="A1516" t="str">
            <v>511020011</v>
          </cell>
          <cell r="B1516" t="str">
            <v>511020011 ADMON - SUMINISTROS CAFETERIA</v>
          </cell>
          <cell r="C1516">
            <v>159528342</v>
          </cell>
        </row>
        <row r="1517">
          <cell r="A1517" t="str">
            <v>511020012</v>
          </cell>
          <cell r="B1517" t="str">
            <v>511020012 ADMON - ELEMENTOS CAFETERIA</v>
          </cell>
          <cell r="C1517">
            <v>2947919</v>
          </cell>
        </row>
        <row r="1518">
          <cell r="A1518" t="str">
            <v/>
          </cell>
          <cell r="B1518" t="str">
            <v>Total Cafeteria</v>
          </cell>
          <cell r="C1518">
            <v>162763130</v>
          </cell>
        </row>
        <row r="1519">
          <cell r="A1519" t="str">
            <v/>
          </cell>
          <cell r="B1519" t="str">
            <v>511022. Servicios publicos</v>
          </cell>
          <cell r="C1519">
            <v>0</v>
          </cell>
        </row>
        <row r="1520">
          <cell r="A1520" t="str">
            <v>511022001</v>
          </cell>
          <cell r="B1520" t="str">
            <v>511022001 ADMON - ACUEDUCTO AYC</v>
          </cell>
          <cell r="C1520">
            <v>128167</v>
          </cell>
        </row>
        <row r="1521">
          <cell r="A1521" t="str">
            <v>511022002</v>
          </cell>
          <cell r="B1521" t="str">
            <v>511022002 ADMON - ALCANTARILLADO AYC</v>
          </cell>
          <cell r="C1521">
            <v>82133</v>
          </cell>
        </row>
        <row r="1522">
          <cell r="A1522" t="str">
            <v>511022003</v>
          </cell>
          <cell r="B1522" t="str">
            <v>511022003 ADMON - ENERGIA AYC</v>
          </cell>
          <cell r="C1522">
            <v>794960</v>
          </cell>
        </row>
        <row r="1523">
          <cell r="A1523" t="str">
            <v>511022004</v>
          </cell>
          <cell r="B1523" t="str">
            <v>511022004 ADMON - TELEFONO AYC</v>
          </cell>
          <cell r="C1523">
            <v>3718131</v>
          </cell>
        </row>
        <row r="1524">
          <cell r="A1524" t="str">
            <v>511022005</v>
          </cell>
          <cell r="B1524" t="str">
            <v>511022005 ADMON - ASEO DISTRITAL  AYC</v>
          </cell>
          <cell r="C1524">
            <v>75375</v>
          </cell>
        </row>
        <row r="1525">
          <cell r="A1525" t="str">
            <v>511022006</v>
          </cell>
          <cell r="B1525" t="str">
            <v>511022006 ADMON - GASNATURAL  AYC</v>
          </cell>
          <cell r="C1525">
            <v>15170</v>
          </cell>
        </row>
        <row r="1526">
          <cell r="A1526" t="str">
            <v>511022011</v>
          </cell>
          <cell r="B1526" t="str">
            <v>511022011 ADMON - ACUEDUCTO</v>
          </cell>
          <cell r="C1526">
            <v>5309886</v>
          </cell>
        </row>
        <row r="1527">
          <cell r="A1527" t="str">
            <v>511022012</v>
          </cell>
          <cell r="B1527" t="str">
            <v>511022012 ADMON - ALCANTARILLADO</v>
          </cell>
          <cell r="C1527">
            <v>3518465</v>
          </cell>
        </row>
        <row r="1528">
          <cell r="A1528" t="str">
            <v>511022013</v>
          </cell>
          <cell r="B1528" t="str">
            <v>511022013 ADMON - ENERGIA</v>
          </cell>
          <cell r="C1528">
            <v>88968411</v>
          </cell>
        </row>
        <row r="1529">
          <cell r="A1529" t="str">
            <v>511022015</v>
          </cell>
          <cell r="B1529" t="str">
            <v>511022015 ADMON - ASEO DISTRITAL</v>
          </cell>
          <cell r="C1529">
            <v>3666668</v>
          </cell>
        </row>
        <row r="1530">
          <cell r="A1530" t="str">
            <v>511022016</v>
          </cell>
          <cell r="B1530" t="str">
            <v>511022016 ADMON - GAS</v>
          </cell>
          <cell r="C1530">
            <v>578410</v>
          </cell>
        </row>
        <row r="1531">
          <cell r="A1531" t="str">
            <v>511022020</v>
          </cell>
          <cell r="B1531" t="str">
            <v>511022020 ADMON - TELEFONO  LINEAS DIRECTAS</v>
          </cell>
          <cell r="C1531">
            <v>25826078</v>
          </cell>
        </row>
        <row r="1532">
          <cell r="A1532" t="str">
            <v>511022021</v>
          </cell>
          <cell r="B1532" t="str">
            <v>511022021 ADMON - TELEFONO  PBX</v>
          </cell>
          <cell r="C1532">
            <v>59005199</v>
          </cell>
        </row>
        <row r="1533">
          <cell r="A1533" t="str">
            <v>511022022</v>
          </cell>
          <cell r="B1533" t="str">
            <v>511022022 ADMON - TELEFONO  LINEA 9800</v>
          </cell>
          <cell r="C1533">
            <v>-885492</v>
          </cell>
        </row>
        <row r="1534">
          <cell r="A1534" t="str">
            <v/>
          </cell>
          <cell r="B1534" t="str">
            <v>Total Servicios publicos</v>
          </cell>
          <cell r="C1534">
            <v>190801561</v>
          </cell>
        </row>
        <row r="1535">
          <cell r="A1535" t="str">
            <v/>
          </cell>
          <cell r="B1535" t="str">
            <v>511024. Portes,cables, fax y telex</v>
          </cell>
          <cell r="C1535">
            <v>0</v>
          </cell>
        </row>
        <row r="1536">
          <cell r="A1536" t="str">
            <v>511024001</v>
          </cell>
          <cell r="B1536" t="str">
            <v>511024001 ADMON - FAX Y TELEX</v>
          </cell>
          <cell r="C1536">
            <v>137400</v>
          </cell>
        </row>
        <row r="1537">
          <cell r="A1537" t="str">
            <v/>
          </cell>
          <cell r="B1537" t="str">
            <v>Total Portes,cables, fax y telex</v>
          </cell>
          <cell r="C1537">
            <v>137400</v>
          </cell>
        </row>
        <row r="1538">
          <cell r="A1538" t="str">
            <v/>
          </cell>
          <cell r="B1538" t="str">
            <v>511026. Trasporte,fletes y acarreos</v>
          </cell>
          <cell r="C1538">
            <v>0</v>
          </cell>
        </row>
        <row r="1539">
          <cell r="A1539" t="str">
            <v>511026001</v>
          </cell>
          <cell r="B1539" t="str">
            <v>511026001 ADMON - OTROS GTOS DE TRANSPORTE</v>
          </cell>
          <cell r="C1539">
            <v>3736431</v>
          </cell>
        </row>
        <row r="1540">
          <cell r="A1540" t="str">
            <v>511026002</v>
          </cell>
          <cell r="B1540" t="str">
            <v>511026002 ADMON - ACARREOS</v>
          </cell>
          <cell r="C1540">
            <v>6050886</v>
          </cell>
        </row>
        <row r="1541">
          <cell r="A1541" t="str">
            <v/>
          </cell>
          <cell r="B1541" t="str">
            <v>Total Trasporte,fletes y acarreos</v>
          </cell>
          <cell r="C1541">
            <v>9787317</v>
          </cell>
        </row>
        <row r="1542">
          <cell r="A1542" t="str">
            <v/>
          </cell>
          <cell r="B1542" t="str">
            <v>511028. Papeleria y utiles de oficina</v>
          </cell>
          <cell r="C1542">
            <v>0</v>
          </cell>
        </row>
        <row r="1543">
          <cell r="A1543" t="str">
            <v>511028001</v>
          </cell>
          <cell r="B1543" t="str">
            <v>511028001 ADMON - PAPELERIA - UTILES DE OFICINA AYC</v>
          </cell>
          <cell r="C1543">
            <v>20811455</v>
          </cell>
        </row>
        <row r="1544">
          <cell r="A1544" t="str">
            <v>511028011</v>
          </cell>
          <cell r="B1544" t="str">
            <v>511028011 ADMON - PAPELERIA - UTILES DE OFICNA</v>
          </cell>
          <cell r="C1544">
            <v>355520562</v>
          </cell>
        </row>
        <row r="1545">
          <cell r="A1545" t="str">
            <v>511028013</v>
          </cell>
          <cell r="B1545" t="str">
            <v>511028013 ADMON - REVELADOS ROLLOS Y DEMAS</v>
          </cell>
          <cell r="C1545">
            <v>1854330</v>
          </cell>
        </row>
        <row r="1546">
          <cell r="A1546" t="str">
            <v/>
          </cell>
          <cell r="B1546" t="str">
            <v>Total Papeleria y utiles de oficina</v>
          </cell>
          <cell r="C1546">
            <v>378186347</v>
          </cell>
        </row>
        <row r="1547">
          <cell r="A1547" t="str">
            <v/>
          </cell>
          <cell r="B1547" t="str">
            <v>511030. Fotocopias</v>
          </cell>
          <cell r="C1547">
            <v>0</v>
          </cell>
        </row>
        <row r="1548">
          <cell r="A1548" t="str">
            <v>511030002</v>
          </cell>
          <cell r="B1548" t="str">
            <v>511030002 ADMON - FOTOCOPIAS  AYC</v>
          </cell>
          <cell r="C1548">
            <v>1778563</v>
          </cell>
        </row>
        <row r="1549">
          <cell r="A1549" t="str">
            <v>511030012</v>
          </cell>
          <cell r="B1549" t="str">
            <v>511030012 ADMON - FOTOCOPIAS</v>
          </cell>
          <cell r="C1549">
            <v>23442051</v>
          </cell>
        </row>
        <row r="1550">
          <cell r="A1550" t="str">
            <v>511030013</v>
          </cell>
          <cell r="B1550" t="str">
            <v>511030013 ADMON - ENCUADERNACION</v>
          </cell>
          <cell r="C1550">
            <v>8556020</v>
          </cell>
        </row>
        <row r="1551">
          <cell r="A1551" t="str">
            <v>511030014</v>
          </cell>
          <cell r="B1551" t="str">
            <v>511030014 ADMON - ACETATOS</v>
          </cell>
          <cell r="C1551">
            <v>30750</v>
          </cell>
        </row>
        <row r="1552">
          <cell r="A1552" t="str">
            <v/>
          </cell>
          <cell r="B1552" t="str">
            <v>Total Fotocopias</v>
          </cell>
          <cell r="C1552">
            <v>33807384</v>
          </cell>
        </row>
        <row r="1553">
          <cell r="A1553" t="str">
            <v/>
          </cell>
          <cell r="B1553" t="str">
            <v>511032. Suministros</v>
          </cell>
          <cell r="C1553">
            <v>0</v>
          </cell>
        </row>
        <row r="1554">
          <cell r="A1554" t="str">
            <v>511032001</v>
          </cell>
          <cell r="B1554" t="str">
            <v>511032001 ADMON - SUMINISTROS</v>
          </cell>
          <cell r="C1554">
            <v>47326191</v>
          </cell>
        </row>
        <row r="1555">
          <cell r="A1555" t="str">
            <v/>
          </cell>
          <cell r="B1555" t="str">
            <v>Total Suministros</v>
          </cell>
          <cell r="C1555">
            <v>47326191</v>
          </cell>
        </row>
        <row r="1556">
          <cell r="A1556" t="str">
            <v/>
          </cell>
          <cell r="B1556" t="str">
            <v>511034. Publicidad y Propaganda</v>
          </cell>
          <cell r="C1556">
            <v>0</v>
          </cell>
        </row>
        <row r="1557">
          <cell r="A1557" t="str">
            <v>511034001</v>
          </cell>
          <cell r="B1557" t="str">
            <v>511034001 ADMON - ELEMENTOS PUBLICITARIOS AYC</v>
          </cell>
          <cell r="C1557">
            <v>0</v>
          </cell>
        </row>
        <row r="1558">
          <cell r="A1558" t="str">
            <v>511034002</v>
          </cell>
          <cell r="B1558" t="str">
            <v>511034002 ADMON - PUBLICACIONES</v>
          </cell>
          <cell r="C1558">
            <v>21468215</v>
          </cell>
        </row>
        <row r="1559">
          <cell r="A1559" t="str">
            <v>511034003</v>
          </cell>
          <cell r="B1559" t="str">
            <v>511034003 ADMON - SEPARATAS-VOLANTES-AFICHES</v>
          </cell>
          <cell r="C1559">
            <v>0</v>
          </cell>
        </row>
        <row r="1560">
          <cell r="A1560" t="str">
            <v>511034004</v>
          </cell>
          <cell r="B1560" t="str">
            <v>511034004 ADMON - CATALOGOS - PLEGABLES</v>
          </cell>
          <cell r="C1560">
            <v>0</v>
          </cell>
        </row>
        <row r="1561">
          <cell r="A1561" t="str">
            <v>511034005</v>
          </cell>
          <cell r="B1561" t="str">
            <v>511034005 ADMON - PUBLICIDAD Y PRPAGANDA</v>
          </cell>
          <cell r="C1561">
            <v>13846104</v>
          </cell>
        </row>
        <row r="1562">
          <cell r="A1562" t="str">
            <v>511034011</v>
          </cell>
          <cell r="B1562" t="str">
            <v>511034011 ADMON - ELEMENTOS PUBLICITARIOS</v>
          </cell>
          <cell r="C1562">
            <v>827200</v>
          </cell>
        </row>
        <row r="1563">
          <cell r="A1563" t="str">
            <v/>
          </cell>
          <cell r="B1563" t="str">
            <v>Total Publicidad y Propaganda</v>
          </cell>
          <cell r="C1563">
            <v>36141519</v>
          </cell>
        </row>
        <row r="1564">
          <cell r="A1564" t="str">
            <v/>
          </cell>
          <cell r="B1564" t="str">
            <v>511036. Contribuciones y afiliaciones</v>
          </cell>
          <cell r="C1564">
            <v>0</v>
          </cell>
        </row>
        <row r="1565">
          <cell r="A1565" t="str">
            <v>511036001</v>
          </cell>
          <cell r="B1565" t="str">
            <v>511036001 ADMON - CONTRIBUCION SUPERSOLIDARIA AYC</v>
          </cell>
          <cell r="C1565">
            <v>12854592</v>
          </cell>
        </row>
        <row r="1566">
          <cell r="A1566" t="str">
            <v>511036011</v>
          </cell>
          <cell r="B1566" t="str">
            <v>511036011 ADMON - CONTRIBUCION SUPERSOLIDARIA</v>
          </cell>
          <cell r="C1566">
            <v>78625846</v>
          </cell>
        </row>
        <row r="1567">
          <cell r="A1567" t="str">
            <v>511036013</v>
          </cell>
          <cell r="B1567" t="str">
            <v>511036013 ADMON - AFILIACIONES</v>
          </cell>
          <cell r="C1567">
            <v>234000</v>
          </cell>
        </row>
        <row r="1568">
          <cell r="A1568" t="str">
            <v/>
          </cell>
          <cell r="B1568" t="str">
            <v>Total Contribuciones y afiliaciones</v>
          </cell>
          <cell r="C1568">
            <v>91714438</v>
          </cell>
        </row>
        <row r="1569">
          <cell r="A1569" t="str">
            <v/>
          </cell>
          <cell r="B1569" t="str">
            <v>511040. Gastos de Directivos</v>
          </cell>
          <cell r="C1569">
            <v>0</v>
          </cell>
        </row>
        <row r="1570">
          <cell r="A1570" t="str">
            <v>511040001</v>
          </cell>
          <cell r="B1570" t="str">
            <v>511040001 ADMON -CONSUMOS INTERNOS</v>
          </cell>
          <cell r="C1570">
            <v>0</v>
          </cell>
        </row>
        <row r="1571">
          <cell r="A1571" t="str">
            <v>511040002</v>
          </cell>
          <cell r="B1571" t="str">
            <v>511040002 ADMON - JUNTA DE VIGILANCIA</v>
          </cell>
          <cell r="C1571">
            <v>341000</v>
          </cell>
        </row>
        <row r="1572">
          <cell r="A1572" t="str">
            <v>511040004</v>
          </cell>
          <cell r="B1572" t="str">
            <v>511040004 ADMON - CASINO Y RESTAURANTE</v>
          </cell>
          <cell r="C1572">
            <v>220196926</v>
          </cell>
        </row>
        <row r="1573">
          <cell r="A1573" t="str">
            <v/>
          </cell>
          <cell r="B1573" t="str">
            <v>Total Gastos de Directivos</v>
          </cell>
          <cell r="C1573">
            <v>220537926</v>
          </cell>
        </row>
        <row r="1574">
          <cell r="A1574" t="str">
            <v/>
          </cell>
          <cell r="B1574" t="str">
            <v>511042. Gastos de comites</v>
          </cell>
          <cell r="C1574">
            <v>0</v>
          </cell>
        </row>
        <row r="1575">
          <cell r="A1575" t="str">
            <v>511042001</v>
          </cell>
          <cell r="B1575" t="str">
            <v>511042001 ADMON - GTOS DE TRANSPORTE</v>
          </cell>
          <cell r="C1575">
            <v>10223243</v>
          </cell>
        </row>
        <row r="1576">
          <cell r="A1576" t="str">
            <v>511042002</v>
          </cell>
          <cell r="B1576" t="str">
            <v>511042002 ADMON - GTOS CAFETERIA COMITES</v>
          </cell>
          <cell r="C1576">
            <v>1018350</v>
          </cell>
        </row>
        <row r="1577">
          <cell r="A1577" t="str">
            <v/>
          </cell>
          <cell r="B1577" t="str">
            <v>Total Gastos de comites</v>
          </cell>
          <cell r="C1577">
            <v>11241593</v>
          </cell>
        </row>
        <row r="1578">
          <cell r="A1578" t="str">
            <v/>
          </cell>
          <cell r="B1578" t="str">
            <v>511044. Reuniones y conferencias</v>
          </cell>
          <cell r="C1578">
            <v>0</v>
          </cell>
        </row>
        <row r="1579">
          <cell r="A1579" t="str">
            <v>511044002</v>
          </cell>
          <cell r="B1579" t="str">
            <v>511044002 ADMON - GTOS CONFERENCIAS-TALLER-SEMINARIOS</v>
          </cell>
          <cell r="C1579">
            <v>1272993</v>
          </cell>
        </row>
        <row r="1580">
          <cell r="A1580" t="str">
            <v/>
          </cell>
          <cell r="B1580" t="str">
            <v>Total Reuniones y conferencias</v>
          </cell>
          <cell r="C1580">
            <v>1272993</v>
          </cell>
        </row>
        <row r="1581">
          <cell r="A1581" t="str">
            <v/>
          </cell>
          <cell r="B1581" t="str">
            <v>511046. Gastos Legales</v>
          </cell>
          <cell r="C1581">
            <v>0</v>
          </cell>
        </row>
        <row r="1582">
          <cell r="A1582" t="str">
            <v>511046000</v>
          </cell>
          <cell r="B1582" t="str">
            <v>511046000 ADMON - GTOS LEGALES ADUANEROS</v>
          </cell>
          <cell r="C1582">
            <v>6779223</v>
          </cell>
        </row>
        <row r="1583">
          <cell r="A1583" t="str">
            <v>511046001</v>
          </cell>
          <cell r="B1583" t="str">
            <v>511046001 ADMON - GTOS JUDICIALES</v>
          </cell>
          <cell r="C1583">
            <v>6224200</v>
          </cell>
        </row>
        <row r="1584">
          <cell r="A1584" t="str">
            <v>511046002</v>
          </cell>
          <cell r="B1584" t="str">
            <v>511046002 ADMON - GTOS NOTARIALES  Y LAGALES</v>
          </cell>
          <cell r="C1584">
            <v>26178616</v>
          </cell>
        </row>
        <row r="1585">
          <cell r="A1585" t="str">
            <v>511046003</v>
          </cell>
          <cell r="B1585" t="str">
            <v>511046003 ADMON - GTOS VIATICOS ABOGADOS AYC</v>
          </cell>
          <cell r="C1585">
            <v>500000</v>
          </cell>
        </row>
        <row r="1586">
          <cell r="A1586" t="str">
            <v/>
          </cell>
          <cell r="B1586" t="str">
            <v>Total Gastos Legales</v>
          </cell>
          <cell r="C1586">
            <v>39682039</v>
          </cell>
        </row>
        <row r="1587">
          <cell r="A1587" t="str">
            <v/>
          </cell>
          <cell r="B1587" t="str">
            <v>511050. Gastos de representacion.</v>
          </cell>
          <cell r="C1587">
            <v>0</v>
          </cell>
        </row>
        <row r="1588">
          <cell r="A1588" t="str">
            <v>511050001</v>
          </cell>
          <cell r="B1588" t="str">
            <v>511050001 ADMON - GTOS REPRESENTACION</v>
          </cell>
          <cell r="C1588">
            <v>365060</v>
          </cell>
        </row>
        <row r="1589">
          <cell r="A1589" t="str">
            <v/>
          </cell>
          <cell r="B1589" t="str">
            <v>Total Gastos de representacion.</v>
          </cell>
          <cell r="C1589">
            <v>365060</v>
          </cell>
        </row>
        <row r="1590">
          <cell r="A1590" t="str">
            <v/>
          </cell>
          <cell r="B1590" t="str">
            <v>511052. Gastos de Viaje</v>
          </cell>
          <cell r="C1590">
            <v>0</v>
          </cell>
        </row>
        <row r="1591">
          <cell r="A1591" t="str">
            <v>511052001</v>
          </cell>
          <cell r="B1591" t="str">
            <v>511052001 ADMON - ALOJAMIENTO Y MANUTENCION</v>
          </cell>
          <cell r="C1591">
            <v>158650949</v>
          </cell>
        </row>
        <row r="1592">
          <cell r="A1592" t="str">
            <v>511052002</v>
          </cell>
          <cell r="B1592" t="str">
            <v>511052002 ADMON - PASAJES AEREOS</v>
          </cell>
          <cell r="C1592">
            <v>122753816</v>
          </cell>
        </row>
        <row r="1593">
          <cell r="A1593" t="str">
            <v>511052003</v>
          </cell>
          <cell r="B1593" t="str">
            <v>511052003 ADMON - PASAJES TERRESTRES</v>
          </cell>
          <cell r="C1593">
            <v>10664763</v>
          </cell>
        </row>
        <row r="1594">
          <cell r="A1594" t="str">
            <v>511052004</v>
          </cell>
          <cell r="B1594" t="str">
            <v>511052004 ADMON - OTROS GTOS DE VIAJE</v>
          </cell>
          <cell r="C1594">
            <v>25990685</v>
          </cell>
        </row>
        <row r="1595">
          <cell r="A1595" t="str">
            <v/>
          </cell>
          <cell r="B1595" t="str">
            <v>Total Gastos de Viaje</v>
          </cell>
          <cell r="C1595">
            <v>318060213</v>
          </cell>
        </row>
        <row r="1596">
          <cell r="A1596" t="str">
            <v/>
          </cell>
          <cell r="B1596" t="str">
            <v>511054. Servicios temporales</v>
          </cell>
          <cell r="C1596">
            <v>0</v>
          </cell>
        </row>
        <row r="1597">
          <cell r="A1597" t="str">
            <v>511054001</v>
          </cell>
          <cell r="B1597" t="str">
            <v>511054001 ADMON - SERVICIOS TEMPORALES</v>
          </cell>
          <cell r="C1597">
            <v>848019681</v>
          </cell>
        </row>
        <row r="1598">
          <cell r="A1598" t="str">
            <v>511054002</v>
          </cell>
          <cell r="B1598" t="str">
            <v>511054002 ADMON - SERVICIOS DE LAVANDERIA</v>
          </cell>
          <cell r="C1598">
            <v>401000</v>
          </cell>
        </row>
        <row r="1599">
          <cell r="A1599" t="str">
            <v/>
          </cell>
          <cell r="B1599" t="str">
            <v>Total Servicios temporales</v>
          </cell>
          <cell r="C1599">
            <v>848420681</v>
          </cell>
        </row>
        <row r="1600">
          <cell r="A1600" t="str">
            <v/>
          </cell>
          <cell r="B1600" t="str">
            <v>511056. Vigilancia privada</v>
          </cell>
          <cell r="C1600">
            <v>0</v>
          </cell>
        </row>
        <row r="1601">
          <cell r="A1601" t="str">
            <v>511056001</v>
          </cell>
          <cell r="B1601" t="str">
            <v>511056001 ADMON - VIGILANCIA PRIVADA</v>
          </cell>
          <cell r="C1601">
            <v>195381581</v>
          </cell>
        </row>
        <row r="1602">
          <cell r="A1602" t="str">
            <v>511056002</v>
          </cell>
          <cell r="B1602" t="str">
            <v>511056002 ADMON - MONITOREO</v>
          </cell>
          <cell r="C1602">
            <v>10218221</v>
          </cell>
        </row>
        <row r="1603">
          <cell r="A1603" t="str">
            <v/>
          </cell>
          <cell r="B1603" t="str">
            <v>Total Vigilancia privada</v>
          </cell>
          <cell r="C1603">
            <v>205599802</v>
          </cell>
        </row>
        <row r="1604">
          <cell r="A1604" t="str">
            <v/>
          </cell>
          <cell r="B1604" t="str">
            <v>511060. Cuotas de Sostenimiento</v>
          </cell>
          <cell r="C1604">
            <v>0</v>
          </cell>
        </row>
        <row r="1605">
          <cell r="A1605" t="str">
            <v>511060001</v>
          </cell>
          <cell r="B1605" t="str">
            <v>511060001 ADMON - CUOTA SOSTENIMIENTO</v>
          </cell>
          <cell r="C1605">
            <v>25760600</v>
          </cell>
        </row>
        <row r="1606">
          <cell r="A1606" t="str">
            <v/>
          </cell>
          <cell r="B1606" t="str">
            <v>Total Cuotas de Sostenimiento</v>
          </cell>
          <cell r="C1606">
            <v>25760600</v>
          </cell>
        </row>
        <row r="1607">
          <cell r="A1607" t="str">
            <v/>
          </cell>
          <cell r="B1607" t="str">
            <v>511062. Suscripciones</v>
          </cell>
          <cell r="C1607">
            <v>0</v>
          </cell>
        </row>
        <row r="1608">
          <cell r="A1608" t="str">
            <v>511062001</v>
          </cell>
          <cell r="B1608" t="str">
            <v>511062001 ADMON - LIBROS-SUSCRIPCIONES-REVISTAS</v>
          </cell>
          <cell r="C1608">
            <v>13002144</v>
          </cell>
        </row>
        <row r="1609">
          <cell r="A1609" t="str">
            <v>511062002</v>
          </cell>
          <cell r="B1609" t="str">
            <v>511062002 ADMON - OTRAS CUOTAS</v>
          </cell>
          <cell r="C1609">
            <v>1</v>
          </cell>
        </row>
        <row r="1610">
          <cell r="A1610" t="str">
            <v/>
          </cell>
          <cell r="B1610" t="str">
            <v>Total Suscripciones</v>
          </cell>
          <cell r="C1610">
            <v>13002145</v>
          </cell>
        </row>
        <row r="1611">
          <cell r="A1611" t="str">
            <v/>
          </cell>
          <cell r="B1611" t="str">
            <v>511064. Auxilios y donaciones</v>
          </cell>
          <cell r="C1611">
            <v>0</v>
          </cell>
        </row>
        <row r="1612">
          <cell r="A1612" t="str">
            <v>511064001</v>
          </cell>
          <cell r="B1612" t="str">
            <v>511064001 ADMON - AUXILIOS Y DONACIONES</v>
          </cell>
          <cell r="C1612">
            <v>39000000</v>
          </cell>
        </row>
        <row r="1613">
          <cell r="A1613" t="str">
            <v/>
          </cell>
          <cell r="B1613" t="str">
            <v>Total Auxilios y donaciones</v>
          </cell>
          <cell r="C1613">
            <v>39000000</v>
          </cell>
        </row>
        <row r="1614">
          <cell r="A1614" t="str">
            <v/>
          </cell>
          <cell r="B1614" t="str">
            <v>511066. Adecuacion E instalacion</v>
          </cell>
          <cell r="C1614">
            <v>0</v>
          </cell>
        </row>
        <row r="1615">
          <cell r="A1615" t="str">
            <v>511066011</v>
          </cell>
          <cell r="B1615" t="str">
            <v>511066011 ADMON - ADECUACION DE OFICINAS</v>
          </cell>
          <cell r="C1615">
            <v>23533468</v>
          </cell>
        </row>
        <row r="1616">
          <cell r="A1616" t="str">
            <v>511066012</v>
          </cell>
          <cell r="B1616" t="str">
            <v>511066012 ADMON - INSTALACIONES ELECTRICAS</v>
          </cell>
          <cell r="C1616">
            <v>32850</v>
          </cell>
        </row>
        <row r="1617">
          <cell r="A1617" t="str">
            <v/>
          </cell>
          <cell r="B1617" t="str">
            <v>Total Adecuacion E instalacion</v>
          </cell>
          <cell r="C1617">
            <v>23566318</v>
          </cell>
        </row>
        <row r="1618">
          <cell r="A1618" t="str">
            <v/>
          </cell>
          <cell r="B1618" t="str">
            <v>511070. Gastos de Fondo de educacion.</v>
          </cell>
          <cell r="C1618">
            <v>0</v>
          </cell>
        </row>
        <row r="1619">
          <cell r="A1619" t="str">
            <v>511070001</v>
          </cell>
          <cell r="B1619" t="str">
            <v>511070001 ADMON - FONDO DE EDUCACION</v>
          </cell>
          <cell r="C1619">
            <v>13791146</v>
          </cell>
        </row>
        <row r="1620">
          <cell r="A1620" t="str">
            <v/>
          </cell>
          <cell r="B1620" t="str">
            <v>Total Gastos de Fondo de educacion.</v>
          </cell>
          <cell r="C1620">
            <v>13791146</v>
          </cell>
        </row>
        <row r="1621">
          <cell r="A1621" t="str">
            <v/>
          </cell>
          <cell r="B1621" t="str">
            <v>511072. Gastos de Fondo de solidaridad</v>
          </cell>
          <cell r="C1621">
            <v>0</v>
          </cell>
        </row>
        <row r="1622">
          <cell r="A1622" t="str">
            <v>511072001</v>
          </cell>
          <cell r="B1622" t="str">
            <v>511072001 ADMON - FONDO SOLIDARIDAD</v>
          </cell>
          <cell r="C1622">
            <v>1822661</v>
          </cell>
        </row>
        <row r="1623">
          <cell r="A1623" t="str">
            <v/>
          </cell>
          <cell r="B1623" t="str">
            <v>Total Gastos de Fondo de solidaridad</v>
          </cell>
          <cell r="C1623">
            <v>1822661</v>
          </cell>
        </row>
        <row r="1624">
          <cell r="A1624" t="str">
            <v/>
          </cell>
          <cell r="B1624" t="str">
            <v>511080. Gastos otros fondos</v>
          </cell>
          <cell r="C1624">
            <v>0</v>
          </cell>
        </row>
        <row r="1625">
          <cell r="A1625" t="str">
            <v>511080001</v>
          </cell>
          <cell r="B1625" t="str">
            <v>511080001 ADMON - FOND.BIENESTAR RECREAC.DEPORT.</v>
          </cell>
          <cell r="C1625">
            <v>37920798</v>
          </cell>
        </row>
        <row r="1626">
          <cell r="A1626" t="str">
            <v/>
          </cell>
          <cell r="B1626" t="str">
            <v>Total Gastos otros fondos</v>
          </cell>
          <cell r="C1626">
            <v>37920798</v>
          </cell>
        </row>
        <row r="1627">
          <cell r="A1627" t="str">
            <v/>
          </cell>
          <cell r="B1627" t="str">
            <v>511095. Gastos Varios</v>
          </cell>
          <cell r="C1627">
            <v>0</v>
          </cell>
        </row>
        <row r="1628">
          <cell r="A1628" t="str">
            <v>511095001</v>
          </cell>
          <cell r="B1628" t="str">
            <v>511095001 ADMON - SOFTWARE - LICENCIAS</v>
          </cell>
          <cell r="C1628">
            <v>6035254</v>
          </cell>
        </row>
        <row r="1629">
          <cell r="A1629" t="str">
            <v>511095002</v>
          </cell>
          <cell r="B1629" t="str">
            <v>511095002 ADMON - TAXIS Y BUSES  AYC</v>
          </cell>
          <cell r="C1629">
            <v>0</v>
          </cell>
        </row>
        <row r="1630">
          <cell r="A1630" t="str">
            <v>511095009</v>
          </cell>
          <cell r="B1630" t="str">
            <v>511095009 ADMON - COMUNICACION ELECTRONICA DATOS AYC</v>
          </cell>
          <cell r="C1630">
            <v>6760632</v>
          </cell>
        </row>
        <row r="1631">
          <cell r="A1631" t="str">
            <v>511095011</v>
          </cell>
          <cell r="B1631" t="str">
            <v>511095011 ADMON - BEEPER</v>
          </cell>
          <cell r="C1631">
            <v>1195256</v>
          </cell>
        </row>
        <row r="1632">
          <cell r="A1632" t="str">
            <v>511095012</v>
          </cell>
          <cell r="B1632" t="str">
            <v>511095012 ADMON - TAXIS Y BUSES</v>
          </cell>
          <cell r="C1632">
            <v>150758807</v>
          </cell>
        </row>
        <row r="1633">
          <cell r="A1633" t="str">
            <v>511095013</v>
          </cell>
          <cell r="B1633" t="str">
            <v>511095013 ADMON - COMBUSTIBLES Y LUBRICANTES</v>
          </cell>
          <cell r="C1633">
            <v>4654104</v>
          </cell>
        </row>
        <row r="1634">
          <cell r="A1634" t="str">
            <v>511095014</v>
          </cell>
          <cell r="B1634" t="str">
            <v>511095014 ADMON - PARQUEADEROS</v>
          </cell>
          <cell r="C1634">
            <v>6866643</v>
          </cell>
        </row>
        <row r="1635">
          <cell r="A1635" t="str">
            <v>511095015</v>
          </cell>
          <cell r="B1635" t="str">
            <v>511095015 ADMON - TIMBRES Y REGISTROS</v>
          </cell>
          <cell r="C1635">
            <v>175560</v>
          </cell>
        </row>
        <row r="1636">
          <cell r="A1636" t="str">
            <v>511095016</v>
          </cell>
          <cell r="B1636" t="str">
            <v>511095016 ADMON - ATENCION ASOCIADOS</v>
          </cell>
          <cell r="C1636">
            <v>26421794</v>
          </cell>
        </row>
        <row r="1637">
          <cell r="A1637" t="str">
            <v>511095017</v>
          </cell>
          <cell r="B1637" t="str">
            <v>511095017 ADMON - SERVICIO DE INTERNET</v>
          </cell>
          <cell r="C1637">
            <v>22331790</v>
          </cell>
        </row>
        <row r="1638">
          <cell r="A1638" t="str">
            <v>511095018</v>
          </cell>
          <cell r="B1638" t="str">
            <v>511095018 ADMON - MUSICA AMBIENTAL</v>
          </cell>
          <cell r="C1638">
            <v>1124181</v>
          </cell>
        </row>
        <row r="1639">
          <cell r="A1639" t="str">
            <v>511095019</v>
          </cell>
          <cell r="B1639" t="str">
            <v>511095019 ADMON - COMUNICACION ELECTRONICA DATOS</v>
          </cell>
          <cell r="C1639">
            <v>1384431</v>
          </cell>
        </row>
        <row r="1640">
          <cell r="A1640" t="str">
            <v>511095020</v>
          </cell>
          <cell r="B1640" t="str">
            <v>511095020 ADMON - CAPACITACION ASOCIADOS</v>
          </cell>
          <cell r="C1640">
            <v>21302863</v>
          </cell>
        </row>
        <row r="1641">
          <cell r="A1641" t="str">
            <v>511095021</v>
          </cell>
          <cell r="B1641" t="str">
            <v>511095021 ADMON - SERVICIO SATELITAL</v>
          </cell>
          <cell r="C1641">
            <v>73216500</v>
          </cell>
        </row>
        <row r="1642">
          <cell r="A1642" t="str">
            <v>511095022</v>
          </cell>
          <cell r="B1642" t="str">
            <v>511095022 ADMON - SERVICIOS ORNAMENTALES</v>
          </cell>
          <cell r="C1642">
            <v>20000</v>
          </cell>
        </row>
        <row r="1643">
          <cell r="A1643" t="str">
            <v>511095026</v>
          </cell>
          <cell r="B1643" t="str">
            <v>511095026 ADMON - LAVANDERIA</v>
          </cell>
          <cell r="C1643">
            <v>1544380</v>
          </cell>
        </row>
        <row r="1644">
          <cell r="A1644" t="str">
            <v>511095090</v>
          </cell>
          <cell r="B1644" t="str">
            <v>511095090 ADMON - OTROS SERVICIOS</v>
          </cell>
          <cell r="C1644">
            <v>18160007</v>
          </cell>
        </row>
        <row r="1645">
          <cell r="A1645" t="str">
            <v>511095099</v>
          </cell>
          <cell r="B1645" t="str">
            <v>511095099 ADMON - OTROS GASTOS GENERALES DE ADMON</v>
          </cell>
          <cell r="C1645">
            <v>157378319</v>
          </cell>
        </row>
        <row r="1646">
          <cell r="A1646" t="str">
            <v>511095199</v>
          </cell>
          <cell r="B1646" t="str">
            <v>511095199 ADMON -  GASTOS DE PARTICIPACION DE AYC</v>
          </cell>
          <cell r="C1646">
            <v>0</v>
          </cell>
        </row>
        <row r="1647">
          <cell r="A1647" t="str">
            <v/>
          </cell>
          <cell r="B1647" t="str">
            <v>Total Gastos Varios</v>
          </cell>
          <cell r="C1647">
            <v>499330521</v>
          </cell>
        </row>
        <row r="1648">
          <cell r="A1648" t="str">
            <v/>
          </cell>
          <cell r="B1648" t="str">
            <v>Total 5110 Gastos generales</v>
          </cell>
          <cell r="C1648">
            <v>4789084142</v>
          </cell>
        </row>
        <row r="1649">
          <cell r="A1649" t="str">
            <v/>
          </cell>
          <cell r="B1649" t="str">
            <v>5115. Provisiones</v>
          </cell>
          <cell r="C1649">
            <v>0</v>
          </cell>
        </row>
        <row r="1650">
          <cell r="A1650" t="str">
            <v/>
          </cell>
          <cell r="B1650" t="str">
            <v>511510. Creditos Comerciales</v>
          </cell>
          <cell r="C1650">
            <v>0</v>
          </cell>
        </row>
        <row r="1651">
          <cell r="A1651" t="str">
            <v>511510001</v>
          </cell>
          <cell r="B1651" t="str">
            <v>511510001 ADMON - PROVISION CREDITOS DE CARTERA</v>
          </cell>
          <cell r="C1651">
            <v>10002019</v>
          </cell>
        </row>
        <row r="1652">
          <cell r="A1652" t="str">
            <v/>
          </cell>
          <cell r="B1652" t="str">
            <v>Total Creditos Comerciales</v>
          </cell>
          <cell r="C1652">
            <v>10002019</v>
          </cell>
        </row>
        <row r="1653">
          <cell r="A1653" t="str">
            <v/>
          </cell>
          <cell r="B1653" t="str">
            <v>511515. Creditos de Consumo</v>
          </cell>
          <cell r="C1653">
            <v>0</v>
          </cell>
        </row>
        <row r="1654">
          <cell r="A1654" t="str">
            <v>511515001</v>
          </cell>
          <cell r="B1654" t="str">
            <v>511515001 ADMON - PROVISION CREDITOS DE CONSUMO AYC</v>
          </cell>
          <cell r="C1654">
            <v>10475412</v>
          </cell>
        </row>
        <row r="1655">
          <cell r="A1655" t="str">
            <v/>
          </cell>
          <cell r="B1655" t="str">
            <v>Total Creditos de Consumo</v>
          </cell>
          <cell r="C1655">
            <v>10475412</v>
          </cell>
        </row>
        <row r="1656">
          <cell r="A1656" t="str">
            <v/>
          </cell>
          <cell r="B1656" t="str">
            <v>511524. Provision general de cartera</v>
          </cell>
          <cell r="C1656">
            <v>0</v>
          </cell>
        </row>
        <row r="1657">
          <cell r="A1657" t="str">
            <v>511524001</v>
          </cell>
          <cell r="B1657" t="str">
            <v>511524001 ADMON - PROVISION GENERAL DE CARTERA AYC</v>
          </cell>
          <cell r="C1657">
            <v>56281035</v>
          </cell>
        </row>
        <row r="1658">
          <cell r="A1658" t="str">
            <v/>
          </cell>
          <cell r="B1658" t="str">
            <v>Total Provision general de cartera</v>
          </cell>
          <cell r="C1658">
            <v>56281035</v>
          </cell>
        </row>
        <row r="1659">
          <cell r="A1659" t="str">
            <v/>
          </cell>
          <cell r="B1659" t="str">
            <v>511525. Cartera Por venta bienes</v>
          </cell>
          <cell r="C1659">
            <v>0</v>
          </cell>
        </row>
        <row r="1660">
          <cell r="A1660" t="str">
            <v>511525001</v>
          </cell>
          <cell r="B1660" t="str">
            <v>511525001 ADMON - PROVISION CART.POR VTA DE BIENES</v>
          </cell>
          <cell r="C1660">
            <v>16935605</v>
          </cell>
        </row>
        <row r="1661">
          <cell r="A1661" t="str">
            <v/>
          </cell>
          <cell r="B1661" t="str">
            <v>Total Cartera Por venta bienes</v>
          </cell>
          <cell r="C1661">
            <v>16935605</v>
          </cell>
        </row>
        <row r="1662">
          <cell r="A1662" t="str">
            <v/>
          </cell>
          <cell r="B1662" t="str">
            <v>511530. Cuentas Por cobrar</v>
          </cell>
          <cell r="C1662">
            <v>0</v>
          </cell>
        </row>
        <row r="1663">
          <cell r="A1663" t="str">
            <v>511530001</v>
          </cell>
          <cell r="B1663" t="str">
            <v>511530001 ADMON - PROVISION CUENTAS POR COBRAR AYC</v>
          </cell>
          <cell r="C1663">
            <v>972798</v>
          </cell>
        </row>
        <row r="1664">
          <cell r="A1664" t="str">
            <v/>
          </cell>
          <cell r="B1664" t="str">
            <v>Total Cuentas Por cobrar</v>
          </cell>
          <cell r="C1664">
            <v>972798</v>
          </cell>
        </row>
        <row r="1665">
          <cell r="A1665" t="str">
            <v/>
          </cell>
          <cell r="B1665" t="str">
            <v>511535. Inventarios</v>
          </cell>
          <cell r="C1665">
            <v>0</v>
          </cell>
        </row>
        <row r="1666">
          <cell r="A1666" t="str">
            <v>511535002</v>
          </cell>
          <cell r="B1666" t="str">
            <v>511535002 ADMON - PROVISION PARA INVENTARIOS PARA DESGUASE</v>
          </cell>
          <cell r="C1666">
            <v>11500000</v>
          </cell>
        </row>
        <row r="1667">
          <cell r="A1667" t="str">
            <v/>
          </cell>
          <cell r="B1667" t="str">
            <v>Total Inventarios</v>
          </cell>
          <cell r="C1667">
            <v>11500000</v>
          </cell>
        </row>
        <row r="1668">
          <cell r="A1668" t="str">
            <v/>
          </cell>
          <cell r="B1668" t="str">
            <v>Total 5115 Provisiones</v>
          </cell>
          <cell r="C1668">
            <v>106166869</v>
          </cell>
        </row>
        <row r="1669">
          <cell r="A1669" t="str">
            <v/>
          </cell>
          <cell r="B1669" t="str">
            <v>5120. Amortizacion y agotamiento</v>
          </cell>
          <cell r="C1669">
            <v>0</v>
          </cell>
        </row>
        <row r="1670">
          <cell r="A1670" t="str">
            <v/>
          </cell>
          <cell r="B1670" t="str">
            <v>512010. Cargos Diferidos</v>
          </cell>
          <cell r="C1670">
            <v>0</v>
          </cell>
        </row>
        <row r="1671">
          <cell r="A1671" t="str">
            <v>512010004</v>
          </cell>
          <cell r="B1671" t="str">
            <v>512010004 ADMON - DIFER.PROGR. PARA COMPUTADOR</v>
          </cell>
          <cell r="C1671">
            <v>850684000</v>
          </cell>
        </row>
        <row r="1672">
          <cell r="A1672" t="str">
            <v>512010008</v>
          </cell>
          <cell r="B1672" t="str">
            <v>512010008 ADMON - MEJORA PROPIED.TOMADA ARRIENDO</v>
          </cell>
          <cell r="C1672">
            <v>0</v>
          </cell>
        </row>
        <row r="1673">
          <cell r="A1673" t="str">
            <v/>
          </cell>
          <cell r="B1673" t="str">
            <v>Total Cargos Diferidos</v>
          </cell>
          <cell r="C1673">
            <v>850684000</v>
          </cell>
        </row>
        <row r="1674">
          <cell r="A1674" t="str">
            <v/>
          </cell>
          <cell r="B1674" t="str">
            <v>512095. Otras</v>
          </cell>
          <cell r="C1674">
            <v>0</v>
          </cell>
        </row>
        <row r="1675">
          <cell r="A1675" t="str">
            <v>512095000</v>
          </cell>
          <cell r="B1675" t="str">
            <v>512095000 ADMON - AMORT. MUEBLES Y ENSERES COMODATO</v>
          </cell>
          <cell r="C1675">
            <v>4382454</v>
          </cell>
        </row>
        <row r="1676">
          <cell r="A1676" t="str">
            <v>512095010</v>
          </cell>
          <cell r="B1676" t="str">
            <v>512095010 ADMON - AMORT. EQ. COMPUTO COMODATO</v>
          </cell>
          <cell r="C1676">
            <v>344520</v>
          </cell>
        </row>
        <row r="1677">
          <cell r="A1677" t="str">
            <v/>
          </cell>
          <cell r="B1677" t="str">
            <v>Total Otras</v>
          </cell>
          <cell r="C1677">
            <v>4726974</v>
          </cell>
        </row>
        <row r="1678">
          <cell r="A1678" t="str">
            <v/>
          </cell>
          <cell r="B1678" t="str">
            <v>Total 5120 Amortizacion y agotamiento</v>
          </cell>
          <cell r="C1678">
            <v>855410974</v>
          </cell>
        </row>
        <row r="1679">
          <cell r="A1679" t="str">
            <v/>
          </cell>
          <cell r="B1679" t="str">
            <v>5125. Depreciaciones</v>
          </cell>
          <cell r="C1679">
            <v>0</v>
          </cell>
        </row>
        <row r="1680">
          <cell r="A1680" t="str">
            <v/>
          </cell>
          <cell r="B1680" t="str">
            <v>512515. Edificaciones</v>
          </cell>
          <cell r="C1680">
            <v>0</v>
          </cell>
        </row>
        <row r="1681">
          <cell r="A1681" t="str">
            <v>512515001</v>
          </cell>
          <cell r="B1681" t="str">
            <v>512515001 ADMON - DEPRECIACION EDIFICIOS BOGOTA</v>
          </cell>
          <cell r="C1681">
            <v>175214391</v>
          </cell>
        </row>
        <row r="1682">
          <cell r="A1682" t="str">
            <v/>
          </cell>
          <cell r="B1682" t="str">
            <v>Total Edificaciones</v>
          </cell>
          <cell r="C1682">
            <v>175214391</v>
          </cell>
        </row>
        <row r="1683">
          <cell r="A1683" t="str">
            <v/>
          </cell>
          <cell r="B1683" t="str">
            <v>512520. Muebles y equipo de Oficina</v>
          </cell>
          <cell r="C1683">
            <v>0</v>
          </cell>
        </row>
        <row r="1684">
          <cell r="A1684" t="str">
            <v>512520001</v>
          </cell>
          <cell r="B1684" t="str">
            <v>512520001 ADMON - DEPRECIACION EQUIPO.DE OFICINA</v>
          </cell>
          <cell r="C1684">
            <v>14462723</v>
          </cell>
        </row>
        <row r="1685">
          <cell r="A1685" t="str">
            <v>512520002</v>
          </cell>
          <cell r="B1685" t="str">
            <v>512520002 ADMON - DEPRE.EQUIPO DE OFICINA 100% ANO</v>
          </cell>
          <cell r="C1685">
            <v>57805</v>
          </cell>
        </row>
        <row r="1686">
          <cell r="A1686" t="str">
            <v>512520003</v>
          </cell>
          <cell r="B1686" t="str">
            <v>512520003 ADMON - DEPRECIACION  MUEBLES</v>
          </cell>
          <cell r="C1686">
            <v>38430508</v>
          </cell>
        </row>
        <row r="1687">
          <cell r="A1687" t="str">
            <v>512520004</v>
          </cell>
          <cell r="B1687" t="str">
            <v>512520004 ADMON - DEPRE.MUEBLES.100% MISMO ANO</v>
          </cell>
          <cell r="C1687">
            <v>375483</v>
          </cell>
        </row>
        <row r="1688">
          <cell r="A1688" t="str">
            <v/>
          </cell>
          <cell r="B1688" t="str">
            <v>Total Muebles y equipo de Oficina</v>
          </cell>
          <cell r="C1688">
            <v>53326519</v>
          </cell>
        </row>
        <row r="1689">
          <cell r="A1689" t="str">
            <v/>
          </cell>
          <cell r="B1689" t="str">
            <v>512525. Equipo de computo y Comunicaciones</v>
          </cell>
          <cell r="C1689">
            <v>0</v>
          </cell>
        </row>
        <row r="1690">
          <cell r="A1690" t="str">
            <v>512525001</v>
          </cell>
          <cell r="B1690" t="str">
            <v>512525001 ADMON - DEPRE. EQUIPO DE COMPUTO AYC</v>
          </cell>
          <cell r="C1690">
            <v>4744132</v>
          </cell>
        </row>
        <row r="1691">
          <cell r="A1691" t="str">
            <v>512525011</v>
          </cell>
          <cell r="B1691" t="str">
            <v>512525011 ADMON - DEPRE. EQUIPO DE COMPUTO</v>
          </cell>
          <cell r="C1691">
            <v>383467371</v>
          </cell>
        </row>
        <row r="1692">
          <cell r="A1692" t="str">
            <v>512525013</v>
          </cell>
          <cell r="B1692" t="str">
            <v>512525013 ADMON - DEPRE. EQUIPO COMUNICACION</v>
          </cell>
          <cell r="C1692">
            <v>45157088</v>
          </cell>
        </row>
        <row r="1693">
          <cell r="A1693" t="str">
            <v>512525014</v>
          </cell>
          <cell r="B1693" t="str">
            <v>512525014 ADMON - DEPRE. LINEAS TELEFONICAS</v>
          </cell>
          <cell r="C1693">
            <v>65114</v>
          </cell>
        </row>
        <row r="1694">
          <cell r="A1694" t="str">
            <v/>
          </cell>
          <cell r="B1694" t="str">
            <v>Total Equipo de computo y Comunicaciones</v>
          </cell>
          <cell r="C1694">
            <v>433433705</v>
          </cell>
        </row>
        <row r="1695">
          <cell r="A1695" t="str">
            <v/>
          </cell>
          <cell r="B1695" t="str">
            <v>512532.  Envases y Empaques</v>
          </cell>
          <cell r="C1695">
            <v>0</v>
          </cell>
        </row>
        <row r="1696">
          <cell r="A1696" t="str">
            <v>512532002</v>
          </cell>
          <cell r="B1696" t="str">
            <v>512532002 ADMON - DEPRE. ENVASES Y EMPAQUES (CANASTAS)</v>
          </cell>
          <cell r="C1696">
            <v>82985173</v>
          </cell>
        </row>
        <row r="1697">
          <cell r="A1697" t="str">
            <v/>
          </cell>
          <cell r="B1697" t="str">
            <v>Total  Envases y Empaques</v>
          </cell>
          <cell r="C1697">
            <v>82985173</v>
          </cell>
        </row>
        <row r="1698">
          <cell r="A1698" t="str">
            <v/>
          </cell>
          <cell r="B1698" t="str">
            <v>512545. Maquinaria Y equipo</v>
          </cell>
          <cell r="C1698">
            <v>0</v>
          </cell>
        </row>
        <row r="1699">
          <cell r="A1699" t="str">
            <v>512545001</v>
          </cell>
          <cell r="B1699" t="str">
            <v>512545001 ADMON - DEPRE.EQUIPO</v>
          </cell>
          <cell r="C1699">
            <v>23691473</v>
          </cell>
        </row>
        <row r="1700">
          <cell r="A1700" t="str">
            <v>512545006</v>
          </cell>
          <cell r="B1700" t="str">
            <v>512545006 ADMON - DEPRE. MAQUINARIA</v>
          </cell>
          <cell r="C1700">
            <v>172742219</v>
          </cell>
        </row>
        <row r="1701">
          <cell r="A1701" t="str">
            <v/>
          </cell>
          <cell r="B1701" t="str">
            <v>Total Maquinaria Y equipo</v>
          </cell>
          <cell r="C1701">
            <v>196433692</v>
          </cell>
        </row>
        <row r="1702">
          <cell r="A1702" t="str">
            <v/>
          </cell>
          <cell r="B1702" t="str">
            <v>Total 5125 Depreciaciones</v>
          </cell>
          <cell r="C1702">
            <v>941393480</v>
          </cell>
        </row>
        <row r="1703">
          <cell r="A1703" t="str">
            <v/>
          </cell>
          <cell r="B1703" t="str">
            <v>5140. Gastos Financieros</v>
          </cell>
          <cell r="C1703">
            <v>0</v>
          </cell>
        </row>
        <row r="1704">
          <cell r="A1704" t="str">
            <v/>
          </cell>
          <cell r="B1704" t="str">
            <v>514005. Gastos Bancarios</v>
          </cell>
          <cell r="C1704">
            <v>0</v>
          </cell>
        </row>
        <row r="1705">
          <cell r="A1705" t="str">
            <v>514005001</v>
          </cell>
          <cell r="B1705" t="str">
            <v>514005001 ADMON - INT.,CHEQUERAS,SOBGIROS</v>
          </cell>
          <cell r="C1705">
            <v>364815</v>
          </cell>
        </row>
        <row r="1706">
          <cell r="A1706" t="str">
            <v>514005006</v>
          </cell>
          <cell r="B1706" t="str">
            <v>514005006 ADMON - INT.,CHEQUERAS,SOBGIROS AYC</v>
          </cell>
          <cell r="C1706">
            <v>4042801</v>
          </cell>
        </row>
        <row r="1707">
          <cell r="A1707" t="str">
            <v/>
          </cell>
          <cell r="B1707" t="str">
            <v>Total Gastos Bancarios</v>
          </cell>
          <cell r="C1707">
            <v>4407616</v>
          </cell>
        </row>
        <row r="1708">
          <cell r="A1708" t="str">
            <v/>
          </cell>
          <cell r="B1708" t="str">
            <v>514015. Comisiones</v>
          </cell>
          <cell r="C1708">
            <v>0</v>
          </cell>
        </row>
        <row r="1709">
          <cell r="A1709" t="str">
            <v>514015001</v>
          </cell>
          <cell r="B1709" t="str">
            <v>514015001 ADMON - COMISIONES,PORTES Y OTROS GASTOS BANCARIOS</v>
          </cell>
          <cell r="C1709">
            <v>233761638</v>
          </cell>
        </row>
        <row r="1710">
          <cell r="A1710" t="str">
            <v>514015006</v>
          </cell>
          <cell r="B1710" t="str">
            <v>514015006 ADMON - COMISIONES AYC</v>
          </cell>
          <cell r="C1710">
            <v>55769542</v>
          </cell>
        </row>
        <row r="1711">
          <cell r="A1711" t="str">
            <v/>
          </cell>
          <cell r="B1711" t="str">
            <v>Total Comisiones</v>
          </cell>
          <cell r="C1711">
            <v>289531180</v>
          </cell>
        </row>
        <row r="1712">
          <cell r="A1712" t="str">
            <v/>
          </cell>
          <cell r="B1712" t="str">
            <v>514025. Diferencia en cambio</v>
          </cell>
          <cell r="C1712">
            <v>0</v>
          </cell>
        </row>
        <row r="1713">
          <cell r="A1713" t="str">
            <v>514025001</v>
          </cell>
          <cell r="B1713" t="str">
            <v>514025001 ADMON - DIFERENCIA EN CAMBIO</v>
          </cell>
          <cell r="C1713">
            <v>0</v>
          </cell>
        </row>
        <row r="1714">
          <cell r="A1714" t="str">
            <v>514025002</v>
          </cell>
          <cell r="B1714" t="str">
            <v>514025002 ADMON - DIFERENCIA EN CAMBIO PARA BANCOS</v>
          </cell>
          <cell r="C1714">
            <v>0</v>
          </cell>
        </row>
        <row r="1715">
          <cell r="A1715" t="str">
            <v/>
          </cell>
          <cell r="B1715" t="str">
            <v>Diferencia en cambio</v>
          </cell>
          <cell r="C1715">
            <v>0</v>
          </cell>
        </row>
        <row r="1716">
          <cell r="A1716" t="str">
            <v>514052001</v>
          </cell>
          <cell r="B1716" t="str">
            <v>514052001 ADMON - PERDIDA EN FONDO DE INVERSION A Y C</v>
          </cell>
          <cell r="C1716">
            <v>1456139</v>
          </cell>
        </row>
        <row r="1717">
          <cell r="A1717" t="str">
            <v/>
          </cell>
          <cell r="B1717" t="str">
            <v/>
          </cell>
          <cell r="C1717">
            <v>1456139</v>
          </cell>
        </row>
        <row r="1718">
          <cell r="A1718" t="str">
            <v/>
          </cell>
          <cell r="B1718" t="str">
            <v/>
          </cell>
          <cell r="C1718">
            <v>1456139</v>
          </cell>
        </row>
        <row r="1719">
          <cell r="A1719" t="str">
            <v/>
          </cell>
          <cell r="B1719" t="str">
            <v>514095. Otros</v>
          </cell>
          <cell r="C1719">
            <v>0</v>
          </cell>
        </row>
        <row r="1720">
          <cell r="A1720" t="str">
            <v>514095001</v>
          </cell>
          <cell r="B1720" t="str">
            <v>514095001 ADMON - DTO CONCED.A ASOC. POR INGRESO</v>
          </cell>
          <cell r="C1720">
            <v>52194700</v>
          </cell>
        </row>
        <row r="1721">
          <cell r="A1721" t="str">
            <v/>
          </cell>
          <cell r="B1721" t="str">
            <v>Total Otros</v>
          </cell>
          <cell r="C1721">
            <v>52194700</v>
          </cell>
        </row>
        <row r="1722">
          <cell r="A1722" t="str">
            <v/>
          </cell>
          <cell r="B1722" t="str">
            <v>Total 5140 Gastos Financieros</v>
          </cell>
          <cell r="C1722">
            <v>347589635</v>
          </cell>
        </row>
        <row r="1723">
          <cell r="A1723" t="str">
            <v/>
          </cell>
          <cell r="B1723" t="str">
            <v>Total  51. Gastos de administracion</v>
          </cell>
          <cell r="C1723">
            <v>12839815905</v>
          </cell>
        </row>
        <row r="1724">
          <cell r="A1724" t="str">
            <v/>
          </cell>
          <cell r="B1724" t="str">
            <v>52. Gastos de ventas</v>
          </cell>
          <cell r="C1724">
            <v>0</v>
          </cell>
        </row>
        <row r="1725">
          <cell r="A1725" t="str">
            <v/>
          </cell>
          <cell r="B1725" t="str">
            <v>5205. Gastos Personal</v>
          </cell>
          <cell r="C1725">
            <v>0</v>
          </cell>
        </row>
        <row r="1726">
          <cell r="A1726" t="str">
            <v/>
          </cell>
          <cell r="B1726" t="str">
            <v>520503. Salario Integral</v>
          </cell>
          <cell r="C1726">
            <v>0</v>
          </cell>
        </row>
        <row r="1727">
          <cell r="A1727" t="str">
            <v>520503001</v>
          </cell>
          <cell r="B1727" t="str">
            <v>520503001 VTAS - SALARIO INTEGRAL</v>
          </cell>
          <cell r="C1727">
            <v>340347999</v>
          </cell>
        </row>
        <row r="1728">
          <cell r="A1728" t="str">
            <v/>
          </cell>
          <cell r="B1728" t="str">
            <v>Total Salario Integral</v>
          </cell>
          <cell r="C1728">
            <v>340347999</v>
          </cell>
        </row>
        <row r="1729">
          <cell r="A1729" t="str">
            <v/>
          </cell>
          <cell r="B1729" t="str">
            <v>520506. Sueldos</v>
          </cell>
          <cell r="C1729">
            <v>0</v>
          </cell>
        </row>
        <row r="1730">
          <cell r="A1730" t="str">
            <v>520506001</v>
          </cell>
          <cell r="B1730" t="str">
            <v>520506001 VTAS - SUELDOS</v>
          </cell>
          <cell r="C1730">
            <v>852700571</v>
          </cell>
        </row>
        <row r="1731">
          <cell r="A1731" t="str">
            <v/>
          </cell>
          <cell r="B1731" t="str">
            <v>Total Sueldos</v>
          </cell>
          <cell r="C1731">
            <v>852700571</v>
          </cell>
        </row>
        <row r="1732">
          <cell r="A1732" t="str">
            <v/>
          </cell>
          <cell r="B1732" t="str">
            <v>520515. Horas extras y recargos</v>
          </cell>
          <cell r="C1732">
            <v>0</v>
          </cell>
        </row>
        <row r="1733">
          <cell r="A1733" t="str">
            <v>520515001</v>
          </cell>
          <cell r="B1733" t="str">
            <v>520515001 VTAS - HORAS EXTRAS</v>
          </cell>
          <cell r="C1733">
            <v>35458568</v>
          </cell>
        </row>
        <row r="1734">
          <cell r="A1734" t="str">
            <v/>
          </cell>
          <cell r="B1734" t="str">
            <v>Total Horas extras y recargos</v>
          </cell>
          <cell r="C1734">
            <v>35458568</v>
          </cell>
        </row>
        <row r="1735">
          <cell r="A1735" t="str">
            <v/>
          </cell>
          <cell r="B1735" t="str">
            <v>520518. Comisiones</v>
          </cell>
          <cell r="C1735">
            <v>0</v>
          </cell>
        </row>
        <row r="1736">
          <cell r="A1736" t="str">
            <v>520518001</v>
          </cell>
          <cell r="B1736" t="str">
            <v>520518001 VTAS - COMISIONES</v>
          </cell>
          <cell r="C1736">
            <v>338785817</v>
          </cell>
        </row>
        <row r="1737">
          <cell r="A1737" t="str">
            <v/>
          </cell>
          <cell r="B1737" t="str">
            <v>Total Comisiones</v>
          </cell>
          <cell r="C1737">
            <v>338785817</v>
          </cell>
        </row>
        <row r="1738">
          <cell r="A1738" t="str">
            <v/>
          </cell>
          <cell r="B1738" t="str">
            <v>520524. Incapacidades</v>
          </cell>
          <cell r="C1738">
            <v>0</v>
          </cell>
        </row>
        <row r="1739">
          <cell r="A1739" t="str">
            <v>520524001</v>
          </cell>
          <cell r="B1739" t="str">
            <v>520524001 VTAS - INCAPACIDADES</v>
          </cell>
          <cell r="C1739">
            <v>6549423</v>
          </cell>
        </row>
        <row r="1740">
          <cell r="A1740" t="str">
            <v/>
          </cell>
          <cell r="B1740" t="str">
            <v>Total  Incapacidades</v>
          </cell>
          <cell r="C1740">
            <v>6549423</v>
          </cell>
        </row>
        <row r="1741">
          <cell r="A1741" t="str">
            <v/>
          </cell>
          <cell r="B1741" t="str">
            <v>520527. Auxilio de transporte</v>
          </cell>
          <cell r="C1741">
            <v>0</v>
          </cell>
        </row>
        <row r="1742">
          <cell r="A1742" t="str">
            <v>520527001</v>
          </cell>
          <cell r="B1742" t="str">
            <v>520527001 VTAS - AUXILIO DE TRASPORTE</v>
          </cell>
          <cell r="C1742">
            <v>24257422</v>
          </cell>
        </row>
        <row r="1743">
          <cell r="A1743" t="str">
            <v/>
          </cell>
          <cell r="B1743" t="str">
            <v>Total Auxilio de transporte</v>
          </cell>
          <cell r="C1743">
            <v>24257422</v>
          </cell>
        </row>
        <row r="1744">
          <cell r="A1744" t="str">
            <v/>
          </cell>
          <cell r="B1744" t="str">
            <v>520530. Cesantias</v>
          </cell>
          <cell r="C1744">
            <v>0</v>
          </cell>
        </row>
        <row r="1745">
          <cell r="A1745" t="str">
            <v>520530001</v>
          </cell>
          <cell r="B1745" t="str">
            <v>520530001 VTAS - CESANTIAS</v>
          </cell>
          <cell r="C1745">
            <v>113129780</v>
          </cell>
        </row>
        <row r="1746">
          <cell r="A1746" t="str">
            <v/>
          </cell>
          <cell r="B1746" t="str">
            <v>Total Cesantias</v>
          </cell>
          <cell r="C1746">
            <v>113129780</v>
          </cell>
        </row>
        <row r="1747">
          <cell r="A1747" t="str">
            <v/>
          </cell>
          <cell r="B1747" t="str">
            <v>520533. Intereses sobre cesantias</v>
          </cell>
          <cell r="C1747">
            <v>0</v>
          </cell>
        </row>
        <row r="1748">
          <cell r="A1748" t="str">
            <v>520533001</v>
          </cell>
          <cell r="B1748" t="str">
            <v>520533001 VTAS - INTER/CESANTIAS</v>
          </cell>
          <cell r="C1748">
            <v>10332469</v>
          </cell>
        </row>
        <row r="1749">
          <cell r="A1749" t="str">
            <v/>
          </cell>
          <cell r="B1749" t="str">
            <v>Total Intereses sobre cesantias</v>
          </cell>
          <cell r="C1749">
            <v>10332469</v>
          </cell>
        </row>
        <row r="1750">
          <cell r="A1750" t="str">
            <v/>
          </cell>
          <cell r="B1750" t="str">
            <v>520536. Prima de Servicios</v>
          </cell>
          <cell r="C1750">
            <v>0</v>
          </cell>
        </row>
        <row r="1751">
          <cell r="A1751" t="str">
            <v>520536001</v>
          </cell>
          <cell r="B1751" t="str">
            <v>520536001 VTAS - PRIMA DE SERVICIOS</v>
          </cell>
          <cell r="C1751">
            <v>109888778</v>
          </cell>
        </row>
        <row r="1752">
          <cell r="A1752" t="str">
            <v/>
          </cell>
          <cell r="B1752" t="str">
            <v>Total Prima de Servicios</v>
          </cell>
          <cell r="C1752">
            <v>109888778</v>
          </cell>
        </row>
        <row r="1753">
          <cell r="A1753" t="str">
            <v/>
          </cell>
          <cell r="B1753" t="str">
            <v>520539. Vacaciones</v>
          </cell>
          <cell r="C1753">
            <v>0</v>
          </cell>
        </row>
        <row r="1754">
          <cell r="A1754" t="str">
            <v>520539001</v>
          </cell>
          <cell r="B1754" t="str">
            <v>520539001 VTAS - VACACIONES</v>
          </cell>
          <cell r="C1754">
            <v>75619203</v>
          </cell>
        </row>
        <row r="1755">
          <cell r="A1755" t="str">
            <v/>
          </cell>
          <cell r="B1755" t="str">
            <v>Total Vacaciones</v>
          </cell>
          <cell r="C1755">
            <v>75619203</v>
          </cell>
        </row>
        <row r="1756">
          <cell r="A1756" t="str">
            <v/>
          </cell>
          <cell r="B1756" t="str">
            <v>520545. Auxilios</v>
          </cell>
          <cell r="C1756">
            <v>0</v>
          </cell>
        </row>
        <row r="1757">
          <cell r="A1757" t="str">
            <v>520545001</v>
          </cell>
          <cell r="B1757" t="str">
            <v>520545001 VTAS - AUXILIOS</v>
          </cell>
          <cell r="C1757">
            <v>35347204</v>
          </cell>
        </row>
        <row r="1758">
          <cell r="A1758" t="str">
            <v/>
          </cell>
          <cell r="B1758" t="str">
            <v>Total Auxilios</v>
          </cell>
          <cell r="C1758">
            <v>35347204</v>
          </cell>
        </row>
        <row r="1759">
          <cell r="A1759" t="str">
            <v/>
          </cell>
          <cell r="B1759" t="str">
            <v>520548. Bonificaciones</v>
          </cell>
          <cell r="C1759">
            <v>0</v>
          </cell>
        </row>
        <row r="1760">
          <cell r="A1760" t="str">
            <v>520548001</v>
          </cell>
          <cell r="B1760" t="str">
            <v>520548001 VTAS - BONIFICACIONES</v>
          </cell>
          <cell r="C1760">
            <v>110984575</v>
          </cell>
        </row>
        <row r="1761">
          <cell r="A1761" t="str">
            <v/>
          </cell>
          <cell r="B1761" t="str">
            <v>Total Bonificaciones</v>
          </cell>
          <cell r="C1761">
            <v>110984575</v>
          </cell>
        </row>
        <row r="1762">
          <cell r="A1762" t="str">
            <v/>
          </cell>
          <cell r="B1762" t="str">
            <v>520551. Dotacion y suministro a trabajadores</v>
          </cell>
          <cell r="C1762">
            <v>0</v>
          </cell>
        </row>
        <row r="1763">
          <cell r="A1763" t="str">
            <v>520551001</v>
          </cell>
          <cell r="B1763" t="str">
            <v>520551001 VTAS - DOTACION</v>
          </cell>
          <cell r="C1763">
            <v>13040907</v>
          </cell>
        </row>
        <row r="1764">
          <cell r="A1764" t="str">
            <v/>
          </cell>
          <cell r="B1764" t="str">
            <v>Total Dotacion y suministro a trabajadores</v>
          </cell>
          <cell r="C1764">
            <v>13040907</v>
          </cell>
        </row>
        <row r="1765">
          <cell r="A1765" t="str">
            <v/>
          </cell>
          <cell r="B1765" t="str">
            <v>520563. Capacitacion al personal</v>
          </cell>
          <cell r="C1765">
            <v>0</v>
          </cell>
        </row>
        <row r="1766">
          <cell r="A1766" t="str">
            <v>520563001</v>
          </cell>
          <cell r="B1766" t="str">
            <v>520563001 VTAS - CAPACITACION</v>
          </cell>
          <cell r="C1766">
            <v>2534000</v>
          </cell>
        </row>
        <row r="1767">
          <cell r="A1767" t="str">
            <v/>
          </cell>
          <cell r="B1767" t="str">
            <v>Total Capacitacion al personal</v>
          </cell>
          <cell r="C1767">
            <v>2534000</v>
          </cell>
        </row>
        <row r="1768">
          <cell r="A1768" t="str">
            <v/>
          </cell>
          <cell r="B1768" t="str">
            <v>520569. Aportes A salud</v>
          </cell>
          <cell r="C1768">
            <v>0</v>
          </cell>
        </row>
        <row r="1769">
          <cell r="A1769" t="str">
            <v>520569001</v>
          </cell>
          <cell r="B1769" t="str">
            <v>520569001 VTAS - SALUD</v>
          </cell>
          <cell r="C1769">
            <v>128167024</v>
          </cell>
        </row>
        <row r="1770">
          <cell r="A1770" t="str">
            <v/>
          </cell>
          <cell r="B1770" t="str">
            <v>Total Aportes A salud</v>
          </cell>
          <cell r="C1770">
            <v>128167024</v>
          </cell>
        </row>
        <row r="1771">
          <cell r="A1771" t="str">
            <v/>
          </cell>
          <cell r="B1771" t="str">
            <v>520570. Aportes pension</v>
          </cell>
          <cell r="C1771">
            <v>0</v>
          </cell>
        </row>
        <row r="1772">
          <cell r="A1772" t="str">
            <v>520570001</v>
          </cell>
          <cell r="B1772" t="str">
            <v>520570001 VTAS - PENSION</v>
          </cell>
          <cell r="C1772">
            <v>184370225</v>
          </cell>
        </row>
        <row r="1773">
          <cell r="A1773" t="str">
            <v/>
          </cell>
          <cell r="B1773" t="str">
            <v>Total Aportes a pension</v>
          </cell>
          <cell r="C1773">
            <v>184370225</v>
          </cell>
        </row>
        <row r="1774">
          <cell r="A1774" t="str">
            <v/>
          </cell>
          <cell r="B1774" t="str">
            <v>520571. Aportes A.R.P</v>
          </cell>
          <cell r="C1774">
            <v>0</v>
          </cell>
        </row>
        <row r="1775">
          <cell r="A1775" t="str">
            <v>520571001</v>
          </cell>
          <cell r="B1775" t="str">
            <v>520571001 VTAS - A.R.P</v>
          </cell>
          <cell r="C1775">
            <v>7996099</v>
          </cell>
        </row>
        <row r="1776">
          <cell r="A1776" t="str">
            <v/>
          </cell>
          <cell r="B1776" t="str">
            <v>Total Aportes A.R.P</v>
          </cell>
          <cell r="C1776">
            <v>7996099</v>
          </cell>
        </row>
        <row r="1777">
          <cell r="A1777" t="str">
            <v/>
          </cell>
          <cell r="B1777" t="str">
            <v>520572. Aportes Caja De compensacion Familiar</v>
          </cell>
          <cell r="C1777">
            <v>0</v>
          </cell>
        </row>
        <row r="1778">
          <cell r="A1778" t="str">
            <v>520572001</v>
          </cell>
          <cell r="B1778" t="str">
            <v>520572001 VTAS - COMPENSACION FAMILIAR</v>
          </cell>
          <cell r="C1778">
            <v>62654142</v>
          </cell>
        </row>
        <row r="1779">
          <cell r="A1779" t="str">
            <v/>
          </cell>
          <cell r="B1779" t="str">
            <v>Total Aportes Caja De compensacion Familiar</v>
          </cell>
          <cell r="C1779">
            <v>62654142</v>
          </cell>
        </row>
        <row r="1780">
          <cell r="A1780" t="str">
            <v/>
          </cell>
          <cell r="B1780" t="str">
            <v>520575. Aportes I.C.B.F</v>
          </cell>
          <cell r="C1780">
            <v>0</v>
          </cell>
        </row>
        <row r="1781">
          <cell r="A1781" t="str">
            <v>520575001</v>
          </cell>
          <cell r="B1781" t="str">
            <v>520575001 VTAS - I.C.B.F</v>
          </cell>
          <cell r="C1781">
            <v>46990593</v>
          </cell>
        </row>
        <row r="1782">
          <cell r="A1782" t="str">
            <v/>
          </cell>
          <cell r="B1782" t="str">
            <v>Total Aportes I.C.B.F</v>
          </cell>
          <cell r="C1782">
            <v>46990593</v>
          </cell>
        </row>
        <row r="1783">
          <cell r="A1783" t="str">
            <v/>
          </cell>
          <cell r="B1783" t="str">
            <v>520578. SENA</v>
          </cell>
          <cell r="C1783">
            <v>0</v>
          </cell>
        </row>
        <row r="1784">
          <cell r="A1784" t="str">
            <v>520578001</v>
          </cell>
          <cell r="B1784" t="str">
            <v>520578001 VTAS - SENA</v>
          </cell>
          <cell r="C1784">
            <v>31327071</v>
          </cell>
        </row>
        <row r="1785">
          <cell r="A1785" t="str">
            <v/>
          </cell>
          <cell r="B1785" t="str">
            <v>Total SENA</v>
          </cell>
          <cell r="C1785">
            <v>31327071</v>
          </cell>
        </row>
        <row r="1786">
          <cell r="A1786" t="str">
            <v/>
          </cell>
          <cell r="B1786" t="str">
            <v>520584. Gasto Medico y drogas</v>
          </cell>
          <cell r="C1786">
            <v>0</v>
          </cell>
        </row>
        <row r="1787">
          <cell r="A1787" t="str">
            <v>520584001</v>
          </cell>
          <cell r="B1787" t="str">
            <v>520584001 VTAS - MEDICOS Y DROGAS</v>
          </cell>
          <cell r="C1787">
            <v>6700</v>
          </cell>
        </row>
        <row r="1788">
          <cell r="A1788" t="str">
            <v/>
          </cell>
          <cell r="B1788" t="str">
            <v>Total Gasto Medico y drogas</v>
          </cell>
          <cell r="C1788">
            <v>6700</v>
          </cell>
        </row>
        <row r="1789">
          <cell r="A1789" t="str">
            <v/>
          </cell>
          <cell r="B1789" t="str">
            <v>520595. Otros</v>
          </cell>
          <cell r="C1789">
            <v>0</v>
          </cell>
        </row>
        <row r="1790">
          <cell r="A1790" t="str">
            <v>520595002</v>
          </cell>
          <cell r="B1790" t="str">
            <v>520595002 VTAS - AUXILIO DE ALIMENTACION</v>
          </cell>
          <cell r="C1790">
            <v>59591012</v>
          </cell>
        </row>
        <row r="1791">
          <cell r="A1791" t="str">
            <v>520595004</v>
          </cell>
          <cell r="B1791" t="str">
            <v>520595004 VTAS - ATENCION Y ESTIMULOS</v>
          </cell>
          <cell r="C1791">
            <v>2987000</v>
          </cell>
        </row>
        <row r="1792">
          <cell r="A1792" t="str">
            <v>520595005</v>
          </cell>
          <cell r="B1792" t="str">
            <v>520595005 VTAS - AUXILIO FUNERARIO</v>
          </cell>
          <cell r="C1792">
            <v>1074852</v>
          </cell>
        </row>
        <row r="1793">
          <cell r="A1793" t="str">
            <v>520595006</v>
          </cell>
          <cell r="B1793" t="str">
            <v>520595006 VTAS - AUXILIO NACIMIENTO</v>
          </cell>
          <cell r="C1793">
            <v>866772</v>
          </cell>
        </row>
        <row r="1794">
          <cell r="A1794" t="str">
            <v>520595007</v>
          </cell>
          <cell r="B1794" t="str">
            <v>520595007 VTAS - AUXILIO LENTES</v>
          </cell>
          <cell r="C1794">
            <v>700644</v>
          </cell>
        </row>
        <row r="1795">
          <cell r="A1795" t="str">
            <v/>
          </cell>
          <cell r="B1795" t="str">
            <v>Total Otros</v>
          </cell>
          <cell r="C1795">
            <v>65220280</v>
          </cell>
        </row>
        <row r="1796">
          <cell r="A1796" t="str">
            <v/>
          </cell>
          <cell r="B1796" t="str">
            <v>Total 5205 Gastos Personal</v>
          </cell>
          <cell r="C1796">
            <v>2595708850</v>
          </cell>
        </row>
        <row r="1797">
          <cell r="A1797" t="str">
            <v/>
          </cell>
          <cell r="B1797" t="str">
            <v>5210. Honorarios</v>
          </cell>
          <cell r="C1797">
            <v>0</v>
          </cell>
        </row>
        <row r="1798">
          <cell r="A1798" t="str">
            <v/>
          </cell>
          <cell r="B1798" t="str">
            <v>521095. Otros</v>
          </cell>
          <cell r="C1798">
            <v>0</v>
          </cell>
        </row>
        <row r="1799">
          <cell r="A1799" t="str">
            <v>521095001</v>
          </cell>
          <cell r="B1799" t="str">
            <v>521095001 VTAS - HONORARIOS</v>
          </cell>
          <cell r="C1799">
            <v>3409286</v>
          </cell>
        </row>
        <row r="1800">
          <cell r="A1800" t="str">
            <v/>
          </cell>
          <cell r="B1800" t="str">
            <v>Total Otros</v>
          </cell>
          <cell r="C1800">
            <v>3409286</v>
          </cell>
        </row>
        <row r="1801">
          <cell r="A1801" t="str">
            <v/>
          </cell>
          <cell r="B1801" t="str">
            <v>Total 5210 Honorarios</v>
          </cell>
          <cell r="C1801">
            <v>3409286</v>
          </cell>
        </row>
        <row r="1802">
          <cell r="A1802" t="str">
            <v/>
          </cell>
          <cell r="B1802" t="str">
            <v>5215. Impuestos</v>
          </cell>
          <cell r="C1802">
            <v>0</v>
          </cell>
        </row>
        <row r="1803">
          <cell r="A1803" t="str">
            <v/>
          </cell>
          <cell r="B1803" t="str">
            <v>521505. Industria Y comercio</v>
          </cell>
          <cell r="C1803">
            <v>0</v>
          </cell>
        </row>
        <row r="1804">
          <cell r="A1804" t="str">
            <v>521505001</v>
          </cell>
          <cell r="B1804" t="str">
            <v>521505001 VTAS - IMPUESTOS INDUSTRIA Y COMERCIO</v>
          </cell>
          <cell r="C1804">
            <v>1777927948</v>
          </cell>
        </row>
        <row r="1805">
          <cell r="A1805" t="str">
            <v/>
          </cell>
          <cell r="B1805" t="str">
            <v>Total industria Y comercio</v>
          </cell>
          <cell r="C1805">
            <v>1777927948</v>
          </cell>
        </row>
        <row r="1806">
          <cell r="A1806" t="str">
            <v/>
          </cell>
          <cell r="B1806" t="str">
            <v>521510. De timbres</v>
          </cell>
          <cell r="C1806">
            <v>0</v>
          </cell>
        </row>
        <row r="1807">
          <cell r="A1807" t="str">
            <v>521510001</v>
          </cell>
          <cell r="B1807" t="str">
            <v>521510001 VTAS - IMPUESTOS DE TIMBRES</v>
          </cell>
          <cell r="C1807">
            <v>15231348</v>
          </cell>
        </row>
        <row r="1808">
          <cell r="A1808" t="str">
            <v/>
          </cell>
          <cell r="B1808" t="str">
            <v>Total De timbres</v>
          </cell>
          <cell r="C1808">
            <v>15231348</v>
          </cell>
        </row>
        <row r="1809">
          <cell r="A1809" t="str">
            <v/>
          </cell>
          <cell r="B1809" t="str">
            <v>521515. A la Propiedad Raiz</v>
          </cell>
          <cell r="C1809">
            <v>0</v>
          </cell>
        </row>
        <row r="1810">
          <cell r="A1810" t="str">
            <v>521515001</v>
          </cell>
          <cell r="B1810" t="str">
            <v>521515001 VTAS - IMPUESTOS PROPIEDAD</v>
          </cell>
          <cell r="C1810">
            <v>17234931</v>
          </cell>
        </row>
        <row r="1811">
          <cell r="A1811" t="str">
            <v/>
          </cell>
          <cell r="B1811" t="str">
            <v>Total A la Propiedad Raiz</v>
          </cell>
          <cell r="C1811">
            <v>17234931</v>
          </cell>
        </row>
        <row r="1812">
          <cell r="A1812" t="str">
            <v/>
          </cell>
          <cell r="B1812" t="str">
            <v>521570. IVA descontable</v>
          </cell>
          <cell r="C1812">
            <v>0</v>
          </cell>
        </row>
        <row r="1813">
          <cell r="A1813" t="str">
            <v>521570011</v>
          </cell>
          <cell r="B1813" t="str">
            <v>521570011 VTAS - IMPUESTOS IVA NO DEDUCIBLE</v>
          </cell>
          <cell r="C1813">
            <v>534755528</v>
          </cell>
        </row>
        <row r="1814">
          <cell r="A1814" t="str">
            <v/>
          </cell>
          <cell r="B1814" t="str">
            <v>Total IVA descontable</v>
          </cell>
          <cell r="C1814">
            <v>534755528</v>
          </cell>
        </row>
        <row r="1815">
          <cell r="A1815" t="str">
            <v/>
          </cell>
          <cell r="B1815" t="str">
            <v>521575. 4 X 1000</v>
          </cell>
          <cell r="C1815">
            <v>0</v>
          </cell>
        </row>
        <row r="1816">
          <cell r="A1816" t="str">
            <v>521575001</v>
          </cell>
          <cell r="B1816" t="str">
            <v>521575001 VTAS - IMPUESTOS 4 POR MIL AYC</v>
          </cell>
          <cell r="C1816">
            <v>0</v>
          </cell>
        </row>
        <row r="1817">
          <cell r="A1817" t="str">
            <v>521575011</v>
          </cell>
          <cell r="B1817" t="str">
            <v>521575011 VTAS - IMPUESTOS 4 POR MIL</v>
          </cell>
          <cell r="C1817">
            <v>1710444802</v>
          </cell>
        </row>
        <row r="1818">
          <cell r="A1818" t="str">
            <v/>
          </cell>
          <cell r="B1818" t="str">
            <v>Total 3 X 1000</v>
          </cell>
          <cell r="C1818">
            <v>1710444802</v>
          </cell>
        </row>
        <row r="1819">
          <cell r="A1819" t="str">
            <v/>
          </cell>
          <cell r="B1819" t="str">
            <v>521595. Otro</v>
          </cell>
          <cell r="C1819">
            <v>0</v>
          </cell>
        </row>
        <row r="1820">
          <cell r="A1820" t="str">
            <v>521595001</v>
          </cell>
          <cell r="B1820" t="str">
            <v>521595001 VTAS - OTROS IMPUESTOS</v>
          </cell>
          <cell r="C1820">
            <v>41548645</v>
          </cell>
        </row>
        <row r="1821">
          <cell r="A1821" t="str">
            <v>521595002</v>
          </cell>
          <cell r="B1821" t="str">
            <v>521595002 VTAS - IMPUESTO AVISOS Y TABLEROS</v>
          </cell>
          <cell r="C1821">
            <v>7076781</v>
          </cell>
        </row>
        <row r="1822">
          <cell r="A1822" t="str">
            <v>521595003</v>
          </cell>
          <cell r="B1822" t="str">
            <v>521595003 VTAS - ESTAMPILLA ANCIANATO</v>
          </cell>
          <cell r="C1822">
            <v>20628494</v>
          </cell>
        </row>
        <row r="1823">
          <cell r="A1823" t="str">
            <v/>
          </cell>
          <cell r="B1823" t="str">
            <v>Total Otros</v>
          </cell>
          <cell r="C1823">
            <v>69253920</v>
          </cell>
        </row>
        <row r="1824">
          <cell r="A1824" t="str">
            <v/>
          </cell>
          <cell r="B1824" t="str">
            <v>Total 5215 Impuestos</v>
          </cell>
          <cell r="C1824">
            <v>4124848477</v>
          </cell>
        </row>
        <row r="1825">
          <cell r="A1825" t="str">
            <v/>
          </cell>
          <cell r="B1825" t="str">
            <v>5220. Arrendamientos</v>
          </cell>
          <cell r="C1825">
            <v>0</v>
          </cell>
        </row>
        <row r="1826">
          <cell r="A1826" t="str">
            <v/>
          </cell>
          <cell r="B1826" t="str">
            <v>522010. Edificaciones</v>
          </cell>
          <cell r="C1826">
            <v>0</v>
          </cell>
        </row>
        <row r="1827">
          <cell r="A1827" t="str">
            <v>522010001</v>
          </cell>
          <cell r="B1827" t="str">
            <v>522010001 VTAS - ARRENDAMIENTOS EDIFICACIONES</v>
          </cell>
          <cell r="C1827">
            <v>295297263</v>
          </cell>
        </row>
        <row r="1828">
          <cell r="A1828" t="str">
            <v/>
          </cell>
          <cell r="B1828" t="str">
            <v>Total Edificaciones</v>
          </cell>
          <cell r="C1828">
            <v>295297263</v>
          </cell>
        </row>
        <row r="1829">
          <cell r="A1829" t="str">
            <v/>
          </cell>
          <cell r="B1829" t="str">
            <v>522020. Muebles y equipo de oficina</v>
          </cell>
          <cell r="C1829">
            <v>0</v>
          </cell>
        </row>
        <row r="1830">
          <cell r="A1830" t="str">
            <v>522020001</v>
          </cell>
          <cell r="B1830" t="str">
            <v>522020001 VTAS - ARRIENDO MUEBLES Y EQUIPO DE OFICINA</v>
          </cell>
          <cell r="C1830">
            <v>10591333</v>
          </cell>
        </row>
        <row r="1831">
          <cell r="A1831" t="str">
            <v/>
          </cell>
          <cell r="B1831" t="str">
            <v>Total Muebles y equipo de oficina</v>
          </cell>
          <cell r="C1831">
            <v>10591333</v>
          </cell>
        </row>
        <row r="1832">
          <cell r="A1832" t="str">
            <v/>
          </cell>
          <cell r="B1832" t="str">
            <v>522025. Equipo de Computacion Y comunicacion</v>
          </cell>
          <cell r="C1832">
            <v>0</v>
          </cell>
        </row>
        <row r="1833">
          <cell r="A1833" t="str">
            <v>522025002</v>
          </cell>
          <cell r="B1833" t="str">
            <v>522025002 VTAS - ARREND.EQ.COMPUT.YCOMUNICACION</v>
          </cell>
          <cell r="C1833">
            <v>370688</v>
          </cell>
        </row>
        <row r="1834">
          <cell r="A1834" t="str">
            <v/>
          </cell>
          <cell r="B1834" t="str">
            <v>Total Equipo de Computacion Y comunicacion</v>
          </cell>
          <cell r="C1834">
            <v>370688</v>
          </cell>
        </row>
        <row r="1835">
          <cell r="A1835" t="str">
            <v/>
          </cell>
          <cell r="B1835" t="str">
            <v>Total 5220 Arrendamientos</v>
          </cell>
          <cell r="C1835">
            <v>306259284</v>
          </cell>
        </row>
        <row r="1836">
          <cell r="A1836" t="str">
            <v/>
          </cell>
          <cell r="B1836" t="str">
            <v>5230. Seguros</v>
          </cell>
          <cell r="C1836">
            <v>0</v>
          </cell>
        </row>
        <row r="1837">
          <cell r="A1837" t="str">
            <v/>
          </cell>
          <cell r="B1837" t="str">
            <v>523095. Otros</v>
          </cell>
          <cell r="C1837">
            <v>0</v>
          </cell>
        </row>
        <row r="1838">
          <cell r="A1838" t="str">
            <v>523095001</v>
          </cell>
          <cell r="B1838" t="str">
            <v>523095001 VTAS - SEGUROS,SINIESTROS ASUMIDOS</v>
          </cell>
          <cell r="C1838">
            <v>390920</v>
          </cell>
        </row>
        <row r="1839">
          <cell r="A1839" t="str">
            <v>523095002</v>
          </cell>
          <cell r="B1839" t="str">
            <v>523095002 VTAS - POLIZA INCENDIO, FLOTANTICIPOS</v>
          </cell>
          <cell r="C1839">
            <v>79342697</v>
          </cell>
        </row>
        <row r="1840">
          <cell r="A1840" t="str">
            <v>523095003</v>
          </cell>
          <cell r="B1840" t="str">
            <v>523095003 VTAS - POLIZA DE SUSTRACCION FLOTANTE</v>
          </cell>
          <cell r="C1840">
            <v>79156735</v>
          </cell>
        </row>
        <row r="1841">
          <cell r="A1841" t="str">
            <v>523095004</v>
          </cell>
          <cell r="B1841" t="str">
            <v>523095004 VTAS - POLIZA DE TRANSPORTE DE PROVINCIA.</v>
          </cell>
          <cell r="C1841">
            <v>518136570</v>
          </cell>
        </row>
        <row r="1842">
          <cell r="A1842" t="str">
            <v>523095005</v>
          </cell>
          <cell r="B1842" t="str">
            <v>523095005 VTAS - POLIZA DE VALORES</v>
          </cell>
          <cell r="C1842">
            <v>3042492</v>
          </cell>
        </row>
        <row r="1843">
          <cell r="A1843" t="str">
            <v>523095006</v>
          </cell>
          <cell r="B1843" t="str">
            <v>523095006 VTAS - POLIZA DE SUBSIDIO 30% A ASOCIADOS</v>
          </cell>
          <cell r="C1843">
            <v>198001416</v>
          </cell>
        </row>
        <row r="1844">
          <cell r="A1844" t="str">
            <v>523095007</v>
          </cell>
          <cell r="B1844" t="str">
            <v>523095007 VTAS - POLIZA CARTERA DEUDORES</v>
          </cell>
          <cell r="C1844">
            <v>72532470</v>
          </cell>
        </row>
        <row r="1845">
          <cell r="A1845" t="str">
            <v>523095017</v>
          </cell>
          <cell r="B1845" t="str">
            <v>523095017 VTAS - POLIZAS DE  ACCIDENTES</v>
          </cell>
          <cell r="C1845">
            <v>2430700</v>
          </cell>
        </row>
        <row r="1846">
          <cell r="A1846" t="str">
            <v/>
          </cell>
          <cell r="B1846" t="str">
            <v>Total Otros</v>
          </cell>
          <cell r="C1846">
            <v>953034000</v>
          </cell>
        </row>
        <row r="1847">
          <cell r="A1847" t="str">
            <v/>
          </cell>
          <cell r="B1847" t="str">
            <v>Total 5230 Seguros</v>
          </cell>
          <cell r="C1847">
            <v>953034000</v>
          </cell>
        </row>
        <row r="1848">
          <cell r="A1848" t="str">
            <v/>
          </cell>
          <cell r="B1848" t="str">
            <v>5235. Servicios</v>
          </cell>
          <cell r="C1848">
            <v>0</v>
          </cell>
        </row>
        <row r="1849">
          <cell r="A1849" t="str">
            <v/>
          </cell>
          <cell r="B1849" t="str">
            <v>523510. Temporales</v>
          </cell>
          <cell r="C1849">
            <v>0</v>
          </cell>
        </row>
        <row r="1850">
          <cell r="A1850" t="str">
            <v>523510001</v>
          </cell>
          <cell r="B1850" t="str">
            <v>523510001 VTAS - SERVICIOS TEMPORALES</v>
          </cell>
          <cell r="C1850">
            <v>119050467</v>
          </cell>
        </row>
        <row r="1851">
          <cell r="A1851" t="str">
            <v/>
          </cell>
          <cell r="B1851" t="str">
            <v>Total Temporales</v>
          </cell>
          <cell r="C1851">
            <v>119050467</v>
          </cell>
        </row>
        <row r="1852">
          <cell r="A1852" t="str">
            <v/>
          </cell>
          <cell r="B1852" t="str">
            <v>523525. Acueducto y alcantarillado</v>
          </cell>
          <cell r="C1852">
            <v>0</v>
          </cell>
        </row>
        <row r="1853">
          <cell r="A1853" t="str">
            <v>523525001</v>
          </cell>
          <cell r="B1853" t="str">
            <v>523525001 VTAS - SERVICIO DE ACUEDUCTO</v>
          </cell>
          <cell r="C1853">
            <v>10261480</v>
          </cell>
        </row>
        <row r="1854">
          <cell r="A1854" t="str">
            <v>523525002</v>
          </cell>
          <cell r="B1854" t="str">
            <v>523525002 VTAS - SERVICIO DE ALCANTARILLADO</v>
          </cell>
          <cell r="C1854">
            <v>5838185</v>
          </cell>
        </row>
        <row r="1855">
          <cell r="A1855" t="str">
            <v>523525003</v>
          </cell>
          <cell r="B1855" t="str">
            <v>523525003 VTAS - SERVICIO DE ASEO MUNICIPAL</v>
          </cell>
          <cell r="C1855">
            <v>7263381</v>
          </cell>
        </row>
        <row r="1856">
          <cell r="A1856" t="str">
            <v/>
          </cell>
          <cell r="B1856" t="str">
            <v>Total Acueducto y alcantarillado</v>
          </cell>
          <cell r="C1856">
            <v>23363046</v>
          </cell>
        </row>
        <row r="1857">
          <cell r="A1857" t="str">
            <v/>
          </cell>
          <cell r="B1857" t="str">
            <v>523530. Energia Electrica</v>
          </cell>
          <cell r="C1857">
            <v>0</v>
          </cell>
        </row>
        <row r="1858">
          <cell r="A1858" t="str">
            <v>523530001</v>
          </cell>
          <cell r="B1858" t="str">
            <v>523530001 VTAS - SERVICIO DE ENERGIA</v>
          </cell>
          <cell r="C1858">
            <v>86128477</v>
          </cell>
        </row>
        <row r="1859">
          <cell r="A1859" t="str">
            <v/>
          </cell>
          <cell r="B1859" t="str">
            <v>Total Energia Electrica</v>
          </cell>
          <cell r="C1859">
            <v>86128477</v>
          </cell>
        </row>
        <row r="1860">
          <cell r="A1860" t="str">
            <v/>
          </cell>
          <cell r="B1860" t="str">
            <v>523535. Telefono</v>
          </cell>
          <cell r="C1860">
            <v>0</v>
          </cell>
        </row>
        <row r="1861">
          <cell r="A1861" t="str">
            <v>523535001</v>
          </cell>
          <cell r="B1861" t="str">
            <v>523535001 VTAS - SERVICIO DE TELEFONO LINEAS DIRECTAS</v>
          </cell>
          <cell r="C1861">
            <v>33169288</v>
          </cell>
        </row>
        <row r="1862">
          <cell r="A1862" t="str">
            <v>523535002</v>
          </cell>
          <cell r="B1862" t="str">
            <v>523535002 VTAS - SERVICIO DE TELEFONO PBX</v>
          </cell>
          <cell r="C1862">
            <v>532174843</v>
          </cell>
        </row>
        <row r="1863">
          <cell r="A1863" t="str">
            <v>523535003</v>
          </cell>
          <cell r="B1863" t="str">
            <v>523535003 VTAS - SERVICIO DE TELEFONO 9800</v>
          </cell>
          <cell r="C1863">
            <v>137228381</v>
          </cell>
        </row>
        <row r="1864">
          <cell r="A1864" t="str">
            <v>523535004</v>
          </cell>
          <cell r="B1864" t="str">
            <v>523535004 VTAS - SERVICIO DE FAX T TELEX</v>
          </cell>
          <cell r="C1864">
            <v>183548</v>
          </cell>
        </row>
        <row r="1865">
          <cell r="A1865" t="str">
            <v/>
          </cell>
          <cell r="B1865" t="str">
            <v>Total Telefono</v>
          </cell>
          <cell r="C1865">
            <v>702756060</v>
          </cell>
        </row>
        <row r="1866">
          <cell r="A1866" t="str">
            <v/>
          </cell>
          <cell r="B1866" t="str">
            <v>523540. Correo, portes y telegramas</v>
          </cell>
          <cell r="C1866">
            <v>0</v>
          </cell>
        </row>
        <row r="1867">
          <cell r="A1867" t="str">
            <v>523540001</v>
          </cell>
          <cell r="B1867" t="str">
            <v>523540001 VTAS - SERVICIO DE CORREO PORTES TELEG.</v>
          </cell>
          <cell r="C1867">
            <v>331412313</v>
          </cell>
        </row>
        <row r="1868">
          <cell r="A1868" t="str">
            <v/>
          </cell>
          <cell r="B1868" t="str">
            <v>Total Correo, portes y telegramas</v>
          </cell>
          <cell r="C1868">
            <v>331412313</v>
          </cell>
        </row>
        <row r="1869">
          <cell r="A1869" t="str">
            <v/>
          </cell>
          <cell r="B1869" t="str">
            <v>523550. Trasporte,fletes y acarreos</v>
          </cell>
          <cell r="C1869">
            <v>0</v>
          </cell>
        </row>
        <row r="1870">
          <cell r="A1870" t="str">
            <v>523550001</v>
          </cell>
          <cell r="B1870" t="str">
            <v>523550001 VTAS - REM DE MERCANCIA</v>
          </cell>
          <cell r="C1870">
            <v>582803158</v>
          </cell>
        </row>
        <row r="1871">
          <cell r="A1871" t="str">
            <v>523550002</v>
          </cell>
          <cell r="B1871" t="str">
            <v>523550002 VTAS - ACARREOS</v>
          </cell>
          <cell r="C1871">
            <v>396000</v>
          </cell>
        </row>
        <row r="1872">
          <cell r="A1872" t="str">
            <v>523550003</v>
          </cell>
          <cell r="B1872" t="str">
            <v>523550003 VTAS - FLETES DE MERCANCIAS. (SOLO PARA CARGUE IN)</v>
          </cell>
          <cell r="C1872">
            <v>0</v>
          </cell>
        </row>
        <row r="1873">
          <cell r="A1873" t="str">
            <v>523550004</v>
          </cell>
          <cell r="B1873" t="str">
            <v>523550004 VTAS - OTROS GTS DE TRANSPORTE</v>
          </cell>
          <cell r="C1873">
            <v>8748790</v>
          </cell>
        </row>
        <row r="1874">
          <cell r="A1874" t="str">
            <v>523550005</v>
          </cell>
          <cell r="B1874" t="str">
            <v>523550005 VTAS - FLETE PROVINCIA</v>
          </cell>
          <cell r="C1874">
            <v>2753916531</v>
          </cell>
        </row>
        <row r="1875">
          <cell r="A1875" t="str">
            <v>523550006</v>
          </cell>
          <cell r="B1875" t="str">
            <v>523550006 VTAS - FLETE URBANO</v>
          </cell>
          <cell r="C1875">
            <v>1533326755</v>
          </cell>
        </row>
        <row r="1876">
          <cell r="A1876" t="str">
            <v/>
          </cell>
          <cell r="B1876" t="str">
            <v>Total Transporte,fletes y acarreos</v>
          </cell>
          <cell r="C1876">
            <v>4879191234</v>
          </cell>
        </row>
        <row r="1877">
          <cell r="A1877" t="str">
            <v/>
          </cell>
          <cell r="B1877" t="str">
            <v>523560. Publicidad,Propaganda y promocion</v>
          </cell>
          <cell r="C1877">
            <v>0</v>
          </cell>
        </row>
        <row r="1878">
          <cell r="A1878" t="str">
            <v>523560001</v>
          </cell>
          <cell r="B1878" t="str">
            <v>523560001 VTAS - ELEMENTOS PUBLICITARIOS</v>
          </cell>
          <cell r="C1878">
            <v>6180704</v>
          </cell>
        </row>
        <row r="1879">
          <cell r="A1879" t="str">
            <v>523560002</v>
          </cell>
          <cell r="B1879" t="str">
            <v>523560002 VTAS - PUBLICACIONES</v>
          </cell>
          <cell r="C1879">
            <v>294238463</v>
          </cell>
        </row>
        <row r="1880">
          <cell r="A1880" t="str">
            <v>523560003</v>
          </cell>
          <cell r="B1880" t="str">
            <v>523560003 VTAS - SEPARATAS-VOLANTES-AFICHES</v>
          </cell>
          <cell r="C1880">
            <v>1700000</v>
          </cell>
        </row>
        <row r="1881">
          <cell r="A1881" t="str">
            <v>523560005</v>
          </cell>
          <cell r="B1881" t="str">
            <v>523560005 VTAS - PUBLICIDAD Y PROPAGANDA</v>
          </cell>
          <cell r="C1881">
            <v>112773887</v>
          </cell>
        </row>
        <row r="1882">
          <cell r="A1882" t="str">
            <v/>
          </cell>
          <cell r="B1882" t="str">
            <v>Total Publicidad,Propaganda y promocion</v>
          </cell>
          <cell r="C1882">
            <v>414893054</v>
          </cell>
        </row>
        <row r="1883">
          <cell r="A1883" t="str">
            <v/>
          </cell>
          <cell r="B1883" t="str">
            <v>523595. Otros</v>
          </cell>
          <cell r="C1883">
            <v>0</v>
          </cell>
        </row>
        <row r="1884">
          <cell r="A1884" t="str">
            <v>523595003</v>
          </cell>
          <cell r="B1884" t="str">
            <v>523595003 VTAS - SERVICIO DE INTERNET</v>
          </cell>
          <cell r="C1884">
            <v>257500</v>
          </cell>
        </row>
        <row r="1885">
          <cell r="A1885" t="str">
            <v>523595090</v>
          </cell>
          <cell r="B1885" t="str">
            <v>523595090 VTAS - OTROS SERVICIOS</v>
          </cell>
          <cell r="C1885">
            <v>7409444</v>
          </cell>
        </row>
        <row r="1886">
          <cell r="A1886" t="str">
            <v/>
          </cell>
          <cell r="B1886" t="str">
            <v>Total Otros</v>
          </cell>
          <cell r="C1886">
            <v>7666944</v>
          </cell>
        </row>
        <row r="1887">
          <cell r="A1887" t="str">
            <v/>
          </cell>
          <cell r="B1887" t="str">
            <v>Total 5235 Servicios</v>
          </cell>
          <cell r="C1887">
            <v>6564461595</v>
          </cell>
        </row>
        <row r="1888">
          <cell r="A1888" t="str">
            <v/>
          </cell>
          <cell r="B1888" t="str">
            <v>5240. Gastos Legales</v>
          </cell>
          <cell r="C1888">
            <v>0</v>
          </cell>
        </row>
        <row r="1889">
          <cell r="A1889" t="str">
            <v/>
          </cell>
          <cell r="B1889" t="str">
            <v>524005. Notariales</v>
          </cell>
          <cell r="C1889">
            <v>0</v>
          </cell>
        </row>
        <row r="1890">
          <cell r="A1890" t="str">
            <v>524005001</v>
          </cell>
          <cell r="B1890" t="str">
            <v>524005001 VTAS - NOTARIALES Y LEGALES</v>
          </cell>
          <cell r="C1890">
            <v>333800</v>
          </cell>
        </row>
        <row r="1891">
          <cell r="A1891" t="str">
            <v/>
          </cell>
          <cell r="B1891" t="str">
            <v>Total Notariales</v>
          </cell>
          <cell r="C1891">
            <v>333800</v>
          </cell>
        </row>
        <row r="1892">
          <cell r="A1892" t="str">
            <v/>
          </cell>
          <cell r="B1892" t="str">
            <v>524095. Otros</v>
          </cell>
          <cell r="C1892">
            <v>0</v>
          </cell>
        </row>
        <row r="1893">
          <cell r="A1893" t="str">
            <v>524095001</v>
          </cell>
          <cell r="B1893" t="str">
            <v>524095001 VTAS - OTROS GTOS LEGALES</v>
          </cell>
          <cell r="C1893">
            <v>143700</v>
          </cell>
        </row>
        <row r="1894">
          <cell r="A1894" t="str">
            <v/>
          </cell>
          <cell r="B1894" t="str">
            <v>Total Otros</v>
          </cell>
          <cell r="C1894">
            <v>143700</v>
          </cell>
        </row>
        <row r="1895">
          <cell r="A1895" t="str">
            <v/>
          </cell>
          <cell r="B1895" t="str">
            <v>Total 5240 Gastos Legales</v>
          </cell>
          <cell r="C1895">
            <v>477500</v>
          </cell>
        </row>
        <row r="1896">
          <cell r="A1896" t="str">
            <v/>
          </cell>
          <cell r="B1896" t="str">
            <v>5245. Mantenimiento y reparaciones</v>
          </cell>
          <cell r="C1896">
            <v>0</v>
          </cell>
        </row>
        <row r="1897">
          <cell r="A1897" t="str">
            <v/>
          </cell>
          <cell r="B1897" t="str">
            <v>524515. Maquinaria Y equipo</v>
          </cell>
          <cell r="C1897">
            <v>0</v>
          </cell>
        </row>
        <row r="1898">
          <cell r="A1898" t="str">
            <v>524515001</v>
          </cell>
          <cell r="B1898" t="str">
            <v>524515001 VTAS - MANTENIMIENTO MAQUINARIA Y EQUIPO</v>
          </cell>
          <cell r="C1898">
            <v>297500</v>
          </cell>
        </row>
        <row r="1899">
          <cell r="A1899" t="str">
            <v>524515012</v>
          </cell>
          <cell r="B1899" t="str">
            <v>524515012 VTAS - REPUESTOS  MAQUINARIA Y EQUIPO KNAPP</v>
          </cell>
          <cell r="C1899">
            <v>0</v>
          </cell>
        </row>
        <row r="1900">
          <cell r="A1900" t="str">
            <v/>
          </cell>
          <cell r="B1900" t="str">
            <v>Total Maquinaria Y equipo</v>
          </cell>
          <cell r="C1900">
            <v>297500</v>
          </cell>
        </row>
        <row r="1901">
          <cell r="A1901" t="str">
            <v/>
          </cell>
          <cell r="B1901" t="str">
            <v>524520. Muebles Y equipo de Oficina</v>
          </cell>
          <cell r="C1901">
            <v>0</v>
          </cell>
        </row>
        <row r="1902">
          <cell r="A1902" t="str">
            <v>524520002</v>
          </cell>
          <cell r="B1902" t="str">
            <v>524520002 VTAS - MANTENIMIENTO  DE EQUIPO DE OFICINA</v>
          </cell>
          <cell r="C1902">
            <v>265000</v>
          </cell>
        </row>
        <row r="1903">
          <cell r="A1903" t="str">
            <v>524520003</v>
          </cell>
          <cell r="B1903" t="str">
            <v>524520003 VTAS - MANTENIMIENTO  DE EQUIPO DE COMPUTO</v>
          </cell>
          <cell r="C1903">
            <v>693392</v>
          </cell>
        </row>
        <row r="1904">
          <cell r="A1904" t="str">
            <v>524520004</v>
          </cell>
          <cell r="B1904" t="str">
            <v>524520004 VTAS - MANTENIMIENTO  DE SOFTWARE Y PROGRAMAS</v>
          </cell>
          <cell r="C1904">
            <v>0</v>
          </cell>
        </row>
        <row r="1905">
          <cell r="A1905" t="str">
            <v/>
          </cell>
          <cell r="B1905" t="str">
            <v>Total Muebles Y equipo de Oficina</v>
          </cell>
          <cell r="C1905">
            <v>958392</v>
          </cell>
        </row>
        <row r="1906">
          <cell r="A1906" t="str">
            <v/>
          </cell>
          <cell r="B1906" t="str">
            <v>524525. Equipo de computacion y comunicacion</v>
          </cell>
          <cell r="C1906">
            <v>0</v>
          </cell>
        </row>
        <row r="1907">
          <cell r="A1907" t="str">
            <v>524525001</v>
          </cell>
          <cell r="B1907" t="str">
            <v>524525001 VTAS - MANTEN EQUIPO DE COMUNICACIONES</v>
          </cell>
          <cell r="C1907">
            <v>159400</v>
          </cell>
        </row>
        <row r="1908">
          <cell r="A1908" t="str">
            <v>524525004</v>
          </cell>
          <cell r="B1908" t="str">
            <v>524525004 VTAS - MANTENIMIENTO  DE SOFTWARE Y PROGRAMAS</v>
          </cell>
          <cell r="C1908">
            <v>25325004</v>
          </cell>
        </row>
        <row r="1909">
          <cell r="A1909" t="str">
            <v/>
          </cell>
          <cell r="B1909" t="str">
            <v>Total Equipo de computacion y comunicacion</v>
          </cell>
          <cell r="C1909">
            <v>25484404</v>
          </cell>
        </row>
        <row r="1910">
          <cell r="A1910" t="str">
            <v/>
          </cell>
          <cell r="B1910" t="str">
            <v>Total 5245 Mantenimiento y reparaciones</v>
          </cell>
          <cell r="C1910">
            <v>26740296</v>
          </cell>
        </row>
        <row r="1911">
          <cell r="A1911" t="str">
            <v/>
          </cell>
          <cell r="B1911" t="str">
            <v>5250. Adecuacion E instalacion</v>
          </cell>
          <cell r="C1911">
            <v>0</v>
          </cell>
        </row>
        <row r="1912">
          <cell r="A1912" t="str">
            <v/>
          </cell>
          <cell r="B1912" t="str">
            <v>525005. Instalaciones electricas</v>
          </cell>
          <cell r="C1912">
            <v>0</v>
          </cell>
        </row>
        <row r="1913">
          <cell r="A1913" t="str">
            <v>525005001</v>
          </cell>
          <cell r="B1913" t="str">
            <v>525005001 VTAS - ADECUACION DE INSTALACIONES</v>
          </cell>
          <cell r="C1913">
            <v>1277997</v>
          </cell>
        </row>
        <row r="1914">
          <cell r="A1914" t="str">
            <v/>
          </cell>
          <cell r="B1914" t="str">
            <v>Total Instalaciones electricas</v>
          </cell>
          <cell r="C1914">
            <v>1277997</v>
          </cell>
        </row>
        <row r="1915">
          <cell r="A1915" t="str">
            <v/>
          </cell>
          <cell r="B1915" t="str">
            <v>Total 5250 Adecuacion E instalacion</v>
          </cell>
          <cell r="C1915">
            <v>1277997</v>
          </cell>
        </row>
        <row r="1916">
          <cell r="A1916" t="str">
            <v/>
          </cell>
          <cell r="B1916" t="str">
            <v>5255. Gastos de Viaje</v>
          </cell>
          <cell r="C1916">
            <v>0</v>
          </cell>
        </row>
        <row r="1917">
          <cell r="A1917" t="str">
            <v/>
          </cell>
          <cell r="B1917" t="str">
            <v>525505. Alojamiento y manutencion</v>
          </cell>
          <cell r="C1917">
            <v>0</v>
          </cell>
        </row>
        <row r="1918">
          <cell r="A1918" t="str">
            <v>525505001</v>
          </cell>
          <cell r="B1918" t="str">
            <v>525505001 VTAS - ALOJAMIENTO Y MANUTENCION</v>
          </cell>
          <cell r="C1918">
            <v>74099064</v>
          </cell>
        </row>
        <row r="1919">
          <cell r="A1919" t="str">
            <v/>
          </cell>
          <cell r="B1919" t="str">
            <v>Total Alojamiento y manutencion</v>
          </cell>
          <cell r="C1919">
            <v>74099064</v>
          </cell>
        </row>
        <row r="1920">
          <cell r="A1920" t="str">
            <v/>
          </cell>
          <cell r="B1920" t="str">
            <v>525515. Pasajes aereos</v>
          </cell>
          <cell r="C1920">
            <v>0</v>
          </cell>
        </row>
        <row r="1921">
          <cell r="A1921" t="str">
            <v>525515001</v>
          </cell>
          <cell r="B1921" t="str">
            <v>525515001 VTAS - PASAJES AEREOS</v>
          </cell>
          <cell r="C1921">
            <v>29234120</v>
          </cell>
        </row>
        <row r="1922">
          <cell r="A1922" t="str">
            <v/>
          </cell>
          <cell r="B1922" t="str">
            <v>Total Pasajes aereos</v>
          </cell>
          <cell r="C1922">
            <v>29234120</v>
          </cell>
        </row>
        <row r="1923">
          <cell r="A1923" t="str">
            <v/>
          </cell>
          <cell r="B1923" t="str">
            <v>525520. Pasajes Terrestres</v>
          </cell>
          <cell r="C1923">
            <v>0</v>
          </cell>
        </row>
        <row r="1924">
          <cell r="A1924" t="str">
            <v>525520001</v>
          </cell>
          <cell r="B1924" t="str">
            <v>525520001 VTAS - PASAJES TERRESTRES</v>
          </cell>
          <cell r="C1924">
            <v>13496330</v>
          </cell>
        </row>
        <row r="1925">
          <cell r="A1925" t="str">
            <v/>
          </cell>
          <cell r="B1925" t="str">
            <v>Total Pasajes Terrestres</v>
          </cell>
          <cell r="C1925">
            <v>13496330</v>
          </cell>
        </row>
        <row r="1926">
          <cell r="A1926" t="str">
            <v/>
          </cell>
          <cell r="B1926" t="str">
            <v>525595. Otros</v>
          </cell>
          <cell r="C1926">
            <v>0</v>
          </cell>
        </row>
        <row r="1927">
          <cell r="A1927" t="str">
            <v>525595001</v>
          </cell>
          <cell r="B1927" t="str">
            <v>525595001 VTAS - OTROS GTOS DE VIAJE</v>
          </cell>
          <cell r="C1927">
            <v>19410885</v>
          </cell>
        </row>
        <row r="1928">
          <cell r="A1928" t="str">
            <v/>
          </cell>
          <cell r="B1928" t="str">
            <v>Total Otros</v>
          </cell>
          <cell r="C1928">
            <v>19410885</v>
          </cell>
        </row>
        <row r="1929">
          <cell r="A1929" t="str">
            <v/>
          </cell>
          <cell r="B1929" t="str">
            <v>Total 5225 Gastos de Viaje</v>
          </cell>
          <cell r="C1929">
            <v>136240399</v>
          </cell>
        </row>
        <row r="1930">
          <cell r="A1930" t="str">
            <v/>
          </cell>
          <cell r="B1930" t="str">
            <v>5265. Amortizaciones y Agotamiento</v>
          </cell>
          <cell r="C1930">
            <v>0</v>
          </cell>
        </row>
        <row r="1931">
          <cell r="A1931" t="str">
            <v/>
          </cell>
          <cell r="B1931" t="str">
            <v>526515. Intangibles</v>
          </cell>
          <cell r="C1931">
            <v>0</v>
          </cell>
        </row>
        <row r="1932">
          <cell r="A1932" t="str">
            <v>526515000</v>
          </cell>
          <cell r="B1932" t="str">
            <v>526515000 VTAS - AMORTIZACION INTANGIBLES - MARCAS</v>
          </cell>
          <cell r="C1932">
            <v>41402098</v>
          </cell>
        </row>
        <row r="1933">
          <cell r="A1933" t="str">
            <v/>
          </cell>
          <cell r="B1933" t="str">
            <v>Total Intangibles</v>
          </cell>
          <cell r="C1933">
            <v>41402098</v>
          </cell>
        </row>
        <row r="1934">
          <cell r="A1934" t="str">
            <v/>
          </cell>
          <cell r="B1934" t="str">
            <v>526520. Cargos Diferidos</v>
          </cell>
          <cell r="C1934">
            <v>0</v>
          </cell>
        </row>
        <row r="1935">
          <cell r="A1935" t="str">
            <v>526520004</v>
          </cell>
          <cell r="B1935" t="str">
            <v>526520004 VTAS - DIFERIDOS PROGR.PARA COMPUTADOR</v>
          </cell>
          <cell r="C1935">
            <v>33110910</v>
          </cell>
        </row>
        <row r="1936">
          <cell r="A1936" t="str">
            <v/>
          </cell>
          <cell r="B1936" t="str">
            <v>Total Cargos Diferidos</v>
          </cell>
          <cell r="C1936">
            <v>33110910</v>
          </cell>
        </row>
        <row r="1937">
          <cell r="A1937" t="str">
            <v/>
          </cell>
          <cell r="B1937" t="str">
            <v>Total 5265 Amortizaciones y Agotamiento</v>
          </cell>
          <cell r="C1937">
            <v>74513008</v>
          </cell>
        </row>
        <row r="1938">
          <cell r="A1938" t="str">
            <v/>
          </cell>
          <cell r="B1938" t="str">
            <v>5295. Diversos</v>
          </cell>
          <cell r="C1938">
            <v>0</v>
          </cell>
        </row>
        <row r="1939">
          <cell r="A1939" t="str">
            <v/>
          </cell>
          <cell r="B1939" t="str">
            <v>529510. Libros Suscripciones,periodicos y rev</v>
          </cell>
          <cell r="C1939">
            <v>0</v>
          </cell>
        </row>
        <row r="1940">
          <cell r="A1940" t="str">
            <v>529510001</v>
          </cell>
          <cell r="B1940" t="str">
            <v>529510001 VTAS - SUSCRIPCIONES Y REVISTAS BOGOTA</v>
          </cell>
          <cell r="C1940">
            <v>1409096</v>
          </cell>
        </row>
        <row r="1941">
          <cell r="A1941" t="str">
            <v/>
          </cell>
          <cell r="B1941" t="str">
            <v>Total Libros Suscripciones,periodicos y rev</v>
          </cell>
          <cell r="C1941">
            <v>1409096</v>
          </cell>
        </row>
        <row r="1942">
          <cell r="A1942" t="str">
            <v/>
          </cell>
          <cell r="B1942" t="str">
            <v>529525. Elementos de aseo y cafeteria</v>
          </cell>
          <cell r="C1942">
            <v>0</v>
          </cell>
        </row>
        <row r="1943">
          <cell r="A1943" t="str">
            <v>529525002</v>
          </cell>
          <cell r="B1943" t="str">
            <v>529525002 VTAS - SUMINISTROS DE CAFETERIA</v>
          </cell>
          <cell r="C1943">
            <v>1280805</v>
          </cell>
        </row>
        <row r="1944">
          <cell r="A1944" t="str">
            <v/>
          </cell>
          <cell r="B1944" t="str">
            <v>Total Elementos de aseo y cafeteria</v>
          </cell>
          <cell r="C1944">
            <v>1280805</v>
          </cell>
        </row>
        <row r="1945">
          <cell r="A1945" t="str">
            <v/>
          </cell>
          <cell r="B1945" t="str">
            <v>529530. Utiles,pepeleria y fotocopias</v>
          </cell>
          <cell r="C1945">
            <v>0</v>
          </cell>
        </row>
        <row r="1946">
          <cell r="A1946" t="str">
            <v>529530001</v>
          </cell>
          <cell r="B1946" t="str">
            <v>529530001 VTAS - FOTOCOPIAS Y HELIOGRAFO</v>
          </cell>
          <cell r="C1946">
            <v>4543626</v>
          </cell>
        </row>
        <row r="1947">
          <cell r="A1947" t="str">
            <v>529530002</v>
          </cell>
          <cell r="B1947" t="str">
            <v>529530002 VTAS - PAPELERIA - UTILES DE OFICINA</v>
          </cell>
          <cell r="C1947">
            <v>934878</v>
          </cell>
        </row>
        <row r="1948">
          <cell r="A1948" t="str">
            <v>529530004</v>
          </cell>
          <cell r="B1948" t="str">
            <v>529530004 VTAS - REVELADOS ROLLOS Y OTROS</v>
          </cell>
          <cell r="C1948">
            <v>418000</v>
          </cell>
        </row>
        <row r="1949">
          <cell r="A1949" t="str">
            <v>529530005</v>
          </cell>
          <cell r="B1949" t="str">
            <v>529530005 VTAS - ENCUADERNACION</v>
          </cell>
          <cell r="C1949">
            <v>11500</v>
          </cell>
        </row>
        <row r="1950">
          <cell r="A1950" t="str">
            <v/>
          </cell>
          <cell r="B1950" t="str">
            <v>Total Utiles,pepeleria y fotocopias</v>
          </cell>
          <cell r="C1950">
            <v>5908004</v>
          </cell>
        </row>
        <row r="1951">
          <cell r="A1951" t="str">
            <v/>
          </cell>
          <cell r="B1951" t="str">
            <v>529535. Combustibles y lubricantes</v>
          </cell>
          <cell r="C1951">
            <v>0</v>
          </cell>
        </row>
        <row r="1952">
          <cell r="A1952" t="str">
            <v>529535001</v>
          </cell>
          <cell r="B1952" t="str">
            <v>529535001 VTAS - GASTOS DE COMBUSTIBLES Y LUBIRCANTES</v>
          </cell>
          <cell r="C1952">
            <v>243000</v>
          </cell>
        </row>
        <row r="1953">
          <cell r="A1953" t="str">
            <v/>
          </cell>
          <cell r="B1953" t="str">
            <v>Total Combustibles y lubricantes</v>
          </cell>
          <cell r="C1953">
            <v>243000</v>
          </cell>
        </row>
        <row r="1954">
          <cell r="A1954" t="str">
            <v/>
          </cell>
          <cell r="B1954" t="str">
            <v>529540. Envases y empaques</v>
          </cell>
          <cell r="C1954">
            <v>0</v>
          </cell>
        </row>
        <row r="1955">
          <cell r="A1955" t="str">
            <v>529540001</v>
          </cell>
          <cell r="B1955" t="str">
            <v>529540001 VTAS - EMPAQUES</v>
          </cell>
          <cell r="C1955">
            <v>382661670</v>
          </cell>
        </row>
        <row r="1956">
          <cell r="A1956" t="str">
            <v/>
          </cell>
          <cell r="B1956" t="str">
            <v>Total Envases y empaques</v>
          </cell>
          <cell r="C1956">
            <v>382661670</v>
          </cell>
        </row>
        <row r="1957">
          <cell r="A1957" t="str">
            <v/>
          </cell>
          <cell r="B1957" t="str">
            <v>529545. Taxis y buses</v>
          </cell>
          <cell r="C1957">
            <v>0</v>
          </cell>
        </row>
        <row r="1958">
          <cell r="A1958" t="str">
            <v>529545001</v>
          </cell>
          <cell r="B1958" t="str">
            <v>529545001 VTAS - TRASPORTE URBANO,TAXIS Y BUSES</v>
          </cell>
          <cell r="C1958">
            <v>15347211</v>
          </cell>
        </row>
        <row r="1959">
          <cell r="A1959" t="str">
            <v/>
          </cell>
          <cell r="B1959" t="str">
            <v>Total Taxis y buses</v>
          </cell>
          <cell r="C1959">
            <v>15347211</v>
          </cell>
        </row>
        <row r="1960">
          <cell r="A1960" t="str">
            <v/>
          </cell>
          <cell r="B1960" t="str">
            <v>529560. Casino y restaurante</v>
          </cell>
          <cell r="C1960">
            <v>0</v>
          </cell>
        </row>
        <row r="1961">
          <cell r="A1961" t="str">
            <v>529560001</v>
          </cell>
          <cell r="B1961" t="str">
            <v>529560001 VTAS - CASINO Y RESTAURANTE</v>
          </cell>
          <cell r="C1961">
            <v>40955379</v>
          </cell>
        </row>
        <row r="1962">
          <cell r="A1962" t="str">
            <v/>
          </cell>
          <cell r="B1962" t="str">
            <v>Total Casino y restaurante</v>
          </cell>
          <cell r="C1962">
            <v>40955379</v>
          </cell>
        </row>
        <row r="1963">
          <cell r="A1963" t="str">
            <v/>
          </cell>
          <cell r="B1963" t="str">
            <v>529562. Gastos reuniones y conferencias</v>
          </cell>
          <cell r="C1963">
            <v>0</v>
          </cell>
        </row>
        <row r="1964">
          <cell r="A1964" t="str">
            <v>529562002</v>
          </cell>
          <cell r="B1964" t="str">
            <v>529562002 VTAS - CONFERENCIAS SEMINAR-TALLER</v>
          </cell>
          <cell r="C1964">
            <v>2700000</v>
          </cell>
        </row>
        <row r="1965">
          <cell r="A1965" t="str">
            <v/>
          </cell>
          <cell r="B1965" t="str">
            <v>Total Gastos reuniones y conferencias</v>
          </cell>
          <cell r="C1965">
            <v>2700000</v>
          </cell>
        </row>
        <row r="1966">
          <cell r="A1966" t="str">
            <v/>
          </cell>
          <cell r="B1966" t="str">
            <v>529565. Parqueaderos</v>
          </cell>
          <cell r="C1966">
            <v>0</v>
          </cell>
        </row>
        <row r="1967">
          <cell r="A1967" t="str">
            <v>529565001</v>
          </cell>
          <cell r="B1967" t="str">
            <v>529565001 VTAS - PARQUEADEROS</v>
          </cell>
          <cell r="C1967">
            <v>1029400</v>
          </cell>
        </row>
        <row r="1968">
          <cell r="A1968" t="str">
            <v/>
          </cell>
          <cell r="B1968" t="str">
            <v>Total Parqueaderos</v>
          </cell>
          <cell r="C1968">
            <v>1029400</v>
          </cell>
        </row>
        <row r="1969">
          <cell r="A1969" t="str">
            <v/>
          </cell>
          <cell r="B1969" t="str">
            <v>529595. Otros</v>
          </cell>
          <cell r="C1969">
            <v>0</v>
          </cell>
        </row>
        <row r="1970">
          <cell r="A1970" t="str">
            <v>529595002</v>
          </cell>
          <cell r="B1970" t="str">
            <v>529595002 VTAS - RIFAS PREMIOS OBSEQUIOS</v>
          </cell>
          <cell r="C1970">
            <v>507240651</v>
          </cell>
        </row>
        <row r="1971">
          <cell r="A1971" t="str">
            <v>529595006</v>
          </cell>
          <cell r="B1971" t="str">
            <v>529595006 VTAS - ATENCION A ASOCIADOS</v>
          </cell>
          <cell r="C1971">
            <v>4432959</v>
          </cell>
        </row>
        <row r="1972">
          <cell r="A1972" t="str">
            <v>529595009</v>
          </cell>
          <cell r="B1972" t="str">
            <v>529595009 VTAS - ROTURAS - DESGUASE DE MERCANCIA</v>
          </cell>
          <cell r="C1972">
            <v>12235073</v>
          </cell>
        </row>
        <row r="1973">
          <cell r="A1973" t="str">
            <v>529595010</v>
          </cell>
          <cell r="B1973" t="str">
            <v>529595010 VTAS - OTROS SUMINISTROS</v>
          </cell>
          <cell r="C1973">
            <v>35181712</v>
          </cell>
        </row>
        <row r="1974">
          <cell r="A1974" t="str">
            <v>529595011</v>
          </cell>
          <cell r="B1974" t="str">
            <v>529595011 VTAS - IMPLEMENTACION SISTEMAS</v>
          </cell>
          <cell r="C1974">
            <v>62000</v>
          </cell>
        </row>
        <row r="1975">
          <cell r="A1975" t="str">
            <v>529595016</v>
          </cell>
          <cell r="B1975" t="str">
            <v>529595016 VTAS - EVENTOS VARIOS</v>
          </cell>
          <cell r="C1975">
            <v>208781895</v>
          </cell>
        </row>
        <row r="1976">
          <cell r="A1976" t="str">
            <v>529595020</v>
          </cell>
          <cell r="B1976" t="str">
            <v>529595020 VTAS - COMUNICACION ELECTRON.DE DATOS</v>
          </cell>
          <cell r="C1976">
            <v>4982622</v>
          </cell>
        </row>
        <row r="1977">
          <cell r="A1977" t="str">
            <v>529595024</v>
          </cell>
          <cell r="B1977" t="str">
            <v>529595024 VTAS - OTROS GTOS GENERALES</v>
          </cell>
          <cell r="C1977">
            <v>51220537</v>
          </cell>
        </row>
        <row r="1978">
          <cell r="A1978" t="str">
            <v>529595101</v>
          </cell>
          <cell r="B1978" t="str">
            <v>529595101 VTAS - DIFERENCIAS MAYORES MCÍA  ETICOS GRAVADA</v>
          </cell>
          <cell r="C1978">
            <v>0</v>
          </cell>
        </row>
        <row r="1979">
          <cell r="A1979" t="str">
            <v>529595102</v>
          </cell>
          <cell r="B1979" t="str">
            <v>529595102 VTAS - DIFERENCIAS MAYORES MCÍA  ETICOS EXENTA</v>
          </cell>
          <cell r="C1979">
            <v>0</v>
          </cell>
        </row>
        <row r="1980">
          <cell r="A1980" t="str">
            <v>529595111</v>
          </cell>
          <cell r="B1980" t="str">
            <v>529595111 VTAS - DIFERENCIAS MAYORES MCÍA  POPULARES GRAV.</v>
          </cell>
          <cell r="C1980">
            <v>2</v>
          </cell>
        </row>
        <row r="1981">
          <cell r="A1981" t="str">
            <v>529595112</v>
          </cell>
          <cell r="B1981" t="str">
            <v>529595112 VTAS - DIFERENCIAS MAYORES MCÍA  POPULARES  EXENTA</v>
          </cell>
          <cell r="C1981">
            <v>0</v>
          </cell>
        </row>
        <row r="1982">
          <cell r="A1982" t="str">
            <v>529595193</v>
          </cell>
          <cell r="B1982" t="str">
            <v>529595193 VTAS - DIFERENCIAS MENORES EN COMPRAS</v>
          </cell>
          <cell r="C1982">
            <v>29105</v>
          </cell>
        </row>
        <row r="1983">
          <cell r="A1983" t="str">
            <v/>
          </cell>
          <cell r="B1983" t="str">
            <v>Total Otros</v>
          </cell>
          <cell r="C1983">
            <v>824166556</v>
          </cell>
        </row>
        <row r="1984">
          <cell r="A1984" t="str">
            <v/>
          </cell>
          <cell r="B1984" t="str">
            <v>Total 5295 Diversos</v>
          </cell>
          <cell r="C1984">
            <v>1275701121</v>
          </cell>
        </row>
        <row r="1985">
          <cell r="A1985" t="str">
            <v/>
          </cell>
          <cell r="B1985" t="str">
            <v>Total 52. Gastos de ventas</v>
          </cell>
          <cell r="C1985">
            <v>16062671813</v>
          </cell>
        </row>
        <row r="1986">
          <cell r="A1986" t="str">
            <v/>
          </cell>
          <cell r="B1986" t="str">
            <v>53. Gastos no operacionales</v>
          </cell>
          <cell r="C1986">
            <v>0</v>
          </cell>
        </row>
        <row r="1987">
          <cell r="A1987" t="str">
            <v/>
          </cell>
          <cell r="B1987" t="str">
            <v>5310. Perdida en venta y retiro de bienes</v>
          </cell>
          <cell r="C1987">
            <v>0</v>
          </cell>
        </row>
        <row r="1988">
          <cell r="A1988" t="str">
            <v/>
          </cell>
          <cell r="B1988" t="str">
            <v>531040. Perdida por siniestros</v>
          </cell>
          <cell r="C1988">
            <v>0</v>
          </cell>
        </row>
        <row r="1989">
          <cell r="A1989" t="str">
            <v>531040001</v>
          </cell>
          <cell r="B1989" t="str">
            <v>531040001 VTAS - (DEDUCIBLE) ROBO MERCANCIA</v>
          </cell>
          <cell r="C1989">
            <v>3236646</v>
          </cell>
        </row>
        <row r="1990">
          <cell r="A1990" t="str">
            <v/>
          </cell>
          <cell r="B1990" t="str">
            <v>Perdida por siniestros</v>
          </cell>
          <cell r="C1990">
            <v>3236646</v>
          </cell>
        </row>
        <row r="1991">
          <cell r="A1991" t="str">
            <v/>
          </cell>
          <cell r="B1991" t="str">
            <v>Total 5310 Perdida en venta y retiro de biene</v>
          </cell>
          <cell r="C1991">
            <v>3236646</v>
          </cell>
        </row>
        <row r="1992">
          <cell r="A1992" t="str">
            <v/>
          </cell>
          <cell r="B1992" t="str">
            <v>5395. Gastos Diversos</v>
          </cell>
          <cell r="C1992">
            <v>0</v>
          </cell>
        </row>
        <row r="1993">
          <cell r="A1993" t="str">
            <v/>
          </cell>
          <cell r="B1993" t="str">
            <v>539520. Multas sanciones y litigios</v>
          </cell>
          <cell r="C1993">
            <v>0</v>
          </cell>
        </row>
        <row r="1994">
          <cell r="A1994" t="str">
            <v>539520000</v>
          </cell>
          <cell r="B1994" t="str">
            <v>539520000  MULTAS, SANCIONES Y LITIGIOS</v>
          </cell>
          <cell r="C1994">
            <v>2585347</v>
          </cell>
        </row>
        <row r="1995">
          <cell r="A1995" t="str">
            <v/>
          </cell>
          <cell r="B1995" t="str">
            <v>Total Multas sanciones y litigios</v>
          </cell>
          <cell r="C1995">
            <v>2585347</v>
          </cell>
        </row>
        <row r="1996">
          <cell r="A1996" t="str">
            <v/>
          </cell>
          <cell r="B1996" t="str">
            <v>539595. Otros</v>
          </cell>
          <cell r="C1996">
            <v>0</v>
          </cell>
        </row>
        <row r="1997">
          <cell r="A1997" t="str">
            <v>539595003</v>
          </cell>
          <cell r="B1997" t="str">
            <v>539595003 PERDIDA EN VENTAS DE ACTIVOS FIJOS</v>
          </cell>
          <cell r="C1997">
            <v>-6438848</v>
          </cell>
        </row>
        <row r="1998">
          <cell r="A1998" t="str">
            <v>539595005</v>
          </cell>
          <cell r="B1998" t="str">
            <v>539595005 VTAS - GASTOS LANZAMIENTO FRANQUICIAS Y MARCAS PRO</v>
          </cell>
          <cell r="C1998">
            <v>6628200</v>
          </cell>
        </row>
        <row r="1999">
          <cell r="A1999" t="str">
            <v>539595006</v>
          </cell>
          <cell r="B1999" t="str">
            <v>539595006 VTAS - IMPUESTO AL PATRIMONIO</v>
          </cell>
          <cell r="C1999">
            <v>177192000</v>
          </cell>
        </row>
        <row r="2000">
          <cell r="A2000" t="str">
            <v/>
          </cell>
          <cell r="B2000" t="str">
            <v>Total Otros</v>
          </cell>
          <cell r="C2000">
            <v>177381352</v>
          </cell>
        </row>
        <row r="2001">
          <cell r="A2001" t="str">
            <v/>
          </cell>
          <cell r="B2001" t="str">
            <v>Total 5395 Gastos Diversos</v>
          </cell>
          <cell r="C2001">
            <v>179966699</v>
          </cell>
        </row>
        <row r="2002">
          <cell r="A2002" t="str">
            <v/>
          </cell>
          <cell r="B2002" t="str">
            <v>Total 53. Gastos no operacionales</v>
          </cell>
          <cell r="C2002">
            <v>183203345</v>
          </cell>
        </row>
        <row r="2003">
          <cell r="A2003" t="str">
            <v/>
          </cell>
          <cell r="B2003" t="str">
            <v>Total  5 Gastos</v>
          </cell>
          <cell r="C2003">
            <v>29085691063</v>
          </cell>
        </row>
        <row r="2004">
          <cell r="A2004" t="str">
            <v/>
          </cell>
          <cell r="B2004" t="str">
            <v>6. Costos</v>
          </cell>
          <cell r="C2004">
            <v>0</v>
          </cell>
        </row>
        <row r="2005">
          <cell r="A2005" t="str">
            <v/>
          </cell>
          <cell r="B2005" t="str">
            <v>61. Costo de ventas y de prestacion de servi.</v>
          </cell>
          <cell r="C2005">
            <v>0</v>
          </cell>
        </row>
        <row r="2006">
          <cell r="A2006" t="str">
            <v/>
          </cell>
          <cell r="B2006" t="str">
            <v>6135. Comercio al por mayor y al por menor</v>
          </cell>
          <cell r="C2006">
            <v>0</v>
          </cell>
        </row>
        <row r="2007">
          <cell r="A2007" t="str">
            <v/>
          </cell>
          <cell r="B2007" t="str">
            <v>613538. Venta,product.aseo,farmac.medici.y ar</v>
          </cell>
          <cell r="C2007">
            <v>0</v>
          </cell>
        </row>
        <row r="2008">
          <cell r="A2008" t="str">
            <v>613538001</v>
          </cell>
          <cell r="B2008" t="str">
            <v>613538001 COSTO DE VENTAS MCÍA  EXCLUIDA  ETICOS ASOCIADOS</v>
          </cell>
          <cell r="C2008">
            <v>248061611771</v>
          </cell>
        </row>
        <row r="2009">
          <cell r="A2009" t="str">
            <v>613538002</v>
          </cell>
          <cell r="B2009" t="str">
            <v>613538002 COSTO DE VENTAS MCÍA  EXCLUUID POPULARES ASOCIADOS</v>
          </cell>
          <cell r="C2009">
            <v>36081099270</v>
          </cell>
        </row>
        <row r="2010">
          <cell r="A2010" t="str">
            <v>613538004</v>
          </cell>
          <cell r="B2010" t="str">
            <v>613538004 COSTO DE VENTAS MCÍA  GRAVADA ETICOS ASOCIADOS</v>
          </cell>
          <cell r="C2010">
            <v>3124907724</v>
          </cell>
        </row>
        <row r="2011">
          <cell r="A2011" t="str">
            <v>613538005</v>
          </cell>
          <cell r="B2011" t="str">
            <v>613538005 COSTO DE VENTAS MCÍA  GRAVADAS POPULARES ASOCIADOS</v>
          </cell>
          <cell r="C2011">
            <v>119142690805</v>
          </cell>
        </row>
        <row r="2012">
          <cell r="A2012" t="str">
            <v>613538006</v>
          </cell>
          <cell r="B2012" t="str">
            <v>613538006 COSTO DE VENTAS MCÍA  GRAVADAS  CONVENIOS ASOCIADO</v>
          </cell>
          <cell r="C2012">
            <v>14218</v>
          </cell>
        </row>
        <row r="2013">
          <cell r="A2013" t="str">
            <v>613538061</v>
          </cell>
          <cell r="B2013" t="str">
            <v>613538061 COSTO DE VENTAS CONVENIOS (FI)</v>
          </cell>
          <cell r="C2013">
            <v>-12585886</v>
          </cell>
        </row>
        <row r="2014">
          <cell r="A2014" t="str">
            <v>613538069</v>
          </cell>
          <cell r="B2014" t="str">
            <v>613538069 COSTO DE VENTAS MCÍA   CONVENIOS ASOCIADOS</v>
          </cell>
          <cell r="C2014">
            <v>1878907773</v>
          </cell>
        </row>
        <row r="2015">
          <cell r="A2015" t="str">
            <v>613538071</v>
          </cell>
          <cell r="B2015" t="str">
            <v>613538071 COSTO DE VENTAS EXCLUIDA ETICOS SINIESTROS</v>
          </cell>
          <cell r="C2015">
            <v>-114352689</v>
          </cell>
        </row>
        <row r="2016">
          <cell r="A2016" t="str">
            <v>613538072</v>
          </cell>
          <cell r="B2016" t="str">
            <v>613538072 COSTO DE VENTAS EXCLUIDA POPULARES SINIESTROS</v>
          </cell>
          <cell r="C2016">
            <v>-11601907</v>
          </cell>
        </row>
        <row r="2017">
          <cell r="A2017" t="str">
            <v>613538074</v>
          </cell>
          <cell r="B2017" t="str">
            <v>613538074 COSTO DE VENTAS GRAVADA ETICOS SINIESTROS</v>
          </cell>
          <cell r="C2017">
            <v>-641474</v>
          </cell>
        </row>
        <row r="2018">
          <cell r="A2018" t="str">
            <v>613538075</v>
          </cell>
          <cell r="B2018" t="str">
            <v>613538075 COSTO DE VENTAS GRAVADA POPULARES SINIESTROS</v>
          </cell>
          <cell r="C2018">
            <v>-31574930</v>
          </cell>
        </row>
        <row r="2019">
          <cell r="A2019" t="str">
            <v>613538081</v>
          </cell>
          <cell r="B2019" t="str">
            <v>613538081 DIFERENCIA EN COSTO MCIA EXCLUIDA ETICOS (FI)</v>
          </cell>
          <cell r="C2019">
            <v>-2047757212</v>
          </cell>
        </row>
        <row r="2020">
          <cell r="A2020" t="str">
            <v>613538082</v>
          </cell>
          <cell r="B2020" t="str">
            <v>613538082 DIFERENCIA EN COSTO MCIA EXCLUIDA POPULARES (FI)</v>
          </cell>
          <cell r="C2020">
            <v>-4228738</v>
          </cell>
        </row>
        <row r="2021">
          <cell r="A2021" t="str">
            <v>613538084</v>
          </cell>
          <cell r="B2021" t="str">
            <v>613538084 DIFERENCIA EN COSTO MCIA GRAVADA ETICOS (FI)</v>
          </cell>
          <cell r="C2021">
            <v>-1559056</v>
          </cell>
        </row>
        <row r="2022">
          <cell r="A2022" t="str">
            <v>613538085</v>
          </cell>
          <cell r="B2022" t="str">
            <v>613538085 DIFERENCIA EN COSTO MCIA GRAVADA POPULARES (FI)</v>
          </cell>
          <cell r="C2022">
            <v>-41867342</v>
          </cell>
        </row>
        <row r="2023">
          <cell r="A2023" t="str">
            <v>613538091</v>
          </cell>
          <cell r="B2023" t="str">
            <v>613538091 VARIACIONES EN PRECIOS Y LOTES DE INVENTARIO</v>
          </cell>
          <cell r="C2023">
            <v>-3670026</v>
          </cell>
        </row>
        <row r="2024">
          <cell r="A2024" t="str">
            <v>613538092</v>
          </cell>
          <cell r="B2024" t="str">
            <v>613538092 COSTO POR DIFERENCIA EN PRECIOS(VARIACIONES)</v>
          </cell>
          <cell r="C2024">
            <v>-75045375</v>
          </cell>
        </row>
        <row r="2025">
          <cell r="A2025" t="str">
            <v/>
          </cell>
          <cell r="B2025" t="str">
            <v>Total Venta,product.aseo,farmac.medici.y ar</v>
          </cell>
          <cell r="C2025">
            <v>405944346926</v>
          </cell>
        </row>
        <row r="2026">
          <cell r="A2026" t="str">
            <v/>
          </cell>
          <cell r="B2026" t="str">
            <v>Total 6135 Ccio al por mayor y al por menor</v>
          </cell>
          <cell r="C2026">
            <v>405944346926</v>
          </cell>
        </row>
        <row r="2027">
          <cell r="A2027" t="str">
            <v/>
          </cell>
          <cell r="B2027" t="str">
            <v>6150. Actividad Financiera</v>
          </cell>
          <cell r="C2027">
            <v>0</v>
          </cell>
        </row>
        <row r="2028">
          <cell r="A2028" t="str">
            <v/>
          </cell>
          <cell r="B2028" t="str">
            <v>615010. Intereses sobre depositos de ahorro</v>
          </cell>
          <cell r="C2028">
            <v>0</v>
          </cell>
        </row>
        <row r="2029">
          <cell r="A2029" t="str">
            <v>615010001</v>
          </cell>
          <cell r="B2029" t="str">
            <v>615010001 INT. SOBRE DEPOSITOS  DE  AHORRO A TERMAYC</v>
          </cell>
          <cell r="C2029">
            <v>273363193</v>
          </cell>
        </row>
        <row r="2030">
          <cell r="A2030" t="str">
            <v/>
          </cell>
          <cell r="B2030" t="str">
            <v>Total Intereses sobre depositos de ahorro</v>
          </cell>
          <cell r="C2030">
            <v>273363193</v>
          </cell>
        </row>
        <row r="2031">
          <cell r="A2031" t="str">
            <v/>
          </cell>
          <cell r="B2031" t="str">
            <v>615015. Intereses ahorro contractual</v>
          </cell>
          <cell r="C2031">
            <v>0</v>
          </cell>
        </row>
        <row r="2032">
          <cell r="A2032" t="str">
            <v>615015001</v>
          </cell>
          <cell r="B2032" t="str">
            <v>615015001 INT. SOBRE DEPOSITOS AYC</v>
          </cell>
          <cell r="C2032">
            <v>821175727</v>
          </cell>
        </row>
        <row r="2033">
          <cell r="A2033" t="str">
            <v>615015002</v>
          </cell>
          <cell r="B2033" t="str">
            <v>615015002 INT. CUBRIMIENTO CESANTIAS AYC</v>
          </cell>
          <cell r="C2033">
            <v>48712251</v>
          </cell>
        </row>
        <row r="2034">
          <cell r="A2034" t="str">
            <v>615015004</v>
          </cell>
          <cell r="B2034" t="str">
            <v>615015004 INT. SOBRE AHORRO TURISMO  AYC</v>
          </cell>
          <cell r="C2034">
            <v>5514829</v>
          </cell>
        </row>
        <row r="2035">
          <cell r="A2035" t="str">
            <v/>
          </cell>
          <cell r="B2035" t="str">
            <v>Total Intereses ahorro contractual</v>
          </cell>
          <cell r="C2035">
            <v>875402807</v>
          </cell>
        </row>
        <row r="2036">
          <cell r="A2036" t="str">
            <v/>
          </cell>
          <cell r="B2036" t="str">
            <v>Total 6150 Actividad Financiera</v>
          </cell>
          <cell r="C2036">
            <v>1148766000</v>
          </cell>
        </row>
        <row r="2037">
          <cell r="A2037" t="str">
            <v/>
          </cell>
          <cell r="B2037" t="str">
            <v>Total 61. Cto de Vtas y de prestacion de ser.</v>
          </cell>
          <cell r="C2037">
            <v>407093112926</v>
          </cell>
        </row>
        <row r="2038">
          <cell r="A2038" t="str">
            <v/>
          </cell>
          <cell r="B2038" t="str">
            <v>62. Compras</v>
          </cell>
          <cell r="C2038">
            <v>0</v>
          </cell>
        </row>
        <row r="2039">
          <cell r="A2039" t="str">
            <v/>
          </cell>
          <cell r="B2039" t="str">
            <v>6225. Devol,rebajas y descuentos en compras</v>
          </cell>
          <cell r="C2039">
            <v>0</v>
          </cell>
        </row>
        <row r="2040">
          <cell r="A2040" t="str">
            <v/>
          </cell>
          <cell r="B2040" t="str">
            <v>622505. Devol,rebajas y descuentos en compras</v>
          </cell>
          <cell r="C2040">
            <v>0</v>
          </cell>
        </row>
        <row r="2041">
          <cell r="A2041" t="str">
            <v>622505001</v>
          </cell>
          <cell r="B2041" t="str">
            <v>622505001 DEVOLUCIONES EN COSTO MCÍA  EXCLUID  ETICOS ASOCIA</v>
          </cell>
          <cell r="C2041">
            <v>-4682110778</v>
          </cell>
        </row>
        <row r="2042">
          <cell r="A2042" t="str">
            <v>622505002</v>
          </cell>
          <cell r="B2042" t="str">
            <v>622505002 DEVOLUCIONES EN COSTO MCÍA  EXCL POPULARES ASOCI</v>
          </cell>
          <cell r="C2042">
            <v>-367596265</v>
          </cell>
        </row>
        <row r="2043">
          <cell r="A2043" t="str">
            <v>622505004</v>
          </cell>
          <cell r="B2043" t="str">
            <v>622505004 DEVOLUCIONES EN COSTO MCÍA  GRAVADA ETICOS ASOCIAD</v>
          </cell>
          <cell r="C2043">
            <v>-77851974</v>
          </cell>
        </row>
        <row r="2044">
          <cell r="A2044" t="str">
            <v>622505005</v>
          </cell>
          <cell r="B2044" t="str">
            <v>622505005 DEVOLUCIONES EN COSTO MCÍA  GRAVADAS POPULARES ASO</v>
          </cell>
          <cell r="C2044">
            <v>-1124470922</v>
          </cell>
        </row>
        <row r="2045">
          <cell r="A2045" t="str">
            <v>622505006</v>
          </cell>
          <cell r="B2045" t="str">
            <v>622505006 DEVOLUCIONES EN COSTO MCÍA  GRAVADAS  CONVENIOS AS</v>
          </cell>
          <cell r="C2045">
            <v>-3</v>
          </cell>
        </row>
        <row r="2046">
          <cell r="A2046" t="str">
            <v>622505041</v>
          </cell>
          <cell r="B2046" t="str">
            <v>622505041 DEVOLUCIONES EN COSTO MCÍA  EXCLUIDA POPULARES EPS</v>
          </cell>
          <cell r="C2046">
            <v>-358120</v>
          </cell>
        </row>
        <row r="2047">
          <cell r="A2047" t="str">
            <v>622505092</v>
          </cell>
          <cell r="B2047" t="str">
            <v>622505092 DEVOLUCIONES DIFERENCIA EN PRECIOS(VARIACIONES)</v>
          </cell>
          <cell r="C2047">
            <v>358652826</v>
          </cell>
        </row>
        <row r="2048">
          <cell r="A2048" t="str">
            <v/>
          </cell>
          <cell r="B2048" t="str">
            <v>Total Devol,rebajas y descuentos en compras</v>
          </cell>
          <cell r="C2048">
            <v>-5893735236</v>
          </cell>
        </row>
        <row r="2049">
          <cell r="A2049" t="str">
            <v/>
          </cell>
          <cell r="B2049" t="str">
            <v>622510.Descuentos en compras</v>
          </cell>
          <cell r="C2049">
            <v>0</v>
          </cell>
        </row>
        <row r="2050">
          <cell r="A2050" t="str">
            <v>622510001</v>
          </cell>
          <cell r="B2050" t="str">
            <v>622510001 DTOS POR PAGO ANTICIPADO(G.FINANCIERA)</v>
          </cell>
          <cell r="C2050">
            <v>-1781705658</v>
          </cell>
        </row>
        <row r="2051">
          <cell r="A2051" t="str">
            <v>622510002</v>
          </cell>
          <cell r="B2051" t="str">
            <v>622510002 DTOS POR V/MEN  PERIODICO (MENSUAL,BIMESTRAL,TRIM)</v>
          </cell>
          <cell r="C2051">
            <v>-2504701928</v>
          </cell>
        </row>
        <row r="2052">
          <cell r="A2052" t="str">
            <v>622510003</v>
          </cell>
          <cell r="B2052" t="str">
            <v>622510003 DESCUENTOS CONFIDENCIALES (G. COMERCIAL)</v>
          </cell>
          <cell r="C2052">
            <v>-1043501262</v>
          </cell>
        </row>
        <row r="2053">
          <cell r="A2053" t="str">
            <v>622510004</v>
          </cell>
          <cell r="B2053" t="str">
            <v>622510004 DTOS POR TELEFERIA</v>
          </cell>
          <cell r="C2053">
            <v>-1443386714</v>
          </cell>
        </row>
        <row r="2054">
          <cell r="A2054" t="str">
            <v>622510005</v>
          </cell>
          <cell r="B2054" t="str">
            <v>622510005 DTOS POR PAGO OPORTUNO (GESTION COMERCIAL)</v>
          </cell>
          <cell r="C2054">
            <v>-16006118790</v>
          </cell>
        </row>
        <row r="2055">
          <cell r="A2055" t="str">
            <v>622510006</v>
          </cell>
          <cell r="B2055" t="str">
            <v>622510006 OTROS DTOS  ACTIVIDADES COMERCIALES</v>
          </cell>
          <cell r="C2055">
            <v>-371998495</v>
          </cell>
        </row>
        <row r="2056">
          <cell r="A2056" t="str">
            <v>622510007</v>
          </cell>
          <cell r="B2056" t="str">
            <v>622510007 APROVECHAMIENTOS DTOS Y OTROS</v>
          </cell>
          <cell r="C2056">
            <v>-123740759</v>
          </cell>
        </row>
        <row r="2057">
          <cell r="A2057" t="str">
            <v>622510009</v>
          </cell>
          <cell r="B2057" t="str">
            <v>622510009 DTOS X PLAN ANOTATE</v>
          </cell>
          <cell r="C2057">
            <v>-18414846</v>
          </cell>
        </row>
        <row r="2058">
          <cell r="A2058" t="str">
            <v>622510031</v>
          </cell>
          <cell r="B2058" t="str">
            <v>622510031 DESCUENTOS POR BONOS</v>
          </cell>
          <cell r="C2058">
            <v>-488945107</v>
          </cell>
        </row>
        <row r="2059">
          <cell r="A2059" t="str">
            <v>622510037</v>
          </cell>
          <cell r="B2059" t="str">
            <v>622510037 DESCUENTOS POR PLAN FIDELIDAD</v>
          </cell>
          <cell r="C2059">
            <v>-320836956</v>
          </cell>
        </row>
        <row r="2060">
          <cell r="A2060" t="str">
            <v/>
          </cell>
          <cell r="B2060" t="str">
            <v>Total Descuentos en compras</v>
          </cell>
          <cell r="C2060">
            <v>-24103350515</v>
          </cell>
        </row>
        <row r="2061">
          <cell r="A2061" t="str">
            <v/>
          </cell>
          <cell r="B2061" t="str">
            <v>Total  6225 Devol,rebajas y destos en compras</v>
          </cell>
          <cell r="C2061">
            <v>-29997085751</v>
          </cell>
        </row>
        <row r="2062">
          <cell r="A2062" t="str">
            <v/>
          </cell>
          <cell r="B2062" t="str">
            <v>Total 62 Compras</v>
          </cell>
          <cell r="C2062">
            <v>-29997085751</v>
          </cell>
        </row>
        <row r="2063">
          <cell r="A2063" t="str">
            <v/>
          </cell>
          <cell r="B2063" t="str">
            <v>Total 6 Costos</v>
          </cell>
          <cell r="C2063">
            <v>377096027175</v>
          </cell>
        </row>
        <row r="2064">
          <cell r="A2064" t="str">
            <v/>
          </cell>
          <cell r="B2064" t="str">
            <v/>
          </cell>
          <cell r="C2064">
            <v>2660673402</v>
          </cell>
        </row>
        <row r="2065">
          <cell r="A2065" t="str">
            <v>999999990</v>
          </cell>
          <cell r="B2065" t="str">
            <v>999999990 Cargue de Saldos Finanzas</v>
          </cell>
          <cell r="C2065">
            <v>0</v>
          </cell>
        </row>
        <row r="2066">
          <cell r="A2066" t="str">
            <v>999999991</v>
          </cell>
          <cell r="B2066" t="str">
            <v>999999991 Cargue de Saldos Cuentas por Cobrar</v>
          </cell>
          <cell r="C2066">
            <v>0</v>
          </cell>
        </row>
        <row r="2067">
          <cell r="A2067" t="str">
            <v>999999992</v>
          </cell>
          <cell r="B2067" t="str">
            <v>999999992 Cargue de Saldos Cuentas por Pagar</v>
          </cell>
          <cell r="C2067">
            <v>0</v>
          </cell>
        </row>
        <row r="2068">
          <cell r="A2068" t="str">
            <v>999999993</v>
          </cell>
          <cell r="B2068" t="str">
            <v>999999993 Cargue de Saldos Activos Fijos</v>
          </cell>
          <cell r="C2068">
            <v>0</v>
          </cell>
        </row>
        <row r="2069">
          <cell r="A2069" t="str">
            <v>999999994</v>
          </cell>
          <cell r="B2069" t="str">
            <v>999999994 Cargue de Saldos Materiales e Inventarios</v>
          </cell>
          <cell r="C2069">
            <v>0</v>
          </cell>
        </row>
        <row r="2070">
          <cell r="A2070" t="str">
            <v/>
          </cell>
          <cell r="B2070" t="str">
            <v/>
          </cell>
          <cell r="C2070">
            <v>0</v>
          </cell>
        </row>
        <row r="2071">
          <cell r="A2071" t="str">
            <v/>
          </cell>
          <cell r="B2071" t="str">
            <v>8. Cuentas de orden deudoras</v>
          </cell>
          <cell r="C2071">
            <v>0</v>
          </cell>
        </row>
        <row r="2072">
          <cell r="A2072" t="str">
            <v/>
          </cell>
          <cell r="B2072" t="str">
            <v>81. Deudoras contingentes</v>
          </cell>
          <cell r="C2072">
            <v>0</v>
          </cell>
        </row>
        <row r="2073">
          <cell r="A2073" t="str">
            <v/>
          </cell>
          <cell r="B2073" t="str">
            <v>8120. Intereses cartera de credito</v>
          </cell>
          <cell r="C2073">
            <v>0</v>
          </cell>
        </row>
        <row r="2074">
          <cell r="A2074" t="str">
            <v/>
          </cell>
          <cell r="B2074" t="str">
            <v>812026. Categoria C-riesgo apreciable cmo</v>
          </cell>
          <cell r="C2074">
            <v>0</v>
          </cell>
        </row>
        <row r="2075">
          <cell r="A2075" t="str">
            <v>812026001</v>
          </cell>
          <cell r="B2075" t="str">
            <v>812026001 CATEGORIA C-RIESGO APRECIABLE, CONSUMO AYC</v>
          </cell>
          <cell r="C2075">
            <v>42713485</v>
          </cell>
        </row>
        <row r="2076">
          <cell r="A2076" t="str">
            <v/>
          </cell>
          <cell r="B2076" t="str">
            <v>Total Categoria C-riesgo apreciable cmo</v>
          </cell>
          <cell r="C2076">
            <v>42713485</v>
          </cell>
        </row>
        <row r="2077">
          <cell r="A2077" t="str">
            <v/>
          </cell>
          <cell r="B2077" t="str">
            <v>812028. Categoria D-riesgo significativo cmo</v>
          </cell>
          <cell r="C2077">
            <v>0</v>
          </cell>
        </row>
        <row r="2078">
          <cell r="A2078" t="str">
            <v>812028001</v>
          </cell>
          <cell r="B2078" t="str">
            <v>812028001 CATEGORIA D-RIESGO SIGNIFICATIVO,CONSUMO AYC</v>
          </cell>
          <cell r="C2078">
            <v>0</v>
          </cell>
        </row>
        <row r="2079">
          <cell r="A2079" t="str">
            <v/>
          </cell>
          <cell r="B2079" t="str">
            <v>Total Categoria D-riesgo significativo cmo</v>
          </cell>
          <cell r="C2079">
            <v>0</v>
          </cell>
        </row>
        <row r="2080">
          <cell r="A2080" t="str">
            <v/>
          </cell>
          <cell r="B2080" t="str">
            <v>812030. Categoria E-riesgo de incobrabilidad</v>
          </cell>
          <cell r="C2080">
            <v>0</v>
          </cell>
        </row>
        <row r="2081">
          <cell r="A2081" t="str">
            <v>812030001</v>
          </cell>
          <cell r="B2081" t="str">
            <v>812030001 CATEGORIA E-RIESGO DE INCOBRABILIDAD,CONSUMO</v>
          </cell>
          <cell r="C2081">
            <v>0</v>
          </cell>
        </row>
        <row r="2082">
          <cell r="A2082" t="str">
            <v/>
          </cell>
          <cell r="B2082" t="str">
            <v>Total Categoria E-riesgo de incobrabilidad</v>
          </cell>
          <cell r="C2082">
            <v>0</v>
          </cell>
        </row>
        <row r="2083">
          <cell r="A2083" t="str">
            <v/>
          </cell>
          <cell r="B2083" t="str">
            <v>Total Intereses cartera de credito</v>
          </cell>
          <cell r="C2083">
            <v>42713485</v>
          </cell>
        </row>
        <row r="2084">
          <cell r="A2084" t="str">
            <v/>
          </cell>
          <cell r="B2084" t="str">
            <v>Total Deudoras contingentes</v>
          </cell>
          <cell r="C2084">
            <v>42713485</v>
          </cell>
        </row>
        <row r="2085">
          <cell r="A2085" t="str">
            <v/>
          </cell>
          <cell r="B2085" t="str">
            <v>83. Deudoras de control</v>
          </cell>
          <cell r="C2085">
            <v>0</v>
          </cell>
        </row>
        <row r="2086">
          <cell r="A2086" t="str">
            <v/>
          </cell>
          <cell r="B2086" t="str">
            <v>831015. Cartera de credito</v>
          </cell>
          <cell r="C2086">
            <v>0</v>
          </cell>
        </row>
        <row r="2087">
          <cell r="A2087" t="str">
            <v>831015001</v>
          </cell>
          <cell r="B2087" t="str">
            <v>831015001 CARTERA CASTIGADA POR CARTERA DE CREDITO AYC</v>
          </cell>
          <cell r="C2087">
            <v>27082145</v>
          </cell>
        </row>
        <row r="2088">
          <cell r="A2088" t="str">
            <v/>
          </cell>
          <cell r="B2088" t="str">
            <v>Total Cartera de credito</v>
          </cell>
          <cell r="C2088">
            <v>27082145</v>
          </cell>
        </row>
        <row r="2089">
          <cell r="A2089" t="str">
            <v/>
          </cell>
          <cell r="B2089" t="str">
            <v>831020. Cartera Por venta de Bienes y servic.</v>
          </cell>
          <cell r="C2089">
            <v>0</v>
          </cell>
        </row>
        <row r="2090">
          <cell r="A2090" t="str">
            <v>831020001</v>
          </cell>
          <cell r="B2090" t="str">
            <v>831020001 CARTERA CASTIGADA POR VENTA DE BIENES Y SERVICIOS</v>
          </cell>
          <cell r="C2090">
            <v>62122876</v>
          </cell>
        </row>
        <row r="2091">
          <cell r="A2091" t="str">
            <v/>
          </cell>
          <cell r="B2091" t="str">
            <v>Total Cartera Por venta de Bienes y servic.</v>
          </cell>
          <cell r="C2091">
            <v>62122876</v>
          </cell>
        </row>
        <row r="2092">
          <cell r="A2092" t="str">
            <v/>
          </cell>
          <cell r="B2092" t="str">
            <v/>
          </cell>
          <cell r="C2092">
            <v>89205021</v>
          </cell>
        </row>
        <row r="2093">
          <cell r="A2093" t="str">
            <v/>
          </cell>
          <cell r="B2093" t="str">
            <v>8320. Prop.planta y equipo totalmente depreci</v>
          </cell>
          <cell r="C2093">
            <v>0</v>
          </cell>
        </row>
        <row r="2094">
          <cell r="A2094" t="str">
            <v/>
          </cell>
          <cell r="B2094" t="str">
            <v>832015. Muebles y equipo de oficina</v>
          </cell>
          <cell r="C2094">
            <v>0</v>
          </cell>
        </row>
        <row r="2095">
          <cell r="A2095" t="str">
            <v>832015001</v>
          </cell>
          <cell r="B2095" t="str">
            <v>832015001 MUEBLES Y EQUIPO DE OFICIONA AYC</v>
          </cell>
          <cell r="C2095">
            <v>0</v>
          </cell>
        </row>
        <row r="2096">
          <cell r="A2096" t="str">
            <v>832015002</v>
          </cell>
          <cell r="B2096" t="str">
            <v>832015002 MUEBLES Y EQUIPO DE OFICIONA</v>
          </cell>
          <cell r="C2096">
            <v>73746694</v>
          </cell>
        </row>
        <row r="2097">
          <cell r="A2097" t="str">
            <v/>
          </cell>
          <cell r="B2097" t="str">
            <v>Total Muebles y equipo de oficina</v>
          </cell>
          <cell r="C2097">
            <v>73746694</v>
          </cell>
        </row>
        <row r="2098">
          <cell r="A2098" t="str">
            <v/>
          </cell>
          <cell r="B2098" t="str">
            <v>832020. Equipo de computo y comunicacion</v>
          </cell>
          <cell r="C2098">
            <v>0</v>
          </cell>
        </row>
        <row r="2099">
          <cell r="A2099" t="str">
            <v>832020001</v>
          </cell>
          <cell r="B2099" t="str">
            <v>832020001 EQUIPO TELECOMUNICACIONES  AYC</v>
          </cell>
          <cell r="C2099">
            <v>0</v>
          </cell>
        </row>
        <row r="2100">
          <cell r="A2100" t="str">
            <v>832020002</v>
          </cell>
          <cell r="B2100" t="str">
            <v>832020002 EQUIPO DE COMPUTO AYC</v>
          </cell>
          <cell r="C2100">
            <v>0</v>
          </cell>
        </row>
        <row r="2101">
          <cell r="A2101" t="str">
            <v>832020003</v>
          </cell>
          <cell r="B2101" t="str">
            <v>832020003 EQUIPO DE COMPUTO Y TELECOMUNICACIONES</v>
          </cell>
          <cell r="C2101">
            <v>1167104117</v>
          </cell>
        </row>
        <row r="2102">
          <cell r="A2102" t="str">
            <v/>
          </cell>
          <cell r="B2102" t="str">
            <v>Total Equipo de computo y comunicacion</v>
          </cell>
          <cell r="C2102">
            <v>1167104117</v>
          </cell>
        </row>
        <row r="2103">
          <cell r="A2103" t="str">
            <v/>
          </cell>
          <cell r="B2103" t="str">
            <v>832025. Maquinaria y equipo</v>
          </cell>
          <cell r="C2103">
            <v>0</v>
          </cell>
        </row>
        <row r="2104">
          <cell r="A2104" t="str">
            <v>832025001</v>
          </cell>
          <cell r="B2104" t="str">
            <v>832025001 MAQUINARIA Y EQUIPO</v>
          </cell>
          <cell r="C2104">
            <v>152867763</v>
          </cell>
        </row>
        <row r="2105">
          <cell r="A2105" t="str">
            <v/>
          </cell>
          <cell r="B2105" t="str">
            <v>Total Maquinaria y equipo</v>
          </cell>
          <cell r="C2105">
            <v>152867763</v>
          </cell>
        </row>
        <row r="2106">
          <cell r="A2106" t="str">
            <v/>
          </cell>
          <cell r="B2106" t="str">
            <v>Total Prop.planta y equipo totalmente depreci</v>
          </cell>
          <cell r="C2106">
            <v>1393718574</v>
          </cell>
        </row>
        <row r="2107">
          <cell r="A2107" t="str">
            <v/>
          </cell>
          <cell r="B2107" t="str">
            <v>8325. Aportes suscritos por cobrar</v>
          </cell>
          <cell r="C2107">
            <v>0</v>
          </cell>
        </row>
        <row r="2108">
          <cell r="A2108" t="str">
            <v/>
          </cell>
          <cell r="B2108" t="str">
            <v>832505. Aportes suscritos por cobrar</v>
          </cell>
          <cell r="C2108">
            <v>0</v>
          </cell>
        </row>
        <row r="2109">
          <cell r="A2109" t="str">
            <v>832505001</v>
          </cell>
          <cell r="B2109" t="str">
            <v>832505001 APORTES ORDINARIOS POR COBRAR A ASOCIADOS</v>
          </cell>
          <cell r="C2109">
            <v>618699184</v>
          </cell>
        </row>
        <row r="2110">
          <cell r="A2110" t="str">
            <v>832505002</v>
          </cell>
          <cell r="B2110" t="str">
            <v>832505002 CUENTAS POR COBRAR ASOCOLDRO</v>
          </cell>
          <cell r="C2110">
            <v>117304260</v>
          </cell>
        </row>
        <row r="2111">
          <cell r="A2111" t="str">
            <v>832505003</v>
          </cell>
          <cell r="B2111" t="str">
            <v>832505003 CUOTAS DE AHORROS AHORRO Y CREDITO</v>
          </cell>
          <cell r="C2111">
            <v>5304500</v>
          </cell>
        </row>
        <row r="2112">
          <cell r="A2112" t="str">
            <v/>
          </cell>
          <cell r="B2112" t="str">
            <v>Total  Aportes suscritos por cobrar</v>
          </cell>
          <cell r="C2112">
            <v>741307944</v>
          </cell>
        </row>
        <row r="2113">
          <cell r="A2113" t="str">
            <v/>
          </cell>
          <cell r="B2113" t="str">
            <v>Total  Aportes suscritos por cobrar</v>
          </cell>
          <cell r="C2113">
            <v>741307944</v>
          </cell>
        </row>
        <row r="2114">
          <cell r="A2114" t="str">
            <v/>
          </cell>
          <cell r="B2114" t="str">
            <v>8385. Otras deudas de control</v>
          </cell>
          <cell r="C2114">
            <v>0</v>
          </cell>
        </row>
        <row r="2115">
          <cell r="A2115" t="str">
            <v/>
          </cell>
          <cell r="B2115" t="str">
            <v>838505. Cheques Devueltos</v>
          </cell>
          <cell r="C2115">
            <v>0</v>
          </cell>
        </row>
        <row r="2116">
          <cell r="A2116" t="str">
            <v>838505001</v>
          </cell>
          <cell r="B2116" t="str">
            <v>838505001 CHEQUES DEVUELTOS</v>
          </cell>
          <cell r="C2116">
            <v>2000000</v>
          </cell>
        </row>
        <row r="2117">
          <cell r="A2117" t="str">
            <v/>
          </cell>
          <cell r="B2117" t="str">
            <v>Total  Cheques Devueltos</v>
          </cell>
          <cell r="C2117">
            <v>2000000</v>
          </cell>
        </row>
        <row r="2118">
          <cell r="A2118" t="str">
            <v/>
          </cell>
          <cell r="B2118" t="str">
            <v>838585. Otras</v>
          </cell>
          <cell r="C2118">
            <v>0</v>
          </cell>
        </row>
        <row r="2119">
          <cell r="A2119" t="str">
            <v>838585011</v>
          </cell>
          <cell r="B2119" t="str">
            <v>838585011 REPOS VALORIZAZION GARANTIAS POR INVERSIONES</v>
          </cell>
          <cell r="C2119">
            <v>729299836</v>
          </cell>
        </row>
        <row r="2120">
          <cell r="A2120" t="str">
            <v/>
          </cell>
          <cell r="B2120" t="str">
            <v>Total Otras</v>
          </cell>
          <cell r="C2120">
            <v>729299836</v>
          </cell>
        </row>
        <row r="2121">
          <cell r="A2121" t="str">
            <v/>
          </cell>
          <cell r="B2121" t="str">
            <v>Total Otras deudas de control</v>
          </cell>
          <cell r="C2121">
            <v>731299836</v>
          </cell>
        </row>
        <row r="2122">
          <cell r="A2122" t="str">
            <v/>
          </cell>
          <cell r="B2122" t="str">
            <v>Total Deudoras de control</v>
          </cell>
          <cell r="C2122">
            <v>2955531375</v>
          </cell>
        </row>
        <row r="2123">
          <cell r="A2123" t="str">
            <v/>
          </cell>
          <cell r="B2123" t="str">
            <v>86. Deudoras contingentes por contra</v>
          </cell>
          <cell r="C2123">
            <v>0</v>
          </cell>
        </row>
        <row r="2124">
          <cell r="A2124" t="str">
            <v/>
          </cell>
          <cell r="B2124" t="str">
            <v>8605. Deudoras contingentes por contra (CR)</v>
          </cell>
          <cell r="C2124">
            <v>0</v>
          </cell>
        </row>
        <row r="2125">
          <cell r="A2125" t="str">
            <v/>
          </cell>
          <cell r="B2125" t="str">
            <v>860501.Deudoras contingentes por contra</v>
          </cell>
          <cell r="C2125">
            <v>0</v>
          </cell>
        </row>
        <row r="2126">
          <cell r="A2126" t="str">
            <v>860501001</v>
          </cell>
          <cell r="B2126" t="str">
            <v>860501001 DEUDORAS CONTINGENTES POR CONTRA AYC</v>
          </cell>
          <cell r="C2126">
            <v>-42713485</v>
          </cell>
        </row>
        <row r="2127">
          <cell r="A2127" t="str">
            <v/>
          </cell>
          <cell r="B2127" t="str">
            <v>Total Deudoras contingentes por contra</v>
          </cell>
          <cell r="C2127">
            <v>-42713485</v>
          </cell>
        </row>
        <row r="2128">
          <cell r="A2128" t="str">
            <v/>
          </cell>
          <cell r="B2128" t="str">
            <v>Total Deudoras contingentes por contra (CR)</v>
          </cell>
          <cell r="C2128">
            <v>-42713485</v>
          </cell>
        </row>
        <row r="2129">
          <cell r="A2129" t="str">
            <v/>
          </cell>
          <cell r="B2129" t="str">
            <v>Total Deudoras contingentes por contra</v>
          </cell>
          <cell r="C2129">
            <v>-42713485</v>
          </cell>
        </row>
        <row r="2130">
          <cell r="A2130" t="str">
            <v/>
          </cell>
          <cell r="B2130" t="str">
            <v>88. Deudoras de control por contra</v>
          </cell>
          <cell r="C2130">
            <v>0</v>
          </cell>
        </row>
        <row r="2131">
          <cell r="A2131" t="str">
            <v/>
          </cell>
          <cell r="B2131" t="str">
            <v>8805. Deudoras de control por contra (CR)</v>
          </cell>
          <cell r="C2131">
            <v>0</v>
          </cell>
        </row>
        <row r="2132">
          <cell r="A2132" t="str">
            <v/>
          </cell>
          <cell r="B2132" t="str">
            <v>880501. Deudoras de control</v>
          </cell>
          <cell r="C2132">
            <v>0</v>
          </cell>
        </row>
        <row r="2133">
          <cell r="A2133" t="str">
            <v>880501002</v>
          </cell>
          <cell r="B2133" t="str">
            <v>880501002 ACTIVOS DADOS DE BAJA  AYC</v>
          </cell>
          <cell r="C2133">
            <v>0</v>
          </cell>
        </row>
        <row r="2134">
          <cell r="A2134" t="str">
            <v>880501005</v>
          </cell>
          <cell r="B2134" t="str">
            <v>880501005 ACTIVOS TOTALMENTE DEPRECIADOS</v>
          </cell>
          <cell r="C2134">
            <v>-1393718574</v>
          </cell>
        </row>
        <row r="2135">
          <cell r="A2135" t="str">
            <v/>
          </cell>
          <cell r="B2135" t="str">
            <v>Total  Deudoras de control</v>
          </cell>
          <cell r="C2135">
            <v>-1393718574</v>
          </cell>
        </row>
        <row r="2136">
          <cell r="A2136" t="str">
            <v/>
          </cell>
          <cell r="B2136" t="str">
            <v>880505. Deudoras de control por control (CR)</v>
          </cell>
          <cell r="C2136">
            <v>0</v>
          </cell>
        </row>
        <row r="2137">
          <cell r="A2137" t="str">
            <v>880505001</v>
          </cell>
          <cell r="B2137" t="str">
            <v>880505001 CARTERA CASTIGADA POR CARTERA DE CREDITO AYC</v>
          </cell>
          <cell r="C2137">
            <v>-27082145</v>
          </cell>
        </row>
        <row r="2138">
          <cell r="A2138" t="str">
            <v>880505012</v>
          </cell>
          <cell r="B2138" t="str">
            <v>880505012 APORTES ORDINARIOS POR COB .ASOCIADOS CONTRA</v>
          </cell>
          <cell r="C2138">
            <v>-618699184</v>
          </cell>
        </row>
        <row r="2139">
          <cell r="A2139" t="str">
            <v>880505013</v>
          </cell>
          <cell r="B2139" t="str">
            <v>880505013 CUENTAS POR COBRAR ASOCOLDRO</v>
          </cell>
          <cell r="C2139">
            <v>-117304260</v>
          </cell>
        </row>
        <row r="2140">
          <cell r="A2140" t="str">
            <v>880505014</v>
          </cell>
          <cell r="B2140" t="str">
            <v>880505014 CUOTAS DE AHORROS AHORRO Y CREDITO</v>
          </cell>
          <cell r="C2140">
            <v>-5304500</v>
          </cell>
        </row>
        <row r="2141">
          <cell r="A2141" t="str">
            <v>880505018</v>
          </cell>
          <cell r="B2141" t="str">
            <v>880505018 CHEQUES DEVUELTOS</v>
          </cell>
          <cell r="C2141">
            <v>-2000000</v>
          </cell>
        </row>
        <row r="2142">
          <cell r="A2142" t="str">
            <v>880505020</v>
          </cell>
          <cell r="B2142" t="str">
            <v>880505020 CARTERA CASTIGADA POR VENTA DE BIENES Y SERVICIOS</v>
          </cell>
          <cell r="C2142">
            <v>-62122876</v>
          </cell>
        </row>
        <row r="2143">
          <cell r="A2143" t="str">
            <v>880505021</v>
          </cell>
          <cell r="B2143" t="str">
            <v>880505021 REPOS VALORIZAZION GARANTIAS POR INVERSIONES (CR)</v>
          </cell>
          <cell r="C2143">
            <v>-729299836</v>
          </cell>
        </row>
        <row r="2144">
          <cell r="A2144" t="str">
            <v/>
          </cell>
          <cell r="B2144" t="str">
            <v>Total Deudoras de control por control (CR)</v>
          </cell>
          <cell r="C2144">
            <v>-1561812801</v>
          </cell>
        </row>
        <row r="2145">
          <cell r="A2145" t="str">
            <v/>
          </cell>
          <cell r="B2145" t="str">
            <v>Total Deudoras de control por contra (CR)</v>
          </cell>
          <cell r="C2145">
            <v>-2955531375</v>
          </cell>
        </row>
        <row r="2146">
          <cell r="A2146" t="str">
            <v/>
          </cell>
          <cell r="B2146" t="str">
            <v>Total Deudoras de control por contra</v>
          </cell>
          <cell r="C2146">
            <v>-2955531375</v>
          </cell>
        </row>
        <row r="2147">
          <cell r="A2147" t="str">
            <v/>
          </cell>
          <cell r="B2147" t="str">
            <v>Total Cuentas de orden deudoras</v>
          </cell>
          <cell r="C2147">
            <v>0</v>
          </cell>
        </row>
        <row r="2148">
          <cell r="A2148" t="str">
            <v/>
          </cell>
          <cell r="B2148" t="str">
            <v>9. Cuentas de orden acreedoras</v>
          </cell>
          <cell r="C2148">
            <v>0</v>
          </cell>
        </row>
        <row r="2149">
          <cell r="A2149" t="str">
            <v/>
          </cell>
          <cell r="B2149" t="str">
            <v>91. Acreedoras contingentes</v>
          </cell>
          <cell r="C2149">
            <v>0</v>
          </cell>
        </row>
        <row r="2150">
          <cell r="A2150" t="str">
            <v/>
          </cell>
          <cell r="B2150" t="str">
            <v>9115. Bienes y Valores Recibidos en Garantia</v>
          </cell>
          <cell r="C2150">
            <v>0</v>
          </cell>
        </row>
        <row r="2151">
          <cell r="A2151" t="str">
            <v/>
          </cell>
          <cell r="B2151" t="str">
            <v>911505. De Créditos Comerciales</v>
          </cell>
          <cell r="C2151">
            <v>0</v>
          </cell>
        </row>
        <row r="2152">
          <cell r="A2152" t="str">
            <v>911505001</v>
          </cell>
          <cell r="B2152" t="str">
            <v>911505001 PAGARES   AYC</v>
          </cell>
          <cell r="C2152">
            <v>-6462717469</v>
          </cell>
        </row>
        <row r="2153">
          <cell r="A2153" t="str">
            <v>911505002</v>
          </cell>
          <cell r="B2153" t="str">
            <v>911505002 POSFECHADOS   AYC</v>
          </cell>
          <cell r="C2153">
            <v>-10572332</v>
          </cell>
        </row>
        <row r="2154">
          <cell r="A2154" t="str">
            <v/>
          </cell>
          <cell r="B2154" t="str">
            <v>Total De Créditos Comerciales</v>
          </cell>
          <cell r="C2154">
            <v>-6473289801</v>
          </cell>
        </row>
        <row r="2155">
          <cell r="A2155" t="str">
            <v/>
          </cell>
          <cell r="B2155" t="str">
            <v>911510. De Créditos de Consumo</v>
          </cell>
          <cell r="C2155">
            <v>0</v>
          </cell>
        </row>
        <row r="2156">
          <cell r="A2156" t="str">
            <v>911510001</v>
          </cell>
          <cell r="B2156" t="str">
            <v>911510001 PAGARES   AYC</v>
          </cell>
          <cell r="C2156">
            <v>-26653068122</v>
          </cell>
        </row>
        <row r="2157">
          <cell r="A2157" t="str">
            <v>911510002</v>
          </cell>
          <cell r="B2157" t="str">
            <v>911510002 POSFECHADOS   AYC</v>
          </cell>
          <cell r="C2157">
            <v>-352510624</v>
          </cell>
        </row>
        <row r="2158">
          <cell r="A2158" t="str">
            <v/>
          </cell>
          <cell r="B2158" t="str">
            <v>Total De Créditos de Consumo</v>
          </cell>
          <cell r="C2158">
            <v>-27005578746</v>
          </cell>
        </row>
        <row r="2159">
          <cell r="A2159" t="str">
            <v/>
          </cell>
          <cell r="B2159" t="str">
            <v>Total Bienes y Valores Recib Garantia</v>
          </cell>
          <cell r="C2159">
            <v>-33478868547</v>
          </cell>
        </row>
        <row r="2160">
          <cell r="A2160" t="str">
            <v/>
          </cell>
          <cell r="B2160" t="str">
            <v>9125. Creditos aprobados no desembolsados</v>
          </cell>
          <cell r="C2160">
            <v>0</v>
          </cell>
        </row>
        <row r="2161">
          <cell r="A2161" t="str">
            <v/>
          </cell>
          <cell r="B2161" t="str">
            <v>912505. Creditos aprobados no desembolsados</v>
          </cell>
          <cell r="C2161">
            <v>0</v>
          </cell>
        </row>
        <row r="2162">
          <cell r="A2162" t="str">
            <v>912505001</v>
          </cell>
          <cell r="B2162" t="str">
            <v>912505001 TOTAL CREDITOS  APROBADOS NO DESEMBOLS AYC</v>
          </cell>
          <cell r="C2162">
            <v>-1157574996</v>
          </cell>
        </row>
        <row r="2163">
          <cell r="A2163" t="str">
            <v/>
          </cell>
          <cell r="B2163" t="str">
            <v>Total Creditos aprobados no desembolsados</v>
          </cell>
          <cell r="C2163">
            <v>-1157574996</v>
          </cell>
        </row>
        <row r="2164">
          <cell r="A2164" t="str">
            <v/>
          </cell>
          <cell r="B2164" t="str">
            <v>Total Creditos aprobados no desembolsados</v>
          </cell>
          <cell r="C2164">
            <v>-1157574996</v>
          </cell>
        </row>
        <row r="2165">
          <cell r="A2165" t="str">
            <v/>
          </cell>
          <cell r="B2165" t="str">
            <v>9110. Bienes y valores en garantia</v>
          </cell>
          <cell r="C2165">
            <v>0</v>
          </cell>
        </row>
        <row r="2166">
          <cell r="A2166" t="str">
            <v/>
          </cell>
          <cell r="B2166" t="str">
            <v>911005. Creditos comerciales</v>
          </cell>
          <cell r="C2166">
            <v>0</v>
          </cell>
        </row>
        <row r="2167">
          <cell r="A2167" t="str">
            <v>911005001</v>
          </cell>
          <cell r="B2167" t="str">
            <v>911005001 TOTAL CREDITOS COMERCIALES  AYC</v>
          </cell>
          <cell r="C2167">
            <v>0</v>
          </cell>
        </row>
        <row r="2168">
          <cell r="A2168" t="str">
            <v>911005002</v>
          </cell>
          <cell r="B2168" t="str">
            <v>911005002 HIPOTECAS    AYC</v>
          </cell>
          <cell r="C2168">
            <v>-5158578357</v>
          </cell>
        </row>
        <row r="2169">
          <cell r="A2169" t="str">
            <v/>
          </cell>
          <cell r="B2169" t="str">
            <v>Total  Creditos comerciales</v>
          </cell>
          <cell r="C2169">
            <v>-5158578357</v>
          </cell>
        </row>
        <row r="2170">
          <cell r="A2170" t="str">
            <v/>
          </cell>
          <cell r="B2170" t="str">
            <v>911010. Bienes y valores en garantia</v>
          </cell>
          <cell r="C2170">
            <v>0</v>
          </cell>
        </row>
        <row r="2171">
          <cell r="A2171" t="str">
            <v>911010001</v>
          </cell>
          <cell r="B2171" t="str">
            <v>911010001 TOTAL CREDITOS DE CONSUMO AYC</v>
          </cell>
          <cell r="C2171">
            <v>0</v>
          </cell>
        </row>
        <row r="2172">
          <cell r="A2172" t="str">
            <v>911010002</v>
          </cell>
          <cell r="B2172" t="str">
            <v>911010002 HIPOTECAS    AYC</v>
          </cell>
          <cell r="C2172">
            <v>-19762103534</v>
          </cell>
        </row>
        <row r="2173">
          <cell r="A2173" t="str">
            <v>911010003</v>
          </cell>
          <cell r="B2173" t="str">
            <v>911010003 OTROS   AYC</v>
          </cell>
          <cell r="C2173">
            <v>-308850000</v>
          </cell>
        </row>
        <row r="2174">
          <cell r="A2174" t="str">
            <v/>
          </cell>
          <cell r="B2174" t="str">
            <v>Total Bienes y valores en garantia</v>
          </cell>
          <cell r="C2174">
            <v>-20070953534</v>
          </cell>
        </row>
        <row r="2175">
          <cell r="A2175" t="str">
            <v/>
          </cell>
          <cell r="B2175" t="str">
            <v>Total Bienes y valores en garantia</v>
          </cell>
          <cell r="C2175">
            <v>-25229531891</v>
          </cell>
        </row>
        <row r="2176">
          <cell r="A2176" t="str">
            <v/>
          </cell>
          <cell r="B2176" t="str">
            <v>Total Acreedoras contingentes</v>
          </cell>
          <cell r="C2176">
            <v>-59865975434</v>
          </cell>
        </row>
        <row r="2177">
          <cell r="A2177" t="str">
            <v/>
          </cell>
          <cell r="B2177" t="str">
            <v>96. Acreedoras contingentes por contra</v>
          </cell>
          <cell r="C2177">
            <v>0</v>
          </cell>
        </row>
        <row r="2178">
          <cell r="A2178" t="str">
            <v/>
          </cell>
          <cell r="B2178" t="str">
            <v>9605. Acreedoras contingentes por contra</v>
          </cell>
          <cell r="C2178">
            <v>0</v>
          </cell>
        </row>
        <row r="2179">
          <cell r="A2179" t="str">
            <v/>
          </cell>
          <cell r="B2179" t="str">
            <v>960501. Comercial Garantia Admisible (DB)</v>
          </cell>
          <cell r="C2179">
            <v>0</v>
          </cell>
        </row>
        <row r="2180">
          <cell r="A2180" t="str">
            <v>960501001</v>
          </cell>
          <cell r="B2180" t="str">
            <v>960501001 ACREEDORES CONTINGENTES POR EL CONTRA AYC</v>
          </cell>
          <cell r="C2180">
            <v>0</v>
          </cell>
        </row>
        <row r="2181">
          <cell r="A2181" t="str">
            <v>960501002</v>
          </cell>
          <cell r="B2181" t="str">
            <v>960501002 CREDITOS APROBADOS NO DESEM AYC</v>
          </cell>
          <cell r="C2181">
            <v>1157574996</v>
          </cell>
        </row>
        <row r="2182">
          <cell r="A2182" t="str">
            <v>960501003</v>
          </cell>
          <cell r="B2182" t="str">
            <v>960501003 HIPOTECAS AYC</v>
          </cell>
          <cell r="C2182">
            <v>5158578356</v>
          </cell>
        </row>
        <row r="2183">
          <cell r="A2183" t="str">
            <v/>
          </cell>
          <cell r="B2183" t="str">
            <v>Total Comercial Garantia Admisible (DB)</v>
          </cell>
          <cell r="C2183">
            <v>6316153352</v>
          </cell>
        </row>
        <row r="2184">
          <cell r="A2184" t="str">
            <v/>
          </cell>
          <cell r="B2184" t="str">
            <v>960502. Consumo Garantia Admisible (DB)</v>
          </cell>
          <cell r="C2184">
            <v>0</v>
          </cell>
        </row>
        <row r="2185">
          <cell r="A2185" t="str">
            <v>960502001</v>
          </cell>
          <cell r="B2185" t="str">
            <v>960502001 PAGARES  AYC</v>
          </cell>
          <cell r="C2185">
            <v>0</v>
          </cell>
        </row>
        <row r="2186">
          <cell r="A2186" t="str">
            <v>960502002</v>
          </cell>
          <cell r="B2186" t="str">
            <v>960502002 HIPOTECAS  AYC</v>
          </cell>
          <cell r="C2186">
            <v>19762103534</v>
          </cell>
        </row>
        <row r="2187">
          <cell r="A2187" t="str">
            <v>960502003</v>
          </cell>
          <cell r="B2187" t="str">
            <v>960502003 OTROS   AYC</v>
          </cell>
          <cell r="C2187">
            <v>308850000</v>
          </cell>
        </row>
        <row r="2188">
          <cell r="A2188" t="str">
            <v/>
          </cell>
          <cell r="B2188" t="str">
            <v>Total Consumo Garantia Admisible (DB)</v>
          </cell>
          <cell r="C2188">
            <v>20070953534</v>
          </cell>
        </row>
        <row r="2189">
          <cell r="A2189" t="str">
            <v/>
          </cell>
          <cell r="B2189" t="str">
            <v>960503. Comercial Garantia No Admisible (DB)</v>
          </cell>
          <cell r="C2189">
            <v>0</v>
          </cell>
        </row>
        <row r="2190">
          <cell r="A2190" t="str">
            <v>960503001</v>
          </cell>
          <cell r="B2190" t="str">
            <v>960503001 PAGARES  AYC</v>
          </cell>
          <cell r="C2190">
            <v>6462717468</v>
          </cell>
        </row>
        <row r="2191">
          <cell r="A2191" t="str">
            <v>960503002</v>
          </cell>
          <cell r="B2191" t="str">
            <v>960503002 POSFECHADOS   AYC</v>
          </cell>
          <cell r="C2191">
            <v>10572332</v>
          </cell>
        </row>
        <row r="2192">
          <cell r="A2192" t="str">
            <v/>
          </cell>
          <cell r="B2192" t="str">
            <v>Total Comercial Garantia No Admisible (DB)</v>
          </cell>
          <cell r="C2192">
            <v>6473289800</v>
          </cell>
        </row>
        <row r="2193">
          <cell r="A2193" t="str">
            <v/>
          </cell>
          <cell r="B2193" t="str">
            <v>960504.  Consumo Gatantia No Admisible (DB)</v>
          </cell>
          <cell r="C2193">
            <v>0</v>
          </cell>
        </row>
        <row r="2194">
          <cell r="A2194" t="str">
            <v>960504001</v>
          </cell>
          <cell r="B2194" t="str">
            <v>960504001 PAGARES   AYC</v>
          </cell>
          <cell r="C2194">
            <v>26653068124</v>
          </cell>
        </row>
        <row r="2195">
          <cell r="A2195" t="str">
            <v>960504002</v>
          </cell>
          <cell r="B2195" t="str">
            <v>960504002 POSFECHADOS   AYC</v>
          </cell>
          <cell r="C2195">
            <v>352510624</v>
          </cell>
        </row>
        <row r="2196">
          <cell r="A2196" t="str">
            <v/>
          </cell>
          <cell r="B2196" t="str">
            <v>Total  Consumo Gatantia No Admisible (DB)</v>
          </cell>
          <cell r="C2196">
            <v>27005578748</v>
          </cell>
        </row>
        <row r="2197">
          <cell r="A2197" t="str">
            <v/>
          </cell>
          <cell r="B2197" t="str">
            <v>Total Acreedoras contingentes por contra</v>
          </cell>
          <cell r="C2197">
            <v>59865975434</v>
          </cell>
        </row>
        <row r="2198">
          <cell r="A2198" t="str">
            <v/>
          </cell>
          <cell r="B2198" t="str">
            <v>Total Acreedoras contingentes por contra</v>
          </cell>
          <cell r="C2198">
            <v>59865975434</v>
          </cell>
        </row>
        <row r="2199">
          <cell r="A2199" t="str">
            <v/>
          </cell>
          <cell r="B2199" t="str">
            <v>Total Cuentas de orden acreedoras</v>
          </cell>
          <cell r="C2199">
            <v>0</v>
          </cell>
        </row>
      </sheetData>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FINAN"/>
      <sheetName val="Datos Fisc"/>
    </sheetNames>
    <sheetDataSet>
      <sheetData sheetId="0">
        <row r="1">
          <cell r="A1" t="str">
            <v>Cuenta</v>
          </cell>
          <cell r="B1" t="str">
            <v>Texto p.posición balance/PyG</v>
          </cell>
          <cell r="C1" t="str">
            <v>Total per.informe</v>
          </cell>
        </row>
        <row r="2">
          <cell r="A2" t="str">
            <v/>
          </cell>
          <cell r="B2" t="str">
            <v>1. Activos</v>
          </cell>
          <cell r="C2">
            <v>0</v>
          </cell>
        </row>
        <row r="3">
          <cell r="A3" t="str">
            <v/>
          </cell>
          <cell r="B3" t="str">
            <v>11. Disponible</v>
          </cell>
          <cell r="C3">
            <v>0</v>
          </cell>
        </row>
        <row r="4">
          <cell r="A4" t="str">
            <v/>
          </cell>
          <cell r="B4" t="str">
            <v>1105. Caja</v>
          </cell>
          <cell r="C4">
            <v>0</v>
          </cell>
        </row>
        <row r="5">
          <cell r="A5" t="str">
            <v/>
          </cell>
          <cell r="B5" t="str">
            <v>110505. Caja General</v>
          </cell>
          <cell r="C5">
            <v>0</v>
          </cell>
        </row>
        <row r="6">
          <cell r="A6" t="str">
            <v>110505001</v>
          </cell>
          <cell r="B6" t="str">
            <v>110505001 CAJA  EFECTIVO AYC</v>
          </cell>
          <cell r="C6">
            <v>0</v>
          </cell>
        </row>
        <row r="7">
          <cell r="A7" t="str">
            <v>110505002</v>
          </cell>
          <cell r="B7" t="str">
            <v>110505002 CAJA  CHEQUES AYC</v>
          </cell>
          <cell r="C7">
            <v>34117680</v>
          </cell>
        </row>
        <row r="8">
          <cell r="A8" t="str">
            <v>110505011</v>
          </cell>
          <cell r="B8" t="str">
            <v>110505011 INGRESOS A CAJA</v>
          </cell>
          <cell r="C8">
            <v>0</v>
          </cell>
        </row>
        <row r="9">
          <cell r="A9" t="str">
            <v/>
          </cell>
          <cell r="B9" t="str">
            <v>110505 Caja General</v>
          </cell>
          <cell r="C9">
            <v>34117680</v>
          </cell>
        </row>
        <row r="10">
          <cell r="A10" t="str">
            <v/>
          </cell>
          <cell r="B10" t="str">
            <v>110510. Caja Menor</v>
          </cell>
          <cell r="C10">
            <v>0</v>
          </cell>
        </row>
        <row r="11">
          <cell r="A11" t="str">
            <v>110510001</v>
          </cell>
          <cell r="B11" t="str">
            <v>110510001 CAJA MENOR- ALEXANDRA MEJIA (PEREIRA)</v>
          </cell>
          <cell r="C11">
            <v>5000000</v>
          </cell>
        </row>
        <row r="12">
          <cell r="A12" t="str">
            <v>110510002</v>
          </cell>
          <cell r="B12" t="str">
            <v>110510002 CAJA MENOR-LILIANA GUERRERO (BARRANQUILLA)</v>
          </cell>
          <cell r="C12">
            <v>4000000</v>
          </cell>
        </row>
        <row r="13">
          <cell r="A13" t="str">
            <v>110510003</v>
          </cell>
          <cell r="B13" t="str">
            <v>110510003 CAJA MENOR-LIGIA MALDONADO (BOGOTA)</v>
          </cell>
          <cell r="C13">
            <v>11000000</v>
          </cell>
        </row>
        <row r="14">
          <cell r="A14" t="str">
            <v>110510005</v>
          </cell>
          <cell r="B14" t="str">
            <v>110510005 CAJA MENOR-LIBIA TRIANA(MEDELLIN)</v>
          </cell>
          <cell r="C14">
            <v>6000000</v>
          </cell>
        </row>
        <row r="15">
          <cell r="A15" t="str">
            <v>110510006</v>
          </cell>
          <cell r="B15" t="str">
            <v>110510006 CAJA MENOR-FONDO PARA GASTOS BUCARAMANGA</v>
          </cell>
          <cell r="C15">
            <v>0</v>
          </cell>
        </row>
        <row r="16">
          <cell r="A16" t="str">
            <v>110510007</v>
          </cell>
          <cell r="B16" t="str">
            <v>110510007 CAJA MENOR-YAMILEA LAURIDO (CALI)</v>
          </cell>
          <cell r="C16">
            <v>3000000</v>
          </cell>
        </row>
        <row r="17">
          <cell r="A17" t="str">
            <v/>
          </cell>
          <cell r="B17" t="str">
            <v>110510 Caja Menor</v>
          </cell>
          <cell r="C17">
            <v>29000000</v>
          </cell>
        </row>
        <row r="18">
          <cell r="A18" t="str">
            <v/>
          </cell>
          <cell r="B18" t="str">
            <v>Total 1105 Caja</v>
          </cell>
          <cell r="C18">
            <v>63117680</v>
          </cell>
        </row>
        <row r="19">
          <cell r="A19" t="str">
            <v/>
          </cell>
          <cell r="B19" t="str">
            <v>1110. Bancos y Otras Entidades</v>
          </cell>
          <cell r="C19">
            <v>0</v>
          </cell>
        </row>
        <row r="20">
          <cell r="A20" t="str">
            <v/>
          </cell>
          <cell r="B20" t="str">
            <v>111005. Bancos Comerciales</v>
          </cell>
          <cell r="C20">
            <v>0</v>
          </cell>
        </row>
        <row r="21">
          <cell r="A21" t="str">
            <v>111005000</v>
          </cell>
          <cell r="B21" t="str">
            <v>111005000 BANCAFE CUENTA CTE # 42990051  Concilia.</v>
          </cell>
          <cell r="C21">
            <v>717247383</v>
          </cell>
        </row>
        <row r="22">
          <cell r="A22" t="str">
            <v>111005001</v>
          </cell>
          <cell r="B22" t="str">
            <v>111005001 BANCAFE CUENTA CTE # 42990051  Entradas</v>
          </cell>
          <cell r="C22">
            <v>347828317</v>
          </cell>
        </row>
        <row r="23">
          <cell r="A23" t="str">
            <v>111005002</v>
          </cell>
          <cell r="B23" t="str">
            <v>111005002 BANCAFE CUENTA CTE # 42990051  Ch. Emitidos</v>
          </cell>
          <cell r="C23">
            <v>-26840530</v>
          </cell>
        </row>
        <row r="24">
          <cell r="A24" t="str">
            <v>111005003</v>
          </cell>
          <cell r="B24" t="str">
            <v>111005003 BANCAFE CUENTA CTE # 42990051  Ch. Entregados</v>
          </cell>
          <cell r="C24">
            <v>15239486</v>
          </cell>
        </row>
        <row r="25">
          <cell r="A25" t="str">
            <v>111005010</v>
          </cell>
          <cell r="B25" t="str">
            <v>111005010 BANCO POPULAR CUENTA  CTE #063120695   Concilia.</v>
          </cell>
          <cell r="C25">
            <v>0</v>
          </cell>
        </row>
        <row r="26">
          <cell r="A26" t="str">
            <v>111005011</v>
          </cell>
          <cell r="B26" t="str">
            <v>111005011 BANCO POPULAR CUENTA  CTE #063120695  Entradas</v>
          </cell>
          <cell r="C26">
            <v>0</v>
          </cell>
        </row>
        <row r="27">
          <cell r="A27" t="str">
            <v>111005013</v>
          </cell>
          <cell r="B27" t="str">
            <v>111005013 BANCO POPULAR CUENTA  CTE #063120695 Ch.Entregados</v>
          </cell>
          <cell r="C27">
            <v>0</v>
          </cell>
        </row>
        <row r="28">
          <cell r="A28" t="str">
            <v>111005020</v>
          </cell>
          <cell r="B28" t="str">
            <v>111005020 BANCO DE BOGOTA CUENTA CTE # 78063674 Concilia.</v>
          </cell>
          <cell r="C28">
            <v>1467761679</v>
          </cell>
        </row>
        <row r="29">
          <cell r="A29" t="str">
            <v>111005021</v>
          </cell>
          <cell r="B29" t="str">
            <v>111005021 BANCO DE BOGOTA CUENTA CTE # 78063674 Entradas</v>
          </cell>
          <cell r="C29">
            <v>-516706426</v>
          </cell>
        </row>
        <row r="30">
          <cell r="A30" t="str">
            <v>111005022</v>
          </cell>
          <cell r="B30" t="str">
            <v>111005022 BANCO DE BOGOTA CUENTA CTE # 78063674 Ch. Emitidos</v>
          </cell>
          <cell r="C30">
            <v>0</v>
          </cell>
        </row>
        <row r="31">
          <cell r="A31" t="str">
            <v>111005023</v>
          </cell>
          <cell r="B31" t="str">
            <v>111005023 BANCO DE BOGOTA CUENTA CTE # 78063674 Ch. Entregad</v>
          </cell>
          <cell r="C31">
            <v>497066760</v>
          </cell>
        </row>
        <row r="32">
          <cell r="A32" t="str">
            <v>111005030</v>
          </cell>
          <cell r="B32" t="str">
            <v>111005030 MEGABANCO CUENTA  CTE # 7035-700018  Concilia.</v>
          </cell>
          <cell r="C32">
            <v>223255890</v>
          </cell>
        </row>
        <row r="33">
          <cell r="A33" t="str">
            <v>111005031</v>
          </cell>
          <cell r="B33" t="str">
            <v>111005031 MEGABANCO CUENTA  CTE # 7035-700018   Entradas</v>
          </cell>
          <cell r="C33">
            <v>3590066202</v>
          </cell>
        </row>
        <row r="34">
          <cell r="A34" t="str">
            <v>111005032</v>
          </cell>
          <cell r="B34" t="str">
            <v>111005032 MEGABANCO CUENTA  CTE # 7035-700018   Ch. Emitidos</v>
          </cell>
          <cell r="C34">
            <v>-3626222756</v>
          </cell>
        </row>
        <row r="35">
          <cell r="A35" t="str">
            <v>111005033</v>
          </cell>
          <cell r="B35" t="str">
            <v>111005033 MEGABANCO CUENTA  CTE # 7035-700018   Ch. Entregad</v>
          </cell>
          <cell r="C35">
            <v>0</v>
          </cell>
        </row>
        <row r="36">
          <cell r="A36" t="str">
            <v>111005040</v>
          </cell>
          <cell r="B36" t="str">
            <v>111005040 BANCOLOMBIA CUENTA CTE # 1960640727  Concilia.</v>
          </cell>
          <cell r="C36">
            <v>0</v>
          </cell>
        </row>
        <row r="37">
          <cell r="A37" t="str">
            <v>111005041</v>
          </cell>
          <cell r="B37" t="str">
            <v>111005041 BANCOLOMBIA CUENTA CTE # 1960640727   Entradas</v>
          </cell>
          <cell r="C37">
            <v>0</v>
          </cell>
        </row>
        <row r="38">
          <cell r="A38" t="str">
            <v>111005043</v>
          </cell>
          <cell r="B38" t="str">
            <v>111005043 BANCOLOMBIA CUENTA CTE # 1960640727   Ch. Entregad</v>
          </cell>
          <cell r="C38">
            <v>0</v>
          </cell>
        </row>
        <row r="39">
          <cell r="A39" t="str">
            <v>111005050</v>
          </cell>
          <cell r="B39" t="str">
            <v>111005050 MEGABANCO(PEREIRA)CUENTA CTE 7276-70045 Concilia</v>
          </cell>
          <cell r="C39">
            <v>717549</v>
          </cell>
        </row>
        <row r="40">
          <cell r="A40" t="str">
            <v>111005051</v>
          </cell>
          <cell r="B40" t="str">
            <v>111005051 MEGABANCO(PEREIRA)CUENTA CTE 7276-70045 Entrada</v>
          </cell>
          <cell r="C40">
            <v>99888397</v>
          </cell>
        </row>
        <row r="41">
          <cell r="A41" t="str">
            <v>111005052</v>
          </cell>
          <cell r="B41" t="str">
            <v>111005052 MEGABANCO(PEREIRA)CUENTA CTE 7276-70045 Ch.Emitido</v>
          </cell>
          <cell r="C41">
            <v>-91732162</v>
          </cell>
        </row>
        <row r="42">
          <cell r="A42" t="str">
            <v>111005053</v>
          </cell>
          <cell r="B42" t="str">
            <v>111005053 MEGABANCO(PEREIRA)CUENTA CTE 7276-70045 Ch.Entrega</v>
          </cell>
          <cell r="C42">
            <v>0</v>
          </cell>
        </row>
        <row r="43">
          <cell r="A43" t="str">
            <v>111005061</v>
          </cell>
          <cell r="B43" t="str">
            <v>111005061 BANCO DE BOGOTA CTA # 07808742-6    AYC</v>
          </cell>
          <cell r="C43">
            <v>243913718</v>
          </cell>
        </row>
        <row r="44">
          <cell r="A44" t="str">
            <v>111005062</v>
          </cell>
          <cell r="B44" t="str">
            <v>111005062 BANCO COLOMBIA BIC SALITRE 001996-9   AYC</v>
          </cell>
          <cell r="C44">
            <v>244616058</v>
          </cell>
        </row>
        <row r="45">
          <cell r="A45" t="str">
            <v>111005064</v>
          </cell>
          <cell r="B45" t="str">
            <v>111005064 BANCO AGRARIO CTA # 3028-0000004-4  AYC</v>
          </cell>
          <cell r="C45">
            <v>10838596</v>
          </cell>
        </row>
        <row r="46">
          <cell r="A46" t="str">
            <v>111005066</v>
          </cell>
          <cell r="B46" t="str">
            <v>111005066 BANCAFE  Cta 038990149  AYC</v>
          </cell>
          <cell r="C46">
            <v>442271905</v>
          </cell>
        </row>
        <row r="47">
          <cell r="A47" t="str">
            <v>111005067</v>
          </cell>
          <cell r="B47" t="str">
            <v>111005067 BANCOLOMBIA  17124252885 AYC</v>
          </cell>
          <cell r="C47">
            <v>152113725</v>
          </cell>
        </row>
        <row r="48">
          <cell r="A48" t="str">
            <v>111005068</v>
          </cell>
          <cell r="B48" t="str">
            <v>111005068 DAVIVIENDA  Cta. 007969999502 AYC</v>
          </cell>
          <cell r="C48">
            <v>-1</v>
          </cell>
        </row>
        <row r="49">
          <cell r="A49" t="str">
            <v>111005069</v>
          </cell>
          <cell r="B49" t="str">
            <v>111005069 COLMENA  Cta Cte  14750016832 AYC</v>
          </cell>
          <cell r="C49">
            <v>5217828</v>
          </cell>
        </row>
        <row r="50">
          <cell r="A50" t="str">
            <v>111005070</v>
          </cell>
          <cell r="B50" t="str">
            <v>111005070 MEGABANCO AYC</v>
          </cell>
          <cell r="C50">
            <v>78591755</v>
          </cell>
        </row>
        <row r="51">
          <cell r="A51" t="str">
            <v>111005071</v>
          </cell>
          <cell r="B51" t="str">
            <v>111005071 BBVA  AYC #180015844 AYC</v>
          </cell>
          <cell r="C51">
            <v>28930352</v>
          </cell>
        </row>
        <row r="52">
          <cell r="A52" t="str">
            <v>111005080</v>
          </cell>
          <cell r="B52" t="str">
            <v>111005080 MEGABANCO (B/Q) CUENTA CTE #  7376-70076-8 Concili</v>
          </cell>
          <cell r="C52">
            <v>54244413</v>
          </cell>
        </row>
        <row r="53">
          <cell r="A53" t="str">
            <v>111005081</v>
          </cell>
          <cell r="B53" t="str">
            <v>111005081 MEGABANCO (B/Q) CUENTA CTE #  7376-70076-8 Entrada</v>
          </cell>
          <cell r="C53">
            <v>174647705</v>
          </cell>
        </row>
        <row r="54">
          <cell r="A54" t="str">
            <v>111005082</v>
          </cell>
          <cell r="B54" t="str">
            <v>111005082 MEGABANCO (B/Q) CUENTA CTE #  7376-70076-8 Ch.Emit</v>
          </cell>
          <cell r="C54">
            <v>-159656118</v>
          </cell>
        </row>
        <row r="55">
          <cell r="A55" t="str">
            <v>111005083</v>
          </cell>
          <cell r="B55" t="str">
            <v>111005083 MEGABANCO (B/Q) CUENTA CTE #  7376-70076-8 Ch.Entr</v>
          </cell>
          <cell r="C55">
            <v>-69236000</v>
          </cell>
        </row>
        <row r="56">
          <cell r="A56" t="str">
            <v>111005090</v>
          </cell>
          <cell r="B56" t="str">
            <v>111005090 BCO DE OCCIDENTE CUENTA  CTE # 225-05282 Concilia</v>
          </cell>
          <cell r="C56">
            <v>713966607</v>
          </cell>
        </row>
        <row r="57">
          <cell r="A57" t="str">
            <v>111005091</v>
          </cell>
          <cell r="B57" t="str">
            <v>111005091 BCO DE OCCIDENTE CUENTA  CTE # 225-05282 Entradas</v>
          </cell>
          <cell r="C57">
            <v>-6246250</v>
          </cell>
        </row>
        <row r="58">
          <cell r="A58" t="str">
            <v>111005092</v>
          </cell>
          <cell r="B58" t="str">
            <v>111005092 BCO DE OCCIDENTE CUENTA  CTE # 225-05282 Ch.Emitid</v>
          </cell>
          <cell r="C58">
            <v>-64883420</v>
          </cell>
        </row>
        <row r="59">
          <cell r="A59" t="str">
            <v>111005093</v>
          </cell>
          <cell r="B59" t="str">
            <v>111005093 BCO DE OCCIDENTE CUENTA  CTE # 225-05282 Ch.Entreg</v>
          </cell>
          <cell r="C59">
            <v>-494720400</v>
          </cell>
        </row>
        <row r="60">
          <cell r="A60" t="str">
            <v>111005100</v>
          </cell>
          <cell r="B60" t="str">
            <v>111005100 BANCO AGRARIO CUENTA CTE 3192000042-4 Concilia</v>
          </cell>
          <cell r="C60">
            <v>1039859611</v>
          </cell>
        </row>
        <row r="61">
          <cell r="A61" t="str">
            <v>111005101</v>
          </cell>
          <cell r="B61" t="str">
            <v>111005101 BANCO AGRARIO CUENTA CTE 3192000042-4 Entradas</v>
          </cell>
          <cell r="C61">
            <v>3439793554</v>
          </cell>
        </row>
        <row r="62">
          <cell r="A62" t="str">
            <v>111005102</v>
          </cell>
          <cell r="B62" t="str">
            <v>111005102 BANCO AGRARIO CUENTA CTE 3192000042-4 Ch. Emitidos</v>
          </cell>
          <cell r="C62">
            <v>-1948576279</v>
          </cell>
        </row>
        <row r="63">
          <cell r="A63" t="str">
            <v>111005103</v>
          </cell>
          <cell r="B63" t="str">
            <v>111005103 BANCO AGRARIO CUENTA CTE 3192000042-4 Ch. Entregad</v>
          </cell>
          <cell r="C63">
            <v>-1797878684</v>
          </cell>
        </row>
        <row r="64">
          <cell r="A64" t="str">
            <v>111005110</v>
          </cell>
          <cell r="B64" t="str">
            <v>111005110 MEGABANCO CL 100  CUENTA CTE # 7035702940 Concilia</v>
          </cell>
          <cell r="C64">
            <v>360730724</v>
          </cell>
        </row>
        <row r="65">
          <cell r="A65" t="str">
            <v>111005111</v>
          </cell>
          <cell r="B65" t="str">
            <v>111005111 MEGABANCO CL 100  CUENTA CTE # 7035702940 Entrada</v>
          </cell>
          <cell r="C65">
            <v>-6801355</v>
          </cell>
        </row>
        <row r="66">
          <cell r="A66" t="str">
            <v>111005113</v>
          </cell>
          <cell r="B66" t="str">
            <v>111005113 MEGABANCO CL 100  CUENTA CTE # 7035702940 Ch.Entre</v>
          </cell>
          <cell r="C66">
            <v>34360841</v>
          </cell>
        </row>
        <row r="67">
          <cell r="A67" t="str">
            <v>111005120</v>
          </cell>
          <cell r="B67" t="str">
            <v>111005120 BANCOLOMBIA (SAL) CUENTA CTE 171-050155-54 Concili</v>
          </cell>
          <cell r="C67">
            <v>100462606</v>
          </cell>
        </row>
        <row r="68">
          <cell r="A68" t="str">
            <v>111005121</v>
          </cell>
          <cell r="B68" t="str">
            <v>111005121 BANCOLOMBIA (SAL) CUENTA CTE 171-050155-54 Entrad</v>
          </cell>
          <cell r="C68">
            <v>-76188499</v>
          </cell>
        </row>
        <row r="69">
          <cell r="A69" t="str">
            <v>111005123</v>
          </cell>
          <cell r="B69" t="str">
            <v>111005123 BANCOLOMBIA (SAL) CUENTA CTE 171-050155-54 Ch.Entr</v>
          </cell>
          <cell r="C69">
            <v>3794727</v>
          </cell>
        </row>
        <row r="70">
          <cell r="A70" t="str">
            <v>111005130</v>
          </cell>
          <cell r="B70" t="str">
            <v>111005130 BANCO COLPATRIA CUENTA CTE 4901001292 Concilia</v>
          </cell>
          <cell r="C70">
            <v>0</v>
          </cell>
        </row>
        <row r="71">
          <cell r="A71" t="str">
            <v>111005131</v>
          </cell>
          <cell r="B71" t="str">
            <v>111005131 BANCO COLPATRIA CUENTA CTE 4901001292 Entradas</v>
          </cell>
          <cell r="C71">
            <v>0</v>
          </cell>
        </row>
        <row r="72">
          <cell r="A72" t="str">
            <v>111005132</v>
          </cell>
          <cell r="B72" t="str">
            <v>111005132 BANCO COLPATRIA CUENTA CTE 4901001292 Ch.Emitidos</v>
          </cell>
          <cell r="C72">
            <v>0</v>
          </cell>
        </row>
        <row r="73">
          <cell r="A73" t="str">
            <v>111005133</v>
          </cell>
          <cell r="B73" t="str">
            <v>111005133 BANCO COLPATRIA CUENTA CTE 4901001292 Ch.Entregado</v>
          </cell>
          <cell r="C73">
            <v>0</v>
          </cell>
        </row>
        <row r="74">
          <cell r="A74" t="str">
            <v>111005140</v>
          </cell>
          <cell r="B74" t="str">
            <v>111005140 BANCO POPULAR  220065061566  Concilia</v>
          </cell>
          <cell r="C74">
            <v>9418555</v>
          </cell>
        </row>
        <row r="75">
          <cell r="A75" t="str">
            <v>111005141</v>
          </cell>
          <cell r="B75" t="str">
            <v>111005141 BANCO POPULAR  220065061566  Entradas</v>
          </cell>
          <cell r="C75">
            <v>-9409750</v>
          </cell>
        </row>
        <row r="76">
          <cell r="A76" t="str">
            <v>111005142</v>
          </cell>
          <cell r="B76" t="str">
            <v>111005142 BANCO POPULAR  220065061566  Ch.emitidos</v>
          </cell>
          <cell r="C76">
            <v>-30435197</v>
          </cell>
        </row>
        <row r="77">
          <cell r="A77" t="str">
            <v>111005143</v>
          </cell>
          <cell r="B77" t="str">
            <v>111005143 BANCO POPULAR  220065061566  Ch.entregados</v>
          </cell>
          <cell r="C77">
            <v>30615758</v>
          </cell>
        </row>
        <row r="78">
          <cell r="A78" t="str">
            <v>111005150</v>
          </cell>
          <cell r="B78" t="str">
            <v>111005150 MEGABANCO (RENTAYA) 3276-2217-1  Conciliatoria</v>
          </cell>
          <cell r="C78">
            <v>0</v>
          </cell>
        </row>
        <row r="79">
          <cell r="A79" t="str">
            <v>111005151</v>
          </cell>
          <cell r="B79" t="str">
            <v>111005151 MEGABANCO (RENTAYA) 3276-2217-1  Entradas</v>
          </cell>
          <cell r="C79">
            <v>0</v>
          </cell>
        </row>
        <row r="80">
          <cell r="A80" t="str">
            <v>111005153</v>
          </cell>
          <cell r="B80" t="str">
            <v>111005153 MEGABANCO (RENTAYA) 3276-2217-1  Ch. Entregados</v>
          </cell>
          <cell r="C80">
            <v>0</v>
          </cell>
        </row>
        <row r="81">
          <cell r="A81" t="str">
            <v>111005170</v>
          </cell>
          <cell r="B81" t="str">
            <v>111005170 COLMENA CTA CTE METROPOLIS 21500010427 Concilia.</v>
          </cell>
          <cell r="C81">
            <v>296890279</v>
          </cell>
        </row>
        <row r="82">
          <cell r="A82" t="str">
            <v>111005171</v>
          </cell>
          <cell r="B82" t="str">
            <v>111005171 COLMENA CTA CTE METROPOLIS 21500010427 Entradas</v>
          </cell>
          <cell r="C82">
            <v>0</v>
          </cell>
        </row>
        <row r="83">
          <cell r="A83" t="str">
            <v>111005172</v>
          </cell>
          <cell r="B83" t="str">
            <v>111005172 COLMENA CTA CTE METROPOLIS 21500010427 Ch.Emitido</v>
          </cell>
          <cell r="C83">
            <v>0</v>
          </cell>
        </row>
        <row r="84">
          <cell r="A84" t="str">
            <v>111005173</v>
          </cell>
          <cell r="B84" t="str">
            <v>111005173 COLMENA CTA CTE METROPOLIS 21500010427 Ch.Entrega</v>
          </cell>
          <cell r="C84">
            <v>0</v>
          </cell>
        </row>
        <row r="85">
          <cell r="A85" t="str">
            <v>111005180</v>
          </cell>
          <cell r="B85" t="str">
            <v>111005180 MEGABANCO CTE CALI 7120702690 CONCILIATORIA</v>
          </cell>
          <cell r="C85">
            <v>44341275</v>
          </cell>
        </row>
        <row r="86">
          <cell r="A86" t="str">
            <v>111005181</v>
          </cell>
          <cell r="B86" t="str">
            <v>111005181 MEGABANCO CTE CALI 7120702690 Entradas</v>
          </cell>
          <cell r="C86">
            <v>105332395</v>
          </cell>
        </row>
        <row r="87">
          <cell r="A87" t="str">
            <v>111005182</v>
          </cell>
          <cell r="B87" t="str">
            <v>111005182 MEGABANCO CTE CALI 7120702690 CH. emitidos</v>
          </cell>
          <cell r="C87">
            <v>-149673670</v>
          </cell>
        </row>
        <row r="88">
          <cell r="A88" t="str">
            <v>111005183</v>
          </cell>
          <cell r="B88" t="str">
            <v>111005183 MEGABANCO CTE CALI 7120702690 CH. entregados</v>
          </cell>
          <cell r="C88">
            <v>0</v>
          </cell>
        </row>
        <row r="89">
          <cell r="A89" t="str">
            <v>111005190</v>
          </cell>
          <cell r="B89" t="str">
            <v>111005190 BANCOLOMBIA CCTE(BIC SAL.)171-00199731 Conciliator</v>
          </cell>
          <cell r="C89">
            <v>2657413500</v>
          </cell>
        </row>
        <row r="90">
          <cell r="A90" t="str">
            <v>111005191</v>
          </cell>
          <cell r="B90" t="str">
            <v>111005191 BANCOLOMBIA CCTE(BIC SAL.)171-00199731 Entradas</v>
          </cell>
          <cell r="C90">
            <v>3944989</v>
          </cell>
        </row>
        <row r="91">
          <cell r="A91" t="str">
            <v>111005192</v>
          </cell>
          <cell r="B91" t="str">
            <v>111005192 BANCOLOMBIA CCTE(BIC SAL.)171-00199731 Ch. Emitido</v>
          </cell>
          <cell r="C91">
            <v>0</v>
          </cell>
        </row>
        <row r="92">
          <cell r="A92" t="str">
            <v>111005193</v>
          </cell>
          <cell r="B92" t="str">
            <v>111005193 BANCOLOMBIA CCTE(BIC SAL.)171-001799731 Ch. Entreg</v>
          </cell>
          <cell r="C92">
            <v>-65667492</v>
          </cell>
        </row>
        <row r="93">
          <cell r="A93" t="str">
            <v>111005200</v>
          </cell>
          <cell r="B93" t="str">
            <v>111005200 BANCOLOMBIA CCTE(MEDELLIN) 0051635903-3</v>
          </cell>
          <cell r="C93">
            <v>84396908</v>
          </cell>
        </row>
        <row r="94">
          <cell r="A94" t="str">
            <v>111005201</v>
          </cell>
          <cell r="B94" t="str">
            <v>111005201 BANCOLOMBIA CCTE(MEDELLIN) 0051635903-3 entradas</v>
          </cell>
          <cell r="C94">
            <v>0</v>
          </cell>
        </row>
        <row r="95">
          <cell r="A95" t="str">
            <v>111005202</v>
          </cell>
          <cell r="B95" t="str">
            <v>111005202 BANCOLOMBIA CCTE(MEDELLIN) 0051635903-3 Ch.emitido</v>
          </cell>
          <cell r="C95">
            <v>-24657297</v>
          </cell>
        </row>
        <row r="96">
          <cell r="A96" t="str">
            <v>111005203</v>
          </cell>
          <cell r="B96" t="str">
            <v>111005203 BANCOLOMBIA CCTE(MEDELLIN) 0051635903-3 Ch.entrega</v>
          </cell>
          <cell r="C96">
            <v>0</v>
          </cell>
        </row>
        <row r="97">
          <cell r="A97" t="str">
            <v>111005210</v>
          </cell>
          <cell r="B97" t="str">
            <v>111005210 MEGABANCO CL.68 703170108-7   Conciliatoria</v>
          </cell>
          <cell r="C97">
            <v>111548135</v>
          </cell>
        </row>
        <row r="98">
          <cell r="A98" t="str">
            <v>111005211</v>
          </cell>
          <cell r="B98" t="str">
            <v>111005211 MEGABANCO CL.68 703170108-7   Entradas</v>
          </cell>
          <cell r="C98">
            <v>2297619299</v>
          </cell>
        </row>
        <row r="99">
          <cell r="A99" t="str">
            <v>111005212</v>
          </cell>
          <cell r="B99" t="str">
            <v>111005212 MEGABANCO CL.68 703170108-7   Ch. Emitidos</v>
          </cell>
          <cell r="C99">
            <v>-2262167434</v>
          </cell>
        </row>
        <row r="100">
          <cell r="A100" t="str">
            <v>111005213</v>
          </cell>
          <cell r="B100" t="str">
            <v>111005213 MEGABANCO CL.68 703170108-7   Ch. Entregado</v>
          </cell>
          <cell r="C100">
            <v>-147000000</v>
          </cell>
        </row>
        <row r="101">
          <cell r="A101" t="str">
            <v>111005280</v>
          </cell>
          <cell r="B101" t="str">
            <v>111005280 GRANAHORRAR CUENTA 10280040027  Conciliatoria</v>
          </cell>
          <cell r="C101">
            <v>2224200367</v>
          </cell>
        </row>
        <row r="102">
          <cell r="A102" t="str">
            <v>111005281</v>
          </cell>
          <cell r="B102" t="str">
            <v>111005281 GRANAHORRAR CUENTA 10280040027  Entradas</v>
          </cell>
          <cell r="C102">
            <v>1812130235</v>
          </cell>
        </row>
        <row r="103">
          <cell r="A103" t="str">
            <v>111005282</v>
          </cell>
          <cell r="B103" t="str">
            <v>111005282 GRANAHORRAR CUENTA 10280040027  Ch. Emitidos</v>
          </cell>
          <cell r="C103">
            <v>-1514184178</v>
          </cell>
        </row>
        <row r="104">
          <cell r="A104" t="str">
            <v>111005283</v>
          </cell>
          <cell r="B104" t="str">
            <v>111005283 GRANAHORRAR CUENTA 10280040027  Ch. Entregados</v>
          </cell>
          <cell r="C104">
            <v>-1800000000</v>
          </cell>
        </row>
        <row r="105">
          <cell r="A105" t="str">
            <v>111005300</v>
          </cell>
          <cell r="B105" t="str">
            <v>111005300 COLMENA AHOR.METROP.CUENTA 26501945127 Concili</v>
          </cell>
          <cell r="C105">
            <v>846847437</v>
          </cell>
        </row>
        <row r="106">
          <cell r="A106" t="str">
            <v>111005301</v>
          </cell>
          <cell r="B106" t="str">
            <v>111005301 COLMENA AHOR.METROP.CUENTA 26501945127 Entradas</v>
          </cell>
          <cell r="C106">
            <v>-86427194</v>
          </cell>
        </row>
        <row r="107">
          <cell r="A107" t="str">
            <v>111005303</v>
          </cell>
          <cell r="B107" t="str">
            <v>111005303 COLMENA AHOR.METROP.CUENTA 26501945127 Ch.Entrega</v>
          </cell>
          <cell r="C107">
            <v>-210244556</v>
          </cell>
        </row>
        <row r="108">
          <cell r="A108" t="str">
            <v>111005310</v>
          </cell>
          <cell r="B108" t="str">
            <v>111005310 BOGOTA AHOR.METROP.CUENTA 078174596 Concili</v>
          </cell>
          <cell r="C108">
            <v>0</v>
          </cell>
        </row>
        <row r="109">
          <cell r="A109" t="str">
            <v>111005311</v>
          </cell>
          <cell r="B109" t="str">
            <v>111005311 BOGOTA AHOR.METROP.CUENTA 078174596 Entrad.</v>
          </cell>
          <cell r="C109">
            <v>0</v>
          </cell>
        </row>
        <row r="110">
          <cell r="A110" t="str">
            <v>111005313</v>
          </cell>
          <cell r="B110" t="str">
            <v>111005313 BOGOTA AHOR.METROP.CUENTA 078174596 Ch.Entregados</v>
          </cell>
          <cell r="C110">
            <v>0</v>
          </cell>
        </row>
        <row r="111">
          <cell r="A111" t="str">
            <v>111005320</v>
          </cell>
          <cell r="B111" t="str">
            <v>111005320 MEGABANCO R/TAYA FERIAS.CUENTA 3031343444 Concili</v>
          </cell>
          <cell r="C111">
            <v>39046491</v>
          </cell>
        </row>
        <row r="112">
          <cell r="A112" t="str">
            <v>111005321</v>
          </cell>
          <cell r="B112" t="str">
            <v>111005321 MEGABANCO R/TAYA FERIAS.CUENTA 3031343444 Entradas</v>
          </cell>
          <cell r="C112">
            <v>0</v>
          </cell>
        </row>
        <row r="113">
          <cell r="A113" t="str">
            <v>111005323</v>
          </cell>
          <cell r="B113" t="str">
            <v>111005323 MEGABANCO R/TAYA FERIAS.CUENTA 3031343444 Ch.Entre</v>
          </cell>
          <cell r="C113">
            <v>0</v>
          </cell>
        </row>
        <row r="114">
          <cell r="A114" t="str">
            <v>111005330</v>
          </cell>
          <cell r="B114" t="str">
            <v>111005330 COLPATRIA SALITRE AHORROS.CUENTA 4902031842 Concil</v>
          </cell>
          <cell r="C114">
            <v>0</v>
          </cell>
        </row>
        <row r="115">
          <cell r="A115" t="str">
            <v>111005340</v>
          </cell>
          <cell r="B115" t="str">
            <v>111005340 GANADERO FOMIPYME 180-004780 Concili</v>
          </cell>
          <cell r="C115">
            <v>0</v>
          </cell>
        </row>
        <row r="116">
          <cell r="A116" t="str">
            <v>111005341</v>
          </cell>
          <cell r="B116" t="str">
            <v>111005341 GANADERO FOMIPYME 180-004780 Entradas</v>
          </cell>
          <cell r="C116">
            <v>0</v>
          </cell>
        </row>
        <row r="117">
          <cell r="A117" t="str">
            <v>111005343</v>
          </cell>
          <cell r="B117" t="str">
            <v>111005343 GANADERO FOMIPYME 180-004780 Ch.Entregados</v>
          </cell>
          <cell r="C117">
            <v>0</v>
          </cell>
        </row>
        <row r="118">
          <cell r="A118" t="str">
            <v>111005660</v>
          </cell>
          <cell r="B118" t="str">
            <v>111005660 GANADERO SUC (80) CUENTA CTE # 180-125 Concilia</v>
          </cell>
          <cell r="C118">
            <v>645303450</v>
          </cell>
        </row>
        <row r="119">
          <cell r="A119" t="str">
            <v>111005661</v>
          </cell>
          <cell r="B119" t="str">
            <v>111005661 GANADERO SUC (80) CUENTA CTE # 180-125 Entradas</v>
          </cell>
          <cell r="C119">
            <v>-5061232</v>
          </cell>
        </row>
        <row r="120">
          <cell r="A120" t="str">
            <v>111005662</v>
          </cell>
          <cell r="B120" t="str">
            <v>111005662 GANADERO SUC (80) CUENTA CTE # 180-125 Ch. Emitido</v>
          </cell>
          <cell r="C120">
            <v>-232515170</v>
          </cell>
        </row>
        <row r="121">
          <cell r="A121" t="str">
            <v>111005663</v>
          </cell>
          <cell r="B121" t="str">
            <v>111005663 GANADERO SUC (80) CUENTA CTE # 180-125 Ch. Entrega</v>
          </cell>
          <cell r="C121">
            <v>0</v>
          </cell>
        </row>
        <row r="122">
          <cell r="A122" t="str">
            <v>111005691</v>
          </cell>
          <cell r="B122" t="str">
            <v>111005691 POPULAR  AHORROS 220065061566 Entradas</v>
          </cell>
          <cell r="C122">
            <v>9352367</v>
          </cell>
        </row>
        <row r="123">
          <cell r="A123" t="str">
            <v>111005692</v>
          </cell>
          <cell r="B123" t="str">
            <v>111005692 POPULAR  AHORROS 220065061566 Che. emitidos</v>
          </cell>
          <cell r="C123">
            <v>0</v>
          </cell>
        </row>
        <row r="124">
          <cell r="A124" t="str">
            <v>111005700</v>
          </cell>
          <cell r="B124" t="str">
            <v>111005700 MEGABANCO 3304348509  CONCIL BUCARAMANGA</v>
          </cell>
          <cell r="C124">
            <v>509589</v>
          </cell>
        </row>
        <row r="125">
          <cell r="A125" t="str">
            <v>111005701</v>
          </cell>
          <cell r="B125" t="str">
            <v>111005701 MEGABANCO 3304348509 BUCARAMANGA</v>
          </cell>
          <cell r="C125">
            <v>1095640</v>
          </cell>
        </row>
        <row r="126">
          <cell r="A126" t="str">
            <v>111005710</v>
          </cell>
          <cell r="B126" t="str">
            <v>111005710 MEGABANCO CTA 3120334440 conciliacion</v>
          </cell>
          <cell r="C126">
            <v>0</v>
          </cell>
        </row>
        <row r="127">
          <cell r="A127" t="str">
            <v>111005711</v>
          </cell>
          <cell r="B127" t="str">
            <v>111005711 MEGABANCO 3120334440 CALI entradas</v>
          </cell>
          <cell r="C127">
            <v>0</v>
          </cell>
        </row>
        <row r="128">
          <cell r="A128" t="str">
            <v>111005713</v>
          </cell>
          <cell r="B128" t="str">
            <v>111005713 MEGABANCO CTA 3120334440 cheques entregados</v>
          </cell>
          <cell r="C128">
            <v>0</v>
          </cell>
        </row>
        <row r="129">
          <cell r="A129" t="str">
            <v/>
          </cell>
          <cell r="B129" t="str">
            <v>111005 Bancos Comerciales</v>
          </cell>
          <cell r="C129">
            <v>9884301007</v>
          </cell>
        </row>
        <row r="130">
          <cell r="A130" t="str">
            <v/>
          </cell>
          <cell r="B130" t="str">
            <v>Total 1110 Bancos y Otras Entidades</v>
          </cell>
          <cell r="C130">
            <v>9884301007</v>
          </cell>
        </row>
        <row r="131">
          <cell r="A131" t="str">
            <v/>
          </cell>
          <cell r="B131" t="str">
            <v>1120. Fondo de Liquidez</v>
          </cell>
          <cell r="C131">
            <v>0</v>
          </cell>
        </row>
        <row r="132">
          <cell r="A132" t="str">
            <v/>
          </cell>
          <cell r="B132" t="str">
            <v>112005. Deposito de Ahorro a la vista</v>
          </cell>
          <cell r="C132">
            <v>0</v>
          </cell>
        </row>
        <row r="133">
          <cell r="A133" t="str">
            <v>112005001</v>
          </cell>
          <cell r="B133" t="str">
            <v>112005001 MEGABANCO RENTA YA   AYC</v>
          </cell>
          <cell r="C133">
            <v>795412221</v>
          </cell>
        </row>
        <row r="134">
          <cell r="A134" t="str">
            <v/>
          </cell>
          <cell r="B134" t="str">
            <v>112005 Deposito de Ahorro a la vista</v>
          </cell>
          <cell r="C134">
            <v>795412221</v>
          </cell>
        </row>
        <row r="135">
          <cell r="A135" t="str">
            <v/>
          </cell>
          <cell r="B135" t="str">
            <v>Total 1120 Fondo de Liquidez</v>
          </cell>
          <cell r="C135">
            <v>795412221</v>
          </cell>
        </row>
        <row r="136">
          <cell r="A136" t="str">
            <v/>
          </cell>
          <cell r="B136" t="str">
            <v>Total 11. Disponible</v>
          </cell>
          <cell r="C136">
            <v>10742830908</v>
          </cell>
        </row>
        <row r="139">
          <cell r="A139" t="str">
            <v/>
          </cell>
          <cell r="B139" t="str">
            <v>12. Inversiones</v>
          </cell>
          <cell r="C139">
            <v>0</v>
          </cell>
        </row>
        <row r="140">
          <cell r="A140" t="str">
            <v/>
          </cell>
          <cell r="B140" t="str">
            <v>1203. Fondo de Liquidez</v>
          </cell>
          <cell r="C140">
            <v>0</v>
          </cell>
        </row>
        <row r="141">
          <cell r="A141" t="str">
            <v/>
          </cell>
          <cell r="B141" t="str">
            <v>120325. Fondo Valores</v>
          </cell>
          <cell r="C141">
            <v>0</v>
          </cell>
        </row>
        <row r="142">
          <cell r="A142" t="str">
            <v>120325004</v>
          </cell>
          <cell r="B142" t="str">
            <v>120325004  BOLSA  Y BANCA S.A. AYC</v>
          </cell>
          <cell r="C142">
            <v>0</v>
          </cell>
        </row>
        <row r="143">
          <cell r="A143" t="str">
            <v/>
          </cell>
          <cell r="B143" t="str">
            <v>123025 Fondo Valores</v>
          </cell>
          <cell r="C143">
            <v>0</v>
          </cell>
        </row>
        <row r="144">
          <cell r="A144" t="str">
            <v/>
          </cell>
          <cell r="B144" t="str">
            <v>120305. Titulos Emitidos Avalados -Superbanca</v>
          </cell>
          <cell r="C144">
            <v>0</v>
          </cell>
        </row>
        <row r="145">
          <cell r="A145" t="str">
            <v>120305001</v>
          </cell>
          <cell r="B145" t="str">
            <v>120305001 INVERSIONES MEGABANCO AYC</v>
          </cell>
          <cell r="C145">
            <v>0</v>
          </cell>
        </row>
        <row r="146">
          <cell r="A146" t="str">
            <v>120305004</v>
          </cell>
          <cell r="B146" t="str">
            <v>120305004 SUFINANCIAMIENTO  AYC</v>
          </cell>
          <cell r="C146">
            <v>0</v>
          </cell>
        </row>
        <row r="147">
          <cell r="A147" t="str">
            <v>120305005</v>
          </cell>
          <cell r="B147" t="str">
            <v>120305005 C.D.T.´S  AYC</v>
          </cell>
          <cell r="C147">
            <v>1523935879</v>
          </cell>
        </row>
        <row r="148">
          <cell r="A148" t="str">
            <v/>
          </cell>
          <cell r="B148" t="str">
            <v>120305 Titulos Emitid Avalad-Superbanc</v>
          </cell>
          <cell r="C148">
            <v>1523935879</v>
          </cell>
        </row>
        <row r="149">
          <cell r="A149" t="str">
            <v/>
          </cell>
          <cell r="B149" t="str">
            <v>Total 1203 Fondo de Liquidez</v>
          </cell>
          <cell r="C149">
            <v>1523935879</v>
          </cell>
        </row>
        <row r="150">
          <cell r="A150" t="str">
            <v/>
          </cell>
          <cell r="B150" t="str">
            <v>1204. Inversiones negoc. en titulos de deuda</v>
          </cell>
          <cell r="C150">
            <v>0</v>
          </cell>
        </row>
        <row r="151">
          <cell r="A151" t="str">
            <v/>
          </cell>
          <cell r="B151" t="str">
            <v>120411. Titulos emit.Avalad,aceptados SuperBa</v>
          </cell>
          <cell r="C151">
            <v>0</v>
          </cell>
        </row>
        <row r="152">
          <cell r="A152" t="str">
            <v>120411002</v>
          </cell>
          <cell r="B152" t="str">
            <v>120411002 PROFESIONALES DE BOLSA  AyC</v>
          </cell>
          <cell r="C152">
            <v>0</v>
          </cell>
        </row>
        <row r="153">
          <cell r="A153" t="str">
            <v>120411114</v>
          </cell>
          <cell r="B153" t="str">
            <v>120411114 INVERSIONES BOLSA Y BANCA REPOS</v>
          </cell>
          <cell r="C153">
            <v>0</v>
          </cell>
        </row>
        <row r="154">
          <cell r="A154" t="str">
            <v>120411116</v>
          </cell>
          <cell r="B154" t="str">
            <v>120411116 ACCIONES Y VALORES COMISIONISTAS DE BOLSA</v>
          </cell>
          <cell r="C154">
            <v>0</v>
          </cell>
        </row>
        <row r="155">
          <cell r="A155" t="str">
            <v>120411124</v>
          </cell>
          <cell r="B155" t="str">
            <v>120411124 INVERSIONES SERFINCO S.A.</v>
          </cell>
          <cell r="C155">
            <v>0</v>
          </cell>
        </row>
        <row r="156">
          <cell r="A156" t="str">
            <v>120411125</v>
          </cell>
          <cell r="B156" t="str">
            <v>120411125 INVERSIONES CORREDORES ASOCIADOS S.A.</v>
          </cell>
          <cell r="C156">
            <v>0</v>
          </cell>
        </row>
        <row r="157">
          <cell r="A157" t="str">
            <v/>
          </cell>
          <cell r="B157" t="str">
            <v>120411 Titul emit.Avalad.acept. SuperB</v>
          </cell>
          <cell r="C157">
            <v>0</v>
          </cell>
        </row>
        <row r="158">
          <cell r="A158" t="str">
            <v/>
          </cell>
          <cell r="B158" t="str">
            <v>Total  1204 Invers negoc. en titulos de deuda</v>
          </cell>
          <cell r="C158">
            <v>0</v>
          </cell>
        </row>
        <row r="159">
          <cell r="A159" t="str">
            <v/>
          </cell>
          <cell r="B159" t="str">
            <v>1206. Inversiones Neg. en títulos Particip</v>
          </cell>
          <cell r="C159">
            <v>0</v>
          </cell>
        </row>
        <row r="160">
          <cell r="A160" t="str">
            <v/>
          </cell>
          <cell r="B160" t="str">
            <v>120607. Participacion en fondo de Valores</v>
          </cell>
          <cell r="C160">
            <v>0</v>
          </cell>
        </row>
        <row r="161">
          <cell r="A161" t="str">
            <v>120607001</v>
          </cell>
          <cell r="B161" t="str">
            <v>120607001 INVERSIONES CORREVAL (FONDO VALORES) AYC</v>
          </cell>
          <cell r="C161">
            <v>0</v>
          </cell>
        </row>
        <row r="162">
          <cell r="A162" t="str">
            <v>120607103</v>
          </cell>
          <cell r="B162" t="str">
            <v>120607103 INV. FONDO VALOR PROFESIONALES DE BOLSA</v>
          </cell>
          <cell r="C162">
            <v>0</v>
          </cell>
        </row>
        <row r="163">
          <cell r="A163" t="str">
            <v>120607106</v>
          </cell>
          <cell r="B163" t="str">
            <v>120607106 INV. FONDO VALOR OLIMPIA</v>
          </cell>
          <cell r="C163">
            <v>0</v>
          </cell>
        </row>
        <row r="164">
          <cell r="A164" t="str">
            <v>120607107</v>
          </cell>
          <cell r="B164" t="str">
            <v>120607107 INV. FONDO VALOR ESPARTA</v>
          </cell>
          <cell r="C164">
            <v>0</v>
          </cell>
        </row>
        <row r="165">
          <cell r="A165" t="str">
            <v>120607108</v>
          </cell>
          <cell r="B165" t="str">
            <v>120607108 INV.  ULTRA BURSÁTILES (FONDO VALORES)</v>
          </cell>
          <cell r="C165">
            <v>0</v>
          </cell>
        </row>
        <row r="166">
          <cell r="A166" t="str">
            <v>120607109</v>
          </cell>
          <cell r="B166" t="str">
            <v>120607109 INVERSIONES CORREVAL (FONDO VALORES)</v>
          </cell>
          <cell r="C166">
            <v>0</v>
          </cell>
        </row>
        <row r="167">
          <cell r="A167" t="str">
            <v>120607110</v>
          </cell>
          <cell r="B167" t="str">
            <v>120607110 FONDO INTERESES (FONDO VALORES)</v>
          </cell>
          <cell r="C167">
            <v>0</v>
          </cell>
        </row>
        <row r="168">
          <cell r="A168" t="str">
            <v>120607111</v>
          </cell>
          <cell r="B168" t="str">
            <v>120607111 INV. FONDO VALOR RENTA PLUS 90</v>
          </cell>
          <cell r="C168">
            <v>0</v>
          </cell>
        </row>
        <row r="169">
          <cell r="A169" t="str">
            <v>120607112</v>
          </cell>
          <cell r="B169" t="str">
            <v>120607112 FONDO INTERESES CORREDORES  (FONDO VALORES) AYC</v>
          </cell>
          <cell r="C169">
            <v>0</v>
          </cell>
        </row>
        <row r="170">
          <cell r="A170" t="str">
            <v>120607119</v>
          </cell>
          <cell r="B170" t="str">
            <v>120607119 BOLSA Y BANCA</v>
          </cell>
          <cell r="C170">
            <v>0</v>
          </cell>
        </row>
        <row r="171">
          <cell r="A171" t="str">
            <v>120607121</v>
          </cell>
          <cell r="B171" t="str">
            <v>120607121 ACCIONES Y VALORES</v>
          </cell>
          <cell r="C171">
            <v>0</v>
          </cell>
        </row>
        <row r="172">
          <cell r="A172" t="str">
            <v>120607122</v>
          </cell>
          <cell r="B172" t="str">
            <v>120607122 INV. ULTRA BURSÁTILES  (COMISIONISTA)</v>
          </cell>
          <cell r="C172">
            <v>0</v>
          </cell>
        </row>
        <row r="173">
          <cell r="A173" t="str">
            <v>120607123</v>
          </cell>
          <cell r="B173" t="str">
            <v>120607123 INV. PROFESIONALES DE BOLSA (COMISIONISTA)</v>
          </cell>
          <cell r="C173">
            <v>0</v>
          </cell>
        </row>
        <row r="174">
          <cell r="A174" t="str">
            <v>120607124</v>
          </cell>
          <cell r="B174" t="str">
            <v>120607124 BOLSA Y BANCA (COMISIONISTAS)</v>
          </cell>
          <cell r="C174">
            <v>0</v>
          </cell>
        </row>
        <row r="175">
          <cell r="A175" t="str">
            <v>120607125</v>
          </cell>
          <cell r="B175" t="str">
            <v>120607125 ACCIONES Y VALORES  COMISIONISTAS DE BOLSA</v>
          </cell>
          <cell r="C175">
            <v>0</v>
          </cell>
        </row>
        <row r="176">
          <cell r="A176" t="str">
            <v>120607126</v>
          </cell>
          <cell r="B176" t="str">
            <v>120607126 SERFINCO  COMISIONISTAS DE BOLSA</v>
          </cell>
          <cell r="C176">
            <v>0</v>
          </cell>
        </row>
        <row r="177">
          <cell r="A177" t="str">
            <v>120607127</v>
          </cell>
          <cell r="B177" t="str">
            <v>120607127 CORREDORES ASOCIADOS COMISIONISTAS DE BOLSA</v>
          </cell>
          <cell r="C177">
            <v>0</v>
          </cell>
        </row>
        <row r="178">
          <cell r="A178" t="str">
            <v/>
          </cell>
          <cell r="B178" t="str">
            <v>120607 Particip en fondo de Valores</v>
          </cell>
          <cell r="C178">
            <v>0</v>
          </cell>
        </row>
        <row r="179">
          <cell r="A179" t="str">
            <v/>
          </cell>
          <cell r="B179" t="str">
            <v>Total 1206 Inv Neg. en títulos Particip</v>
          </cell>
          <cell r="C179">
            <v>0</v>
          </cell>
        </row>
        <row r="180">
          <cell r="A180" t="str">
            <v/>
          </cell>
          <cell r="B180" t="str">
            <v>1208. Inversiones para mantener hasta el venc</v>
          </cell>
          <cell r="C180">
            <v>0</v>
          </cell>
        </row>
        <row r="181">
          <cell r="A181" t="str">
            <v/>
          </cell>
          <cell r="B181" t="str">
            <v>120811. Titulos emit.Avalad,aceptados SuperBa</v>
          </cell>
          <cell r="C181">
            <v>0</v>
          </cell>
        </row>
        <row r="182">
          <cell r="A182" t="str">
            <v>120811001</v>
          </cell>
          <cell r="B182" t="str">
            <v>120811001 INVERSIONES BANCO SUPERIOR CDT</v>
          </cell>
          <cell r="C182">
            <v>0</v>
          </cell>
        </row>
        <row r="183">
          <cell r="A183" t="str">
            <v>120811002</v>
          </cell>
          <cell r="B183" t="str">
            <v>120811002 INVERSIONES BCO COLPATRIA RED MUL CDT</v>
          </cell>
          <cell r="C183">
            <v>406804557</v>
          </cell>
        </row>
        <row r="184">
          <cell r="A184" t="str">
            <v>120811003</v>
          </cell>
          <cell r="B184" t="str">
            <v>120811003 INVERSIONES MEGABANCO _CONSUMO CDT</v>
          </cell>
          <cell r="C184">
            <v>725487033</v>
          </cell>
        </row>
        <row r="185">
          <cell r="A185" t="str">
            <v>120811004</v>
          </cell>
          <cell r="B185" t="str">
            <v>120811004 INVERSIONES SUFINANCIAMIENTO CDT</v>
          </cell>
          <cell r="C185">
            <v>839884926</v>
          </cell>
        </row>
        <row r="186">
          <cell r="A186" t="str">
            <v>120811005</v>
          </cell>
          <cell r="B186" t="str">
            <v>120811005 INVERSIONES LEASING CREDITO CDT</v>
          </cell>
          <cell r="C186">
            <v>304278895</v>
          </cell>
        </row>
        <row r="187">
          <cell r="A187" t="str">
            <v>120811051</v>
          </cell>
          <cell r="B187" t="str">
            <v>120811051 MEGABANCO AYC</v>
          </cell>
          <cell r="C187">
            <v>0</v>
          </cell>
        </row>
        <row r="188">
          <cell r="A188" t="str">
            <v>120811052</v>
          </cell>
          <cell r="B188" t="str">
            <v>120811052 BANCO TEQUENDAMA AYC</v>
          </cell>
          <cell r="C188">
            <v>0</v>
          </cell>
        </row>
        <row r="189">
          <cell r="A189" t="str">
            <v>120811054</v>
          </cell>
          <cell r="B189" t="str">
            <v>120811054 SU LEASING AYC</v>
          </cell>
          <cell r="C189">
            <v>0</v>
          </cell>
        </row>
        <row r="190">
          <cell r="A190" t="str">
            <v>120811055</v>
          </cell>
          <cell r="B190" t="str">
            <v>120811055 BANISTMO  COLOMBIA S.A AYC</v>
          </cell>
          <cell r="C190">
            <v>0</v>
          </cell>
        </row>
        <row r="191">
          <cell r="A191" t="str">
            <v>120811060</v>
          </cell>
          <cell r="B191" t="str">
            <v>120811060 C.D.T.¨S  A YC</v>
          </cell>
          <cell r="C191">
            <v>-3</v>
          </cell>
        </row>
        <row r="192">
          <cell r="A192" t="str">
            <v>120811112</v>
          </cell>
          <cell r="B192" t="str">
            <v>120811112 CORFICOLOMBIANA S.A. CDT</v>
          </cell>
          <cell r="C192">
            <v>0</v>
          </cell>
        </row>
        <row r="193">
          <cell r="A193" t="str">
            <v>120811113</v>
          </cell>
          <cell r="B193" t="str">
            <v>120811113 BANISTMO COLOMBIA S.A CDT</v>
          </cell>
          <cell r="C193">
            <v>0</v>
          </cell>
        </row>
        <row r="194">
          <cell r="A194" t="str">
            <v>120811114</v>
          </cell>
          <cell r="B194" t="str">
            <v>120811114 COLMENA CDT</v>
          </cell>
          <cell r="C194">
            <v>406721001</v>
          </cell>
        </row>
        <row r="195">
          <cell r="A195" t="str">
            <v>120811115</v>
          </cell>
          <cell r="B195" t="str">
            <v>120811115 AV  VILLAS  CDT</v>
          </cell>
          <cell r="C195">
            <v>406964557</v>
          </cell>
        </row>
        <row r="196">
          <cell r="A196" t="str">
            <v>120811116</v>
          </cell>
          <cell r="B196" t="str">
            <v>120811116 GRANAHORRAR  CDT</v>
          </cell>
          <cell r="C196">
            <v>0</v>
          </cell>
        </row>
        <row r="197">
          <cell r="A197" t="str">
            <v>120811117</v>
          </cell>
          <cell r="B197" t="str">
            <v>120811117 GNB SUDAMERIS  CDT</v>
          </cell>
          <cell r="C197">
            <v>314734217</v>
          </cell>
        </row>
        <row r="198">
          <cell r="A198" t="str">
            <v>120811118</v>
          </cell>
          <cell r="B198" t="str">
            <v>120811118 OCCIDENTE  CDT</v>
          </cell>
          <cell r="C198">
            <v>0</v>
          </cell>
        </row>
        <row r="199">
          <cell r="A199" t="str">
            <v>120811119</v>
          </cell>
          <cell r="B199" t="str">
            <v>120811119 BANCOLOMBIA  CDT</v>
          </cell>
          <cell r="C199">
            <v>0</v>
          </cell>
        </row>
        <row r="200">
          <cell r="A200" t="str">
            <v>120811120</v>
          </cell>
          <cell r="B200" t="str">
            <v>120811120 GRAN BANCO CDT</v>
          </cell>
          <cell r="C200">
            <v>406789257</v>
          </cell>
        </row>
        <row r="201">
          <cell r="A201" t="str">
            <v>120811121</v>
          </cell>
          <cell r="B201" t="str">
            <v>120811121 BBVA  CDT</v>
          </cell>
          <cell r="C201">
            <v>406865123</v>
          </cell>
        </row>
        <row r="202">
          <cell r="A202" t="str">
            <v>120811122</v>
          </cell>
          <cell r="B202" t="str">
            <v>120811122 CITIBANK CDT</v>
          </cell>
          <cell r="C202">
            <v>0</v>
          </cell>
        </row>
        <row r="203">
          <cell r="A203" t="str">
            <v>120811123</v>
          </cell>
          <cell r="B203" t="str">
            <v>120811123 BANCO POPULAR CDT</v>
          </cell>
          <cell r="C203">
            <v>508552501</v>
          </cell>
        </row>
        <row r="204">
          <cell r="A204" t="str">
            <v>120811124</v>
          </cell>
          <cell r="B204" t="str">
            <v>120811124 CDAT SECCION A Y C</v>
          </cell>
          <cell r="C204">
            <v>1353730136</v>
          </cell>
        </row>
        <row r="205">
          <cell r="A205" t="str">
            <v/>
          </cell>
          <cell r="B205" t="str">
            <v>120811 Titul emit.Avalad,acept SuperBa</v>
          </cell>
          <cell r="C205">
            <v>6080812200</v>
          </cell>
        </row>
        <row r="206">
          <cell r="A206" t="str">
            <v/>
          </cell>
          <cell r="B206" t="str">
            <v>Total  1208 Inv para mantener hasta el v</v>
          </cell>
          <cell r="C206">
            <v>6080812200</v>
          </cell>
        </row>
        <row r="207">
          <cell r="A207" t="str">
            <v/>
          </cell>
          <cell r="B207" t="str">
            <v>1216. Inver.para la venta de titulos particip</v>
          </cell>
          <cell r="C207">
            <v>0</v>
          </cell>
        </row>
        <row r="208">
          <cell r="A208" t="str">
            <v/>
          </cell>
          <cell r="B208" t="str">
            <v>121604. Acc con baja y minima liquidez o sin</v>
          </cell>
          <cell r="C208">
            <v>0</v>
          </cell>
        </row>
        <row r="209">
          <cell r="A209" t="str">
            <v>121604001</v>
          </cell>
          <cell r="B209" t="str">
            <v>121604001 APORTES I.P.S. COMFASALUD S.A.</v>
          </cell>
          <cell r="C209">
            <v>12912018</v>
          </cell>
        </row>
        <row r="210">
          <cell r="A210" t="str">
            <v/>
          </cell>
          <cell r="B210" t="str">
            <v>121604 Acc baja y min liquidez o sin c</v>
          </cell>
          <cell r="C210">
            <v>12912018</v>
          </cell>
        </row>
        <row r="211">
          <cell r="A211" t="str">
            <v/>
          </cell>
          <cell r="B211" t="str">
            <v>1216 Inver.para la venta de titu partic</v>
          </cell>
          <cell r="C211">
            <v>12912018</v>
          </cell>
        </row>
        <row r="212">
          <cell r="A212" t="str">
            <v/>
          </cell>
          <cell r="B212" t="str">
            <v>Total 12. Inversiones</v>
          </cell>
          <cell r="C212">
            <v>7617660097</v>
          </cell>
        </row>
        <row r="213">
          <cell r="A213" t="str">
            <v/>
          </cell>
          <cell r="B213" t="str">
            <v>13. Inventarios</v>
          </cell>
          <cell r="C213">
            <v>0</v>
          </cell>
        </row>
        <row r="214">
          <cell r="A214" t="str">
            <v/>
          </cell>
          <cell r="B214" t="str">
            <v>1305. Bienes no trasformados por la entidad</v>
          </cell>
          <cell r="C214">
            <v>0</v>
          </cell>
        </row>
        <row r="215">
          <cell r="A215" t="str">
            <v/>
          </cell>
          <cell r="B215" t="str">
            <v>130505. Bienes no trasformados por la entidad</v>
          </cell>
          <cell r="C215">
            <v>0</v>
          </cell>
        </row>
        <row r="216">
          <cell r="A216" t="str">
            <v>130505001</v>
          </cell>
          <cell r="B216" t="str">
            <v>130505001 INVENTARIOS DE MERCANCÍA  ETICOS GRAVADA</v>
          </cell>
          <cell r="C216">
            <v>494452676</v>
          </cell>
        </row>
        <row r="217">
          <cell r="A217" t="str">
            <v>130505002</v>
          </cell>
          <cell r="B217" t="str">
            <v>130505002 INVENTARIOS DE MERCANCÍA  ETICOS EXCLUIDA</v>
          </cell>
          <cell r="C217">
            <v>44436867902</v>
          </cell>
        </row>
        <row r="218">
          <cell r="A218" t="str">
            <v>130505011</v>
          </cell>
          <cell r="B218" t="str">
            <v>130505011 INVENTARIOS DE MERCANCÍA  POPULARES GRAVADA</v>
          </cell>
          <cell r="C218">
            <v>13395950804</v>
          </cell>
        </row>
        <row r="219">
          <cell r="A219" t="str">
            <v>130505012</v>
          </cell>
          <cell r="B219" t="str">
            <v>130505012 INVENTARIOS DE MERCANCÍA  POPULARES  EXCLUIDA</v>
          </cell>
          <cell r="C219">
            <v>5047471491</v>
          </cell>
        </row>
        <row r="220">
          <cell r="A220" t="str">
            <v>130505013</v>
          </cell>
          <cell r="B220" t="str">
            <v>130505013 INVENTARIOS DE MERCANCÍA   CONVENIOS</v>
          </cell>
          <cell r="C220">
            <v>203</v>
          </cell>
        </row>
        <row r="221">
          <cell r="A221" t="str">
            <v>130505090</v>
          </cell>
          <cell r="B221" t="str">
            <v>130505090 INVENTARIO EN TRANSITO</v>
          </cell>
          <cell r="C221">
            <v>0</v>
          </cell>
        </row>
        <row r="222">
          <cell r="A222" t="str">
            <v>130505091</v>
          </cell>
          <cell r="B222" t="str">
            <v>130505091 REVALORIZACION DE INVENTARIO</v>
          </cell>
          <cell r="C222">
            <v>1</v>
          </cell>
        </row>
        <row r="223">
          <cell r="A223" t="str">
            <v/>
          </cell>
          <cell r="B223" t="str">
            <v>130505 Bienes no trasf por la entidad</v>
          </cell>
          <cell r="C223">
            <v>63374743077</v>
          </cell>
        </row>
        <row r="224">
          <cell r="A224" t="str">
            <v/>
          </cell>
          <cell r="B224" t="str">
            <v>Total 1305 Bienes no trasf por la entidad</v>
          </cell>
          <cell r="C224">
            <v>63374743077</v>
          </cell>
        </row>
        <row r="225">
          <cell r="A225" t="str">
            <v/>
          </cell>
          <cell r="B225" t="str">
            <v>1325. Materiales y Suministros</v>
          </cell>
          <cell r="C225">
            <v>0</v>
          </cell>
        </row>
        <row r="226">
          <cell r="A226" t="str">
            <v/>
          </cell>
          <cell r="B226" t="str">
            <v>132505. Materiales y suministros</v>
          </cell>
          <cell r="C226">
            <v>0</v>
          </cell>
        </row>
        <row r="227">
          <cell r="A227" t="str">
            <v>132505021</v>
          </cell>
          <cell r="B227" t="str">
            <v>132505021 INVENTARIOS DE MERCANCÍA  SERV.GENERALES GRAVADA</v>
          </cell>
          <cell r="C227">
            <v>142162219</v>
          </cell>
        </row>
        <row r="228">
          <cell r="A228" t="str">
            <v>132505022</v>
          </cell>
          <cell r="B228" t="str">
            <v>132505022 INVENTARIOS DE MERCANCÍA  SERV.GENERALES EXENTA</v>
          </cell>
          <cell r="C228">
            <v>107326613</v>
          </cell>
        </row>
        <row r="229">
          <cell r="A229" t="str">
            <v/>
          </cell>
          <cell r="B229" t="str">
            <v>Total  Materiales y suministros</v>
          </cell>
          <cell r="C229">
            <v>249488832</v>
          </cell>
        </row>
        <row r="230">
          <cell r="A230" t="str">
            <v/>
          </cell>
          <cell r="B230" t="str">
            <v>Total 1325 Materiales y Suministros</v>
          </cell>
          <cell r="C230">
            <v>249488832</v>
          </cell>
        </row>
        <row r="231">
          <cell r="A231" t="str">
            <v/>
          </cell>
          <cell r="B231" t="str">
            <v>1335. Inventarios en transito</v>
          </cell>
          <cell r="C231">
            <v>0</v>
          </cell>
        </row>
        <row r="232">
          <cell r="A232" t="str">
            <v/>
          </cell>
          <cell r="B232" t="str">
            <v>133505. Inventarios en transito</v>
          </cell>
          <cell r="C232">
            <v>0</v>
          </cell>
        </row>
        <row r="233">
          <cell r="A233" t="str">
            <v>133505090</v>
          </cell>
          <cell r="B233" t="str">
            <v>133505090 INVENTARIO EN TRANSITO</v>
          </cell>
          <cell r="C233">
            <v>0</v>
          </cell>
        </row>
        <row r="234">
          <cell r="A234" t="str">
            <v/>
          </cell>
          <cell r="B234" t="str">
            <v>133505 Inventarios en transito</v>
          </cell>
          <cell r="C234">
            <v>0</v>
          </cell>
        </row>
        <row r="235">
          <cell r="A235" t="str">
            <v/>
          </cell>
          <cell r="B235" t="str">
            <v>Total 1335 Inventarios en transito</v>
          </cell>
          <cell r="C235">
            <v>0</v>
          </cell>
        </row>
        <row r="236">
          <cell r="A236" t="str">
            <v/>
          </cell>
          <cell r="B236" t="str">
            <v>1390. Provision</v>
          </cell>
          <cell r="C236">
            <v>0</v>
          </cell>
        </row>
        <row r="237">
          <cell r="A237" t="str">
            <v/>
          </cell>
          <cell r="B237" t="str">
            <v>139005. Por Obsolescencia</v>
          </cell>
          <cell r="C237">
            <v>0</v>
          </cell>
        </row>
        <row r="238">
          <cell r="A238" t="str">
            <v>139005001</v>
          </cell>
          <cell r="B238" t="str">
            <v>139005001 PROVISIÓN PARA ROTURAS Y DESGUASE</v>
          </cell>
          <cell r="C238">
            <v>7097051</v>
          </cell>
        </row>
        <row r="239">
          <cell r="A239" t="str">
            <v/>
          </cell>
          <cell r="B239" t="str">
            <v>139005 Por Obsolescencia</v>
          </cell>
          <cell r="C239">
            <v>7097051</v>
          </cell>
        </row>
        <row r="240">
          <cell r="A240" t="str">
            <v/>
          </cell>
          <cell r="B240" t="str">
            <v>139010. Por Diferencia en inventario fisico</v>
          </cell>
          <cell r="C240">
            <v>0</v>
          </cell>
        </row>
        <row r="241">
          <cell r="A241" t="str">
            <v>139010001</v>
          </cell>
          <cell r="B241" t="str">
            <v>139010001 VARIACIONES EN PRECIOS Y LOTES DE INVENTARIO</v>
          </cell>
          <cell r="C241">
            <v>14944375</v>
          </cell>
        </row>
        <row r="242">
          <cell r="A242" t="str">
            <v/>
          </cell>
          <cell r="B242" t="str">
            <v>139010 Por Dif en inventario fisico</v>
          </cell>
          <cell r="C242">
            <v>14944375</v>
          </cell>
        </row>
        <row r="243">
          <cell r="A243" t="str">
            <v/>
          </cell>
          <cell r="B243" t="str">
            <v>139085. Por Otros Conceptos</v>
          </cell>
          <cell r="C243">
            <v>0</v>
          </cell>
        </row>
        <row r="244">
          <cell r="A244" t="str">
            <v>139085001</v>
          </cell>
          <cell r="B244" t="str">
            <v>139085001 PROVISIÓN PARA OTROS CONCEPTOS INVENT.</v>
          </cell>
          <cell r="C244">
            <v>541783</v>
          </cell>
        </row>
        <row r="245">
          <cell r="A245" t="str">
            <v>139085090</v>
          </cell>
          <cell r="B245" t="str">
            <v>139085090 PROVISION MCIA RECHAZADA PROV.Y RECOGIDA POR CONTR</v>
          </cell>
          <cell r="C245">
            <v>27580</v>
          </cell>
        </row>
        <row r="246">
          <cell r="A246" t="str">
            <v/>
          </cell>
          <cell r="B246" t="str">
            <v>139085 Por Otros Conceptos</v>
          </cell>
          <cell r="C246">
            <v>569363</v>
          </cell>
        </row>
        <row r="247">
          <cell r="A247" t="str">
            <v/>
          </cell>
          <cell r="B247" t="str">
            <v>Total 1390 Provision</v>
          </cell>
          <cell r="C247">
            <v>22610789</v>
          </cell>
        </row>
        <row r="248">
          <cell r="A248" t="str">
            <v/>
          </cell>
          <cell r="B248" t="str">
            <v>Total 13. Inventarios</v>
          </cell>
          <cell r="C248">
            <v>63646842698</v>
          </cell>
        </row>
        <row r="249">
          <cell r="A249" t="str">
            <v/>
          </cell>
          <cell r="B249" t="str">
            <v>14. Cartera de Créditos</v>
          </cell>
          <cell r="C249">
            <v>0</v>
          </cell>
        </row>
        <row r="250">
          <cell r="A250" t="str">
            <v/>
          </cell>
          <cell r="B250" t="str">
            <v>1412. Creditos de cmo.garantia admisible-S L</v>
          </cell>
          <cell r="C250">
            <v>0</v>
          </cell>
        </row>
        <row r="251">
          <cell r="A251" t="str">
            <v/>
          </cell>
          <cell r="B251" t="str">
            <v>141205. Categoria A- riesgo normal</v>
          </cell>
          <cell r="C251">
            <v>0</v>
          </cell>
        </row>
        <row r="252">
          <cell r="A252" t="str">
            <v>141205001</v>
          </cell>
          <cell r="B252" t="str">
            <v>141205001 CATEGORÍA A - RIESGO NORMAL  AYC</v>
          </cell>
          <cell r="C252">
            <v>5400873031</v>
          </cell>
        </row>
        <row r="253">
          <cell r="A253" t="str">
            <v/>
          </cell>
          <cell r="B253" t="str">
            <v>Total Categoria A- riesgo normal</v>
          </cell>
          <cell r="C253">
            <v>5400873031</v>
          </cell>
        </row>
        <row r="254">
          <cell r="A254" t="str">
            <v/>
          </cell>
          <cell r="B254" t="str">
            <v>141210. Categoria B- riesgo aceptable</v>
          </cell>
          <cell r="C254">
            <v>0</v>
          </cell>
        </row>
        <row r="255">
          <cell r="A255" t="str">
            <v>141210001</v>
          </cell>
          <cell r="B255" t="str">
            <v>141210001 CATEGORÍA B - RIESGO ACEPTABLE AYC</v>
          </cell>
          <cell r="C255">
            <v>0</v>
          </cell>
        </row>
        <row r="256">
          <cell r="A256" t="str">
            <v/>
          </cell>
          <cell r="B256" t="str">
            <v>Total Categoria B- riesgo aceptable</v>
          </cell>
          <cell r="C256">
            <v>0</v>
          </cell>
        </row>
        <row r="257">
          <cell r="A257" t="str">
            <v/>
          </cell>
          <cell r="B257" t="str">
            <v>141215. Categoria C- riesgo apreciable</v>
          </cell>
          <cell r="C257">
            <v>0</v>
          </cell>
        </row>
        <row r="258">
          <cell r="A258" t="str">
            <v>141215001</v>
          </cell>
          <cell r="B258" t="str">
            <v>141215001 CATEGORÍA C - RIESGO APRECIABLE AYC</v>
          </cell>
          <cell r="C258">
            <v>82101857</v>
          </cell>
        </row>
        <row r="259">
          <cell r="A259" t="str">
            <v/>
          </cell>
          <cell r="B259" t="str">
            <v>Total Categoria C- riesgo apreciable</v>
          </cell>
          <cell r="C259">
            <v>82101857</v>
          </cell>
        </row>
        <row r="260">
          <cell r="A260" t="str">
            <v/>
          </cell>
          <cell r="B260" t="str">
            <v>141220. Categoria D- Riesgo significativo</v>
          </cell>
          <cell r="C260">
            <v>0</v>
          </cell>
        </row>
        <row r="261">
          <cell r="A261" t="str">
            <v>141220001</v>
          </cell>
          <cell r="B261" t="str">
            <v>141220001 CATEGORÍA D - RIESGO SIGNIFICATIVO AYC</v>
          </cell>
          <cell r="C261">
            <v>0</v>
          </cell>
        </row>
        <row r="262">
          <cell r="A262" t="str">
            <v/>
          </cell>
          <cell r="B262" t="str">
            <v>Total Categoria D- Riesgo significativo</v>
          </cell>
          <cell r="C262">
            <v>0</v>
          </cell>
        </row>
        <row r="263">
          <cell r="A263" t="str">
            <v/>
          </cell>
          <cell r="B263" t="str">
            <v>141225. Categoria E- Riesgo de incobrabilidad</v>
          </cell>
          <cell r="C263">
            <v>0</v>
          </cell>
        </row>
        <row r="264">
          <cell r="A264" t="str">
            <v>141225001</v>
          </cell>
          <cell r="B264" t="str">
            <v>141225001 CATEGORÍA E- RIESGO DE INCOBRABILIDAD AYC</v>
          </cell>
          <cell r="C264">
            <v>34415610</v>
          </cell>
        </row>
        <row r="265">
          <cell r="A265" t="str">
            <v/>
          </cell>
          <cell r="B265" t="str">
            <v>Total Categoria E- Riesgo de incobrabilidad</v>
          </cell>
          <cell r="C265">
            <v>34415610</v>
          </cell>
        </row>
        <row r="266">
          <cell r="A266" t="str">
            <v/>
          </cell>
          <cell r="B266" t="str">
            <v>Total 1412 Credi de cmo.garant admisible-S L</v>
          </cell>
          <cell r="C266">
            <v>5517390498</v>
          </cell>
        </row>
        <row r="267">
          <cell r="A267" t="str">
            <v/>
          </cell>
          <cell r="B267" t="str">
            <v>1442. Creditos de Consumo-otras Garantias</v>
          </cell>
          <cell r="C267">
            <v>0</v>
          </cell>
        </row>
        <row r="268">
          <cell r="A268" t="str">
            <v/>
          </cell>
          <cell r="B268" t="str">
            <v>144205. Categoria A - Riesgo Normal</v>
          </cell>
          <cell r="C268">
            <v>0</v>
          </cell>
        </row>
        <row r="269">
          <cell r="A269" t="str">
            <v>144205001</v>
          </cell>
          <cell r="B269" t="str">
            <v>144205001 CATEGORÍA A - RIESGO NORMAL AYC</v>
          </cell>
          <cell r="C269">
            <v>13454297201</v>
          </cell>
        </row>
        <row r="270">
          <cell r="A270" t="str">
            <v/>
          </cell>
          <cell r="B270" t="str">
            <v>Total Categoria A - Riesgo Normal</v>
          </cell>
          <cell r="C270">
            <v>13454297201</v>
          </cell>
        </row>
        <row r="271">
          <cell r="A271" t="str">
            <v/>
          </cell>
          <cell r="B271" t="str">
            <v>144210. Categoria B - Riesgo Aceptable</v>
          </cell>
          <cell r="C271">
            <v>0</v>
          </cell>
        </row>
        <row r="272">
          <cell r="A272" t="str">
            <v>144210001</v>
          </cell>
          <cell r="B272" t="str">
            <v>144210001 CATEGORÍA B - RIESGO ACEPTABLE AYC</v>
          </cell>
          <cell r="C272">
            <v>90949479</v>
          </cell>
        </row>
        <row r="273">
          <cell r="A273" t="str">
            <v/>
          </cell>
          <cell r="B273" t="str">
            <v>Total Categoria B - Riesgo Aceptable</v>
          </cell>
          <cell r="C273">
            <v>90949479</v>
          </cell>
        </row>
        <row r="274">
          <cell r="A274" t="str">
            <v/>
          </cell>
          <cell r="B274" t="str">
            <v>144215. Categoria C - Riesgo Apreciable</v>
          </cell>
          <cell r="C274">
            <v>0</v>
          </cell>
        </row>
        <row r="275">
          <cell r="A275" t="str">
            <v>144215001</v>
          </cell>
          <cell r="B275" t="str">
            <v>144215001 CATEGORÍA C - RIESGO APRECIABLE AYC</v>
          </cell>
          <cell r="C275">
            <v>47448866</v>
          </cell>
        </row>
        <row r="276">
          <cell r="A276" t="str">
            <v/>
          </cell>
          <cell r="B276" t="str">
            <v>Total Categoria C - Riesgo Apreciable</v>
          </cell>
          <cell r="C276">
            <v>47448866</v>
          </cell>
        </row>
        <row r="277">
          <cell r="A277" t="str">
            <v/>
          </cell>
          <cell r="B277" t="str">
            <v>144220. Categoria D - Riesgo Significativo</v>
          </cell>
          <cell r="C277">
            <v>0</v>
          </cell>
        </row>
        <row r="278">
          <cell r="A278" t="str">
            <v>144220001</v>
          </cell>
          <cell r="B278" t="str">
            <v>144220001 CATEGORÍA D - RIESGO SIGNIFICATIVO AYC</v>
          </cell>
          <cell r="C278">
            <v>51674712</v>
          </cell>
        </row>
        <row r="279">
          <cell r="A279" t="str">
            <v/>
          </cell>
          <cell r="B279" t="str">
            <v>Total Categoria D - Riesgo Significativo</v>
          </cell>
          <cell r="C279">
            <v>51674712</v>
          </cell>
        </row>
        <row r="280">
          <cell r="A280" t="str">
            <v/>
          </cell>
          <cell r="B280" t="str">
            <v>144225. Categoria E - Riesgo de Incobrabil.</v>
          </cell>
          <cell r="C280">
            <v>0</v>
          </cell>
        </row>
        <row r="281">
          <cell r="A281" t="str">
            <v>144225001</v>
          </cell>
          <cell r="B281" t="str">
            <v>144225001 CATEGORÍA E - RIESGO DE INCOBRABILID.AYC</v>
          </cell>
          <cell r="C281">
            <v>125834802</v>
          </cell>
        </row>
        <row r="282">
          <cell r="A282" t="str">
            <v/>
          </cell>
          <cell r="B282" t="str">
            <v>Total Categoria E - Riesgo de Incobrabilidad</v>
          </cell>
          <cell r="C282">
            <v>125834802</v>
          </cell>
        </row>
        <row r="283">
          <cell r="A283" t="str">
            <v/>
          </cell>
          <cell r="B283" t="str">
            <v>Total 1442 Cred de Cons-otras Garantias</v>
          </cell>
          <cell r="C283">
            <v>13770205060</v>
          </cell>
        </row>
        <row r="284">
          <cell r="A284" t="str">
            <v/>
          </cell>
          <cell r="B284" t="str">
            <v>1462. Creditos Comerciales G.admisble sin L</v>
          </cell>
          <cell r="C284">
            <v>0</v>
          </cell>
        </row>
        <row r="285">
          <cell r="A285" t="str">
            <v/>
          </cell>
          <cell r="B285" t="str">
            <v>146205. Categoria A - Riesgo normal</v>
          </cell>
          <cell r="C285">
            <v>0</v>
          </cell>
        </row>
        <row r="286">
          <cell r="A286" t="str">
            <v>146205001</v>
          </cell>
          <cell r="B286" t="str">
            <v>146205001 CATEGORÍA A - RIESGO NORMAL AYC</v>
          </cell>
          <cell r="C286">
            <v>2630039830</v>
          </cell>
        </row>
        <row r="287">
          <cell r="A287" t="str">
            <v/>
          </cell>
          <cell r="B287" t="str">
            <v>Total Categoria A - Riesgo normal</v>
          </cell>
          <cell r="C287">
            <v>2630039830</v>
          </cell>
        </row>
        <row r="288">
          <cell r="A288" t="str">
            <v/>
          </cell>
          <cell r="B288" t="str">
            <v>146210. Categoria B - Riesgo Aceptable</v>
          </cell>
          <cell r="C288">
            <v>0</v>
          </cell>
        </row>
        <row r="289">
          <cell r="A289" t="str">
            <v>146210001</v>
          </cell>
          <cell r="B289" t="str">
            <v>146210001 CATEGORÍA B - RIESGO ACEPTABLE AYC</v>
          </cell>
          <cell r="C289">
            <v>0</v>
          </cell>
        </row>
        <row r="290">
          <cell r="A290" t="str">
            <v/>
          </cell>
          <cell r="B290" t="str">
            <v>Total Categoria B - Riesgo Aceptable</v>
          </cell>
          <cell r="C290">
            <v>0</v>
          </cell>
        </row>
        <row r="291">
          <cell r="A291" t="str">
            <v/>
          </cell>
          <cell r="B291" t="str">
            <v>Total 1462 Credi Comerc G.admisble sin Lib</v>
          </cell>
          <cell r="C291">
            <v>2630039830</v>
          </cell>
        </row>
        <row r="292">
          <cell r="A292" t="str">
            <v/>
          </cell>
          <cell r="B292" t="str">
            <v>1465. Creditos Comerciales-Otras garantias</v>
          </cell>
          <cell r="C292">
            <v>0</v>
          </cell>
        </row>
        <row r="293">
          <cell r="A293" t="str">
            <v/>
          </cell>
          <cell r="B293" t="str">
            <v>146515. Categoria A - Riesgo Normal</v>
          </cell>
          <cell r="C293">
            <v>0</v>
          </cell>
        </row>
        <row r="294">
          <cell r="A294" t="str">
            <v>146515001</v>
          </cell>
          <cell r="B294" t="str">
            <v>146515001 CATEGORÍA A - RIESGO NORMAL AYC</v>
          </cell>
          <cell r="C294">
            <v>2781512371</v>
          </cell>
        </row>
        <row r="295">
          <cell r="A295" t="str">
            <v/>
          </cell>
          <cell r="B295" t="str">
            <v>Total Categoria A - Riesgo Normal</v>
          </cell>
          <cell r="C295">
            <v>2781512371</v>
          </cell>
        </row>
        <row r="296">
          <cell r="A296" t="str">
            <v/>
          </cell>
          <cell r="B296" t="str">
            <v>146520. Categoria B - Riesgo Aceptable</v>
          </cell>
          <cell r="C296">
            <v>0</v>
          </cell>
        </row>
        <row r="297">
          <cell r="A297" t="str">
            <v>146520001</v>
          </cell>
          <cell r="B297" t="str">
            <v>146520001 CATEGORÍA B - RIESGO ACEPTABLE AYC</v>
          </cell>
          <cell r="C297">
            <v>2778297</v>
          </cell>
        </row>
        <row r="298">
          <cell r="A298" t="str">
            <v/>
          </cell>
          <cell r="B298" t="str">
            <v>Total Categoria B - Riesgo Aceptable</v>
          </cell>
          <cell r="C298">
            <v>2778297</v>
          </cell>
        </row>
        <row r="299">
          <cell r="A299" t="str">
            <v/>
          </cell>
          <cell r="B299" t="str">
            <v>146525. Categoria C - Riesgo Apreciable</v>
          </cell>
          <cell r="C299">
            <v>0</v>
          </cell>
        </row>
        <row r="300">
          <cell r="A300" t="str">
            <v>146525001</v>
          </cell>
          <cell r="B300" t="str">
            <v>146525001 CATEGORÍA C - RIESGO APRECIABLE  AYC</v>
          </cell>
          <cell r="C300">
            <v>0</v>
          </cell>
        </row>
        <row r="301">
          <cell r="A301" t="str">
            <v/>
          </cell>
          <cell r="B301" t="str">
            <v>Total Categoria C - Riesgo Apreciable</v>
          </cell>
          <cell r="C301">
            <v>0</v>
          </cell>
        </row>
        <row r="302">
          <cell r="A302" t="str">
            <v/>
          </cell>
          <cell r="B302" t="str">
            <v>146530. Categoria D - Riesgo Significativo</v>
          </cell>
          <cell r="C302">
            <v>0</v>
          </cell>
        </row>
        <row r="303">
          <cell r="A303" t="str">
            <v>146530001</v>
          </cell>
          <cell r="B303" t="str">
            <v>146530001 CATEGORÍA D - RIESGO SIGNIFICATIVO  AYC</v>
          </cell>
          <cell r="C303">
            <v>0</v>
          </cell>
        </row>
        <row r="304">
          <cell r="A304" t="str">
            <v/>
          </cell>
          <cell r="B304" t="str">
            <v>Total Categoria D - Riesgo Significativo</v>
          </cell>
          <cell r="C304">
            <v>0</v>
          </cell>
        </row>
        <row r="305">
          <cell r="A305" t="str">
            <v/>
          </cell>
          <cell r="B305" t="str">
            <v>146535. Categoria E - Riesgo de incobrabilid.</v>
          </cell>
          <cell r="C305">
            <v>0</v>
          </cell>
        </row>
        <row r="306">
          <cell r="A306" t="str">
            <v>146535001</v>
          </cell>
          <cell r="B306" t="str">
            <v>146535001 CATEGORÍA E - RIESGO DE INCOBRABILIDAD  AYC</v>
          </cell>
          <cell r="C306">
            <v>20206871</v>
          </cell>
        </row>
        <row r="307">
          <cell r="A307" t="str">
            <v/>
          </cell>
          <cell r="B307" t="str">
            <v>Total Categoria E - Riesgo de incobrabilidad</v>
          </cell>
          <cell r="C307">
            <v>20206871</v>
          </cell>
        </row>
        <row r="308">
          <cell r="A308" t="str">
            <v/>
          </cell>
          <cell r="B308" t="str">
            <v>Total 1465 Cred Comerc-Otras garantias</v>
          </cell>
          <cell r="C308">
            <v>2804497539</v>
          </cell>
        </row>
        <row r="309">
          <cell r="A309" t="str">
            <v/>
          </cell>
          <cell r="B309" t="str">
            <v>1491. Provision Creditos de Consumo</v>
          </cell>
          <cell r="C309">
            <v>0</v>
          </cell>
        </row>
        <row r="310">
          <cell r="A310" t="str">
            <v/>
          </cell>
          <cell r="B310" t="str">
            <v>149110. Categoria b credito acept garant.</v>
          </cell>
          <cell r="C310">
            <v>0</v>
          </cell>
        </row>
        <row r="311">
          <cell r="A311" t="str">
            <v>149110001</v>
          </cell>
          <cell r="B311" t="str">
            <v>149110001 CATEGORÍA B-CRÉDITO ACEPTABLE GARANT AYC</v>
          </cell>
          <cell r="C311">
            <v>0</v>
          </cell>
        </row>
        <row r="312">
          <cell r="A312" t="str">
            <v/>
          </cell>
          <cell r="B312" t="str">
            <v>Total Categoria b credito acept garant.</v>
          </cell>
          <cell r="C312">
            <v>0</v>
          </cell>
        </row>
        <row r="313">
          <cell r="A313" t="str">
            <v/>
          </cell>
          <cell r="B313" t="str">
            <v>149112. Categoria B - Credito Aceptable Otras</v>
          </cell>
          <cell r="C313">
            <v>0</v>
          </cell>
        </row>
        <row r="314">
          <cell r="A314" t="str">
            <v>149112001</v>
          </cell>
          <cell r="B314" t="str">
            <v>149112001 CATEGORÍA B-CRÉDITO ACEPTABLE OTRAS AYC</v>
          </cell>
          <cell r="C314">
            <v>-909495</v>
          </cell>
        </row>
        <row r="315">
          <cell r="A315" t="str">
            <v/>
          </cell>
          <cell r="B315" t="str">
            <v>Total Categoria B - Credito Aceptable Otras</v>
          </cell>
          <cell r="C315">
            <v>-909495</v>
          </cell>
        </row>
        <row r="316">
          <cell r="A316" t="str">
            <v>149115001</v>
          </cell>
          <cell r="B316" t="str">
            <v>149115001 CATEGORÍA C-CRÉDITO APRECIABLE AYC</v>
          </cell>
          <cell r="C316">
            <v>0</v>
          </cell>
        </row>
        <row r="317">
          <cell r="A317" t="str">
            <v/>
          </cell>
          <cell r="B317" t="str">
            <v/>
          </cell>
          <cell r="C317">
            <v>0</v>
          </cell>
        </row>
        <row r="318">
          <cell r="A318" t="str">
            <v/>
          </cell>
          <cell r="B318" t="str">
            <v>149117. Categoria C - Credito Apreciable Otr</v>
          </cell>
          <cell r="C318">
            <v>0</v>
          </cell>
        </row>
        <row r="319">
          <cell r="A319" t="str">
            <v>149117001</v>
          </cell>
          <cell r="B319" t="str">
            <v>149117001 CATEGORÍA C-CRÉDITO APRECIAB.OTRAS AYC</v>
          </cell>
          <cell r="C319">
            <v>-4744888</v>
          </cell>
        </row>
        <row r="320">
          <cell r="A320" t="str">
            <v/>
          </cell>
          <cell r="B320" t="str">
            <v>Total Categoria C - Credito Apreciable Otras</v>
          </cell>
          <cell r="C320">
            <v>-4744888</v>
          </cell>
        </row>
        <row r="321">
          <cell r="A321" t="str">
            <v/>
          </cell>
          <cell r="B321" t="str">
            <v>149122. Categoria D - Credito Significativo O</v>
          </cell>
          <cell r="C321">
            <v>0</v>
          </cell>
        </row>
        <row r="322">
          <cell r="A322" t="str">
            <v>149122001</v>
          </cell>
          <cell r="B322" t="str">
            <v>149122001 CATEGORÍA D-CRÉDITO SIGNIFIC. OTRAS  AYC</v>
          </cell>
          <cell r="C322">
            <v>-10334942</v>
          </cell>
        </row>
        <row r="323">
          <cell r="A323" t="str">
            <v/>
          </cell>
          <cell r="B323" t="str">
            <v>Total Categoria D - Credito Significativo Otr</v>
          </cell>
          <cell r="C323">
            <v>-10334942</v>
          </cell>
        </row>
        <row r="324">
          <cell r="A324" t="str">
            <v/>
          </cell>
          <cell r="B324" t="str">
            <v>149127. Categoria E - Credito Irrecuperable O</v>
          </cell>
          <cell r="C324">
            <v>0</v>
          </cell>
        </row>
        <row r="325">
          <cell r="A325" t="str">
            <v>149127001</v>
          </cell>
          <cell r="B325" t="str">
            <v>149127001 CATEGORÍA E-CRÉDITO IRRECUPERABLE AYC</v>
          </cell>
          <cell r="C325">
            <v>-103611040</v>
          </cell>
        </row>
        <row r="326">
          <cell r="A326" t="str">
            <v/>
          </cell>
          <cell r="B326" t="str">
            <v>Otras Categoria E - Credito Irrecuperable Otr</v>
          </cell>
          <cell r="C326">
            <v>-103611040</v>
          </cell>
        </row>
        <row r="327">
          <cell r="A327" t="str">
            <v/>
          </cell>
          <cell r="B327" t="str">
            <v>Total 1491 Prov Creditos de Consumo</v>
          </cell>
          <cell r="C327">
            <v>-119600365</v>
          </cell>
        </row>
        <row r="328">
          <cell r="A328" t="str">
            <v/>
          </cell>
          <cell r="B328" t="str">
            <v>1495. Provision Creditos Comerciales</v>
          </cell>
          <cell r="C328">
            <v>0</v>
          </cell>
        </row>
        <row r="329">
          <cell r="A329" t="str">
            <v/>
          </cell>
          <cell r="B329" t="str">
            <v>149512. Categoria B - Credito Aceptable Otras</v>
          </cell>
          <cell r="C329">
            <v>0</v>
          </cell>
        </row>
        <row r="330">
          <cell r="A330" t="str">
            <v>149512001</v>
          </cell>
          <cell r="B330" t="str">
            <v>149512001 CATEGORÍA B-CRÉDITOACEPTABLE AYC</v>
          </cell>
          <cell r="C330">
            <v>-27783</v>
          </cell>
        </row>
        <row r="331">
          <cell r="A331" t="str">
            <v/>
          </cell>
          <cell r="B331" t="str">
            <v>Total Categoria B - Credito Aceptable Otras</v>
          </cell>
          <cell r="C331">
            <v>-27783</v>
          </cell>
        </row>
        <row r="332">
          <cell r="A332" t="str">
            <v/>
          </cell>
          <cell r="B332" t="str">
            <v>149517. Categoria C - Credito Apreciable Otr.</v>
          </cell>
          <cell r="C332">
            <v>0</v>
          </cell>
        </row>
        <row r="333">
          <cell r="A333" t="str">
            <v>149517001</v>
          </cell>
          <cell r="B333" t="str">
            <v>149517001 CATEGORÍA C-CRÉDITO APRECIABLE AYC</v>
          </cell>
          <cell r="C333">
            <v>0</v>
          </cell>
        </row>
        <row r="334">
          <cell r="A334" t="str">
            <v/>
          </cell>
          <cell r="B334" t="str">
            <v>Total Categoria C - Credito Apreciable Otras</v>
          </cell>
          <cell r="C334">
            <v>0</v>
          </cell>
        </row>
        <row r="335">
          <cell r="A335" t="str">
            <v/>
          </cell>
          <cell r="B335" t="str">
            <v>149522. Categoria D - Credito Significativo</v>
          </cell>
          <cell r="C335">
            <v>0</v>
          </cell>
        </row>
        <row r="336">
          <cell r="A336" t="str">
            <v>149522001</v>
          </cell>
          <cell r="B336" t="str">
            <v>149522001 CATEGORÍA D-CRÉDITO SIGNIFICATIVO AYC</v>
          </cell>
          <cell r="C336">
            <v>0</v>
          </cell>
        </row>
        <row r="337">
          <cell r="A337" t="str">
            <v/>
          </cell>
          <cell r="B337" t="str">
            <v>Total Categoria D - Credito Significativo</v>
          </cell>
          <cell r="C337">
            <v>0</v>
          </cell>
        </row>
        <row r="338">
          <cell r="A338" t="str">
            <v/>
          </cell>
          <cell r="B338" t="str">
            <v>149527. Categoria E - Credito irrecuperable</v>
          </cell>
          <cell r="C338">
            <v>0</v>
          </cell>
        </row>
        <row r="339">
          <cell r="A339" t="str">
            <v>149527001</v>
          </cell>
          <cell r="B339" t="str">
            <v>149527001 CATEGORÍA E-CRÉDITO IRRECUPERABLE AYC</v>
          </cell>
          <cell r="C339">
            <v>-20206871</v>
          </cell>
        </row>
        <row r="340">
          <cell r="A340" t="str">
            <v/>
          </cell>
          <cell r="B340" t="str">
            <v>Total Categoria E - Credito irrecuperable</v>
          </cell>
          <cell r="C340">
            <v>-20206871</v>
          </cell>
        </row>
        <row r="341">
          <cell r="A341" t="str">
            <v/>
          </cell>
          <cell r="B341" t="str">
            <v>Total 1495 Provision Creditos Comerciales</v>
          </cell>
          <cell r="C341">
            <v>-20234654</v>
          </cell>
        </row>
        <row r="342">
          <cell r="A342" t="str">
            <v/>
          </cell>
          <cell r="B342" t="str">
            <v>1498. Provision General</v>
          </cell>
          <cell r="C342">
            <v>0</v>
          </cell>
        </row>
        <row r="343">
          <cell r="A343" t="str">
            <v/>
          </cell>
          <cell r="B343" t="str">
            <v>149810. Provision Creditos Sin Libranza</v>
          </cell>
          <cell r="C343">
            <v>0</v>
          </cell>
        </row>
        <row r="344">
          <cell r="A344" t="str">
            <v>149810001</v>
          </cell>
          <cell r="B344" t="str">
            <v>149810001 PROVISION CREDITOS SIN LIBRANZA AYC</v>
          </cell>
          <cell r="C344">
            <v>-247221320</v>
          </cell>
        </row>
        <row r="345">
          <cell r="A345" t="str">
            <v/>
          </cell>
          <cell r="B345" t="str">
            <v>Total Provision Creditos Sin Libranza</v>
          </cell>
          <cell r="C345">
            <v>-247221320</v>
          </cell>
        </row>
        <row r="346">
          <cell r="A346" t="str">
            <v/>
          </cell>
          <cell r="B346" t="str">
            <v>Total 1498 Provision General</v>
          </cell>
          <cell r="C346">
            <v>-247221320</v>
          </cell>
        </row>
        <row r="347">
          <cell r="A347" t="str">
            <v/>
          </cell>
          <cell r="B347" t="str">
            <v>Total 14. Cartera de Créditos</v>
          </cell>
          <cell r="C347">
            <v>24335076588</v>
          </cell>
        </row>
        <row r="348">
          <cell r="A348" t="str">
            <v/>
          </cell>
          <cell r="B348" t="str">
            <v>16. Cuentas por Cobrar</v>
          </cell>
          <cell r="C348">
            <v>0</v>
          </cell>
        </row>
        <row r="349">
          <cell r="A349" t="str">
            <v/>
          </cell>
          <cell r="B349" t="str">
            <v>1605. Convenios por cobrar</v>
          </cell>
          <cell r="C349">
            <v>0</v>
          </cell>
        </row>
        <row r="350">
          <cell r="A350" t="str">
            <v/>
          </cell>
          <cell r="B350" t="str">
            <v>160535. Otros Servicios</v>
          </cell>
          <cell r="C350">
            <v>0</v>
          </cell>
        </row>
        <row r="351">
          <cell r="A351" t="str">
            <v>160535001</v>
          </cell>
          <cell r="B351" t="str">
            <v>160535001 CUENTA POR COBRAR POLIZAS</v>
          </cell>
          <cell r="C351">
            <v>542599713</v>
          </cell>
        </row>
        <row r="352">
          <cell r="A352" t="str">
            <v>160535002</v>
          </cell>
          <cell r="B352" t="str">
            <v>160535002 CUENTA POR COB ADMISIONES</v>
          </cell>
          <cell r="C352">
            <v>0</v>
          </cell>
        </row>
        <row r="353">
          <cell r="A353" t="str">
            <v>160535003</v>
          </cell>
          <cell r="B353" t="str">
            <v>160535003 CUENTA POR C .CURSOS SISTEMAS Y OTROS</v>
          </cell>
          <cell r="C353">
            <v>40053903</v>
          </cell>
        </row>
        <row r="354">
          <cell r="A354" t="str">
            <v>160535004</v>
          </cell>
          <cell r="B354" t="str">
            <v>160535004 CONVENIOS POR COBRAR</v>
          </cell>
          <cell r="C354">
            <v>161183976</v>
          </cell>
        </row>
        <row r="355">
          <cell r="A355" t="str">
            <v>160535005</v>
          </cell>
          <cell r="B355" t="str">
            <v>160535005 CUENTA LIST /PROCESOS SISTEMAS</v>
          </cell>
          <cell r="C355">
            <v>56788944</v>
          </cell>
        </row>
        <row r="356">
          <cell r="A356" t="str">
            <v>160535007</v>
          </cell>
          <cell r="B356" t="str">
            <v>160535007 CUENTA POR COB SANCIÓN ECONÓMICA</v>
          </cell>
          <cell r="C356">
            <v>-431351</v>
          </cell>
        </row>
        <row r="357">
          <cell r="A357" t="str">
            <v>160535009</v>
          </cell>
          <cell r="B357" t="str">
            <v>160535009 A CARGO DE EX ASOCIADOS DE MERCADEO Y OTRSO</v>
          </cell>
          <cell r="C357">
            <v>288363298</v>
          </cell>
        </row>
        <row r="358">
          <cell r="A358" t="str">
            <v/>
          </cell>
          <cell r="B358" t="str">
            <v>Total Otros Servicios</v>
          </cell>
          <cell r="C358">
            <v>1088558483</v>
          </cell>
        </row>
        <row r="359">
          <cell r="A359" t="str">
            <v/>
          </cell>
          <cell r="B359" t="str">
            <v>160595. Otros Convenios</v>
          </cell>
          <cell r="C359">
            <v>0</v>
          </cell>
        </row>
        <row r="360">
          <cell r="A360" t="str">
            <v>160595005</v>
          </cell>
          <cell r="B360" t="str">
            <v>160595005 CUENTA POR COBRAR VARIOS</v>
          </cell>
          <cell r="C360">
            <v>16419186</v>
          </cell>
        </row>
        <row r="361">
          <cell r="A361" t="str">
            <v>160595007</v>
          </cell>
          <cell r="B361" t="str">
            <v>160595007 CUENTA POR C.INSTITUCIONES NO ASOCIADAS</v>
          </cell>
          <cell r="C361">
            <v>144943721</v>
          </cell>
        </row>
        <row r="362">
          <cell r="A362" t="str">
            <v>160595015</v>
          </cell>
          <cell r="B362" t="str">
            <v>160595015 NEGOC.ESPECIALES.POR CUMPLIM. METAS</v>
          </cell>
          <cell r="C362">
            <v>0</v>
          </cell>
        </row>
        <row r="363">
          <cell r="A363" t="str">
            <v>160595189</v>
          </cell>
          <cell r="B363" t="str">
            <v>160595189 TRASLADO DE RECURSOS DE AYC A  CONSUMO</v>
          </cell>
          <cell r="C363">
            <v>0</v>
          </cell>
        </row>
        <row r="364">
          <cell r="A364" t="str">
            <v>160595199</v>
          </cell>
          <cell r="B364" t="str">
            <v>160595199 CUENTA  TRASLADO DE RECURSOS DE CONSUMO PARA AYC</v>
          </cell>
          <cell r="C364">
            <v>0</v>
          </cell>
        </row>
        <row r="365">
          <cell r="A365" t="str">
            <v/>
          </cell>
          <cell r="B365" t="str">
            <v>Total Otros Convenios</v>
          </cell>
          <cell r="C365">
            <v>161362907</v>
          </cell>
        </row>
        <row r="366">
          <cell r="A366" t="str">
            <v/>
          </cell>
          <cell r="B366" t="str">
            <v>Total 1605 Convenios por cobrar</v>
          </cell>
          <cell r="C366">
            <v>1249921390</v>
          </cell>
        </row>
        <row r="367">
          <cell r="A367" t="str">
            <v/>
          </cell>
          <cell r="B367" t="str">
            <v>1625. Anticipos de contratos y proveedores</v>
          </cell>
          <cell r="C367">
            <v>0</v>
          </cell>
        </row>
        <row r="368">
          <cell r="A368" t="str">
            <v/>
          </cell>
          <cell r="B368" t="str">
            <v>162505. Anticipos de contratos</v>
          </cell>
          <cell r="C368">
            <v>0</v>
          </cell>
        </row>
        <row r="369">
          <cell r="A369" t="str">
            <v>162505002</v>
          </cell>
          <cell r="B369" t="str">
            <v>162505002 ANTICIPOS DE CONTRATOS</v>
          </cell>
          <cell r="C369">
            <v>0</v>
          </cell>
        </row>
        <row r="370">
          <cell r="A370" t="str">
            <v/>
          </cell>
          <cell r="B370" t="str">
            <v>Total Anticipos de contratos</v>
          </cell>
          <cell r="C370">
            <v>0</v>
          </cell>
        </row>
        <row r="371">
          <cell r="A371" t="str">
            <v/>
          </cell>
          <cell r="B371" t="str">
            <v>162510. Proveedores</v>
          </cell>
          <cell r="C371">
            <v>0</v>
          </cell>
        </row>
        <row r="372">
          <cell r="A372" t="str">
            <v>162510001</v>
          </cell>
          <cell r="B372" t="str">
            <v>162510001 ANTICIPOS A PROVEEDORES VARIOS AYC</v>
          </cell>
          <cell r="C372">
            <v>0</v>
          </cell>
        </row>
        <row r="373">
          <cell r="A373" t="str">
            <v>162510011</v>
          </cell>
          <cell r="B373" t="str">
            <v>162510011 ANTICIPOS PROVEEDORES DE MERCANCIA Y SUMINISTROS</v>
          </cell>
          <cell r="C373">
            <v>644929083</v>
          </cell>
        </row>
        <row r="374">
          <cell r="A374" t="str">
            <v/>
          </cell>
          <cell r="B374" t="str">
            <v>Total Proveedores</v>
          </cell>
          <cell r="C374">
            <v>644929083</v>
          </cell>
        </row>
        <row r="375">
          <cell r="A375" t="str">
            <v/>
          </cell>
          <cell r="B375" t="str">
            <v>Total 1625 Ant de contratos y proveedores</v>
          </cell>
          <cell r="C375">
            <v>644929083</v>
          </cell>
        </row>
        <row r="376">
          <cell r="A376" t="str">
            <v/>
          </cell>
          <cell r="B376" t="str">
            <v>1635. Adelantos al personal</v>
          </cell>
          <cell r="C376">
            <v>0</v>
          </cell>
        </row>
        <row r="377">
          <cell r="A377" t="str">
            <v/>
          </cell>
          <cell r="B377" t="str">
            <v>163510. Gastos de Viaje</v>
          </cell>
          <cell r="C377">
            <v>0</v>
          </cell>
        </row>
        <row r="378">
          <cell r="A378" t="str">
            <v>163510001</v>
          </cell>
          <cell r="B378" t="str">
            <v>163510001 ANT. PERSONAL GASTOS DE VIAJE</v>
          </cell>
          <cell r="C378">
            <v>300000</v>
          </cell>
        </row>
        <row r="379">
          <cell r="A379" t="str">
            <v/>
          </cell>
          <cell r="B379" t="str">
            <v>Total Gastos de Viaje</v>
          </cell>
          <cell r="C379">
            <v>300000</v>
          </cell>
        </row>
        <row r="380">
          <cell r="A380" t="str">
            <v/>
          </cell>
          <cell r="B380" t="str">
            <v>163595. Otros</v>
          </cell>
          <cell r="C380">
            <v>0</v>
          </cell>
        </row>
        <row r="381">
          <cell r="A381" t="str">
            <v>163595001</v>
          </cell>
          <cell r="B381" t="str">
            <v>163595001 ADELANTOS VARIOS - EMPLEADOS</v>
          </cell>
          <cell r="C381">
            <v>14023822</v>
          </cell>
        </row>
        <row r="382">
          <cell r="A382" t="str">
            <v>163595004</v>
          </cell>
          <cell r="B382" t="str">
            <v>163595004 ANTICIPOS O CAJAS MENORES CAJA 2  PEREIRA</v>
          </cell>
          <cell r="C382">
            <v>1234020</v>
          </cell>
        </row>
        <row r="383">
          <cell r="A383" t="str">
            <v>163595005</v>
          </cell>
          <cell r="B383" t="str">
            <v>163595005 ANTICIPOS A CAJAS MENORES CAJA 3 BQUILLA</v>
          </cell>
          <cell r="C383">
            <v>1667366</v>
          </cell>
        </row>
        <row r="384">
          <cell r="A384" t="str">
            <v>163595006</v>
          </cell>
          <cell r="B384" t="str">
            <v>163595006 ANTICIPOS A CAJAS MENORES CAJA 4 BOGOTA</v>
          </cell>
          <cell r="C384">
            <v>3496690</v>
          </cell>
        </row>
        <row r="385">
          <cell r="A385" t="str">
            <v>163595007</v>
          </cell>
          <cell r="B385" t="str">
            <v>163595007 ANTICIPOS A CAJAS MENORES CAJA 5  MEDELLIN</v>
          </cell>
          <cell r="C385">
            <v>3732225</v>
          </cell>
        </row>
        <row r="386">
          <cell r="A386" t="str">
            <v>163595008</v>
          </cell>
          <cell r="B386" t="str">
            <v>163595008 ANTICIPOS VARIOS PARA VALES PROVISIONALES</v>
          </cell>
          <cell r="C386">
            <v>-38412</v>
          </cell>
        </row>
        <row r="387">
          <cell r="A387" t="str">
            <v>163595009</v>
          </cell>
          <cell r="B387" t="str">
            <v>163595009 ANTICIPOS A CAJAS MENORES CAJA 6 B/MANGA</v>
          </cell>
          <cell r="C387">
            <v>0</v>
          </cell>
        </row>
        <row r="388">
          <cell r="A388" t="str">
            <v>163595010</v>
          </cell>
          <cell r="B388" t="str">
            <v>163595010 ANTICIPOS A CAJAS MENORES CAJA 7 CALI</v>
          </cell>
          <cell r="C388">
            <v>1667785</v>
          </cell>
        </row>
        <row r="389">
          <cell r="A389" t="str">
            <v/>
          </cell>
          <cell r="B389" t="str">
            <v>Total Otros</v>
          </cell>
          <cell r="C389">
            <v>25783496</v>
          </cell>
        </row>
        <row r="390">
          <cell r="A390" t="str">
            <v/>
          </cell>
          <cell r="B390" t="str">
            <v>Total 1635 Adelantos al personal</v>
          </cell>
          <cell r="C390">
            <v>26083496</v>
          </cell>
        </row>
        <row r="391">
          <cell r="A391" t="str">
            <v/>
          </cell>
          <cell r="B391" t="str">
            <v>1645. Deudores cartera por venta de bienes</v>
          </cell>
          <cell r="C391">
            <v>0</v>
          </cell>
        </row>
        <row r="392">
          <cell r="A392" t="str">
            <v/>
          </cell>
          <cell r="B392" t="str">
            <v>164502. Cartera por venta de bienes</v>
          </cell>
          <cell r="C392">
            <v>0</v>
          </cell>
        </row>
        <row r="393">
          <cell r="A393" t="str">
            <v>164502001</v>
          </cell>
          <cell r="B393" t="str">
            <v>164502001 SUMINISTRO DE MERCANCÍA REGIONAL BOGOTA</v>
          </cell>
          <cell r="C393">
            <v>18713587430</v>
          </cell>
        </row>
        <row r="394">
          <cell r="A394" t="str">
            <v>164502002</v>
          </cell>
          <cell r="B394" t="str">
            <v>164502002 SUMINISTRO DE MERCANCÍA REGIONAL PEREIRA</v>
          </cell>
          <cell r="C394">
            <v>2667109455</v>
          </cell>
        </row>
        <row r="395">
          <cell r="A395" t="str">
            <v>164502003</v>
          </cell>
          <cell r="B395" t="str">
            <v>164502003 SUMINISTRO DE MERCANCÍA REGIONAL B/QUILLA</v>
          </cell>
          <cell r="C395">
            <v>3825429023</v>
          </cell>
        </row>
        <row r="396">
          <cell r="A396" t="str">
            <v>164502005</v>
          </cell>
          <cell r="B396" t="str">
            <v>164502005 SUMINISTRO DE MERCANCÍA REGIONAL MEDELLIN</v>
          </cell>
          <cell r="C396">
            <v>2726340329</v>
          </cell>
        </row>
        <row r="397">
          <cell r="A397" t="str">
            <v>164502006</v>
          </cell>
          <cell r="B397" t="str">
            <v>164502006 SUMINISTRO DE MERCANCÍA REGIONAL CALI</v>
          </cell>
          <cell r="C397">
            <v>2773707192</v>
          </cell>
        </row>
        <row r="398">
          <cell r="A398" t="str">
            <v>164502010</v>
          </cell>
          <cell r="B398" t="str">
            <v>164502010 DESCUENTOS PERDIDOS</v>
          </cell>
          <cell r="C398">
            <v>13254164</v>
          </cell>
        </row>
        <row r="399">
          <cell r="A399" t="str">
            <v>164502012</v>
          </cell>
          <cell r="B399" t="str">
            <v>164502012 CHEQUES DEVUELTOS CMO</v>
          </cell>
          <cell r="C399">
            <v>1643885</v>
          </cell>
        </row>
        <row r="400">
          <cell r="A400" t="str">
            <v>164502013</v>
          </cell>
          <cell r="B400" t="str">
            <v>164502013 REMESAS DE MERCANCÍA CMO</v>
          </cell>
          <cell r="C400">
            <v>56619655</v>
          </cell>
        </row>
        <row r="401">
          <cell r="A401" t="str">
            <v>164502098</v>
          </cell>
          <cell r="B401" t="str">
            <v>164502098 CARTERA DE PRESENTACION CARTERA VENCIDA</v>
          </cell>
          <cell r="C401">
            <v>-112489739</v>
          </cell>
        </row>
        <row r="402">
          <cell r="A402" t="str">
            <v/>
          </cell>
          <cell r="B402" t="str">
            <v>Total Cartera por venta de bienes</v>
          </cell>
          <cell r="C402">
            <v>30665201394</v>
          </cell>
        </row>
        <row r="403">
          <cell r="A403" t="str">
            <v/>
          </cell>
          <cell r="B403" t="str">
            <v>164505. Cartera Vencida entre 91 y 180 dias</v>
          </cell>
          <cell r="C403">
            <v>0</v>
          </cell>
        </row>
        <row r="404">
          <cell r="A404" t="str">
            <v>164505001</v>
          </cell>
          <cell r="B404" t="str">
            <v>164505001 CARTERA VENCIDA ENTRE 91 Y 180 DIAS</v>
          </cell>
          <cell r="C404">
            <v>96031886</v>
          </cell>
        </row>
        <row r="405">
          <cell r="A405" t="str">
            <v/>
          </cell>
          <cell r="B405" t="str">
            <v>Total  Cartera Vencida entre 91 y 180 dias</v>
          </cell>
          <cell r="C405">
            <v>96031886</v>
          </cell>
        </row>
        <row r="406">
          <cell r="A406" t="str">
            <v/>
          </cell>
          <cell r="B406" t="str">
            <v>164510. Cartera Vencida entre 181 y 360 dias</v>
          </cell>
          <cell r="C406">
            <v>0</v>
          </cell>
        </row>
        <row r="407">
          <cell r="A407" t="str">
            <v>164510001</v>
          </cell>
          <cell r="B407" t="str">
            <v>164510001 CARTERA VENCIDA ENTRE 181 Y 360 DIAS</v>
          </cell>
          <cell r="C407">
            <v>16457853</v>
          </cell>
        </row>
        <row r="408">
          <cell r="A408" t="str">
            <v/>
          </cell>
          <cell r="B408" t="str">
            <v>Total Cartera Vencida entre 181 y 360 dias</v>
          </cell>
          <cell r="C408">
            <v>16457853</v>
          </cell>
        </row>
        <row r="409">
          <cell r="A409" t="str">
            <v/>
          </cell>
          <cell r="B409" t="str">
            <v>Total 1645 Deudores cartera por vta de bienes</v>
          </cell>
          <cell r="C409">
            <v>30777691133</v>
          </cell>
        </row>
        <row r="410">
          <cell r="A410" t="str">
            <v/>
          </cell>
          <cell r="B410" t="str">
            <v>1657. Intereses vigentes Bienes</v>
          </cell>
          <cell r="C410">
            <v>0</v>
          </cell>
        </row>
        <row r="411">
          <cell r="A411" t="str">
            <v/>
          </cell>
          <cell r="B411" t="str">
            <v>165701. Intereses vigentes</v>
          </cell>
          <cell r="C411">
            <v>0</v>
          </cell>
        </row>
        <row r="412">
          <cell r="A412" t="str">
            <v>165701001</v>
          </cell>
          <cell r="B412" t="str">
            <v>165701001 INTERESES DE MORA</v>
          </cell>
          <cell r="C412">
            <v>28288123</v>
          </cell>
        </row>
        <row r="413">
          <cell r="A413" t="str">
            <v/>
          </cell>
          <cell r="B413" t="str">
            <v>Total  Intereses vigentes</v>
          </cell>
          <cell r="C413">
            <v>28288123</v>
          </cell>
        </row>
        <row r="414">
          <cell r="A414" t="str">
            <v/>
          </cell>
          <cell r="B414" t="str">
            <v>Total 1657 Intereses vigentes Bienes</v>
          </cell>
          <cell r="C414">
            <v>28288123</v>
          </cell>
        </row>
        <row r="415">
          <cell r="A415" t="str">
            <v/>
          </cell>
          <cell r="B415" t="str">
            <v>1655. Intereses</v>
          </cell>
          <cell r="C415">
            <v>0</v>
          </cell>
        </row>
        <row r="416">
          <cell r="A416" t="str">
            <v/>
          </cell>
          <cell r="B416" t="str">
            <v>165518. Categoria A riesgo normal consumo</v>
          </cell>
          <cell r="C416">
            <v>0</v>
          </cell>
        </row>
        <row r="417">
          <cell r="A417" t="str">
            <v>165518001</v>
          </cell>
          <cell r="B417" t="str">
            <v>165518001 INT.CTE CATEGORIA A RIESGO NORMAL CMO AYC</v>
          </cell>
          <cell r="C417">
            <v>149698252</v>
          </cell>
        </row>
        <row r="418">
          <cell r="A418" t="str">
            <v>165518002</v>
          </cell>
          <cell r="B418" t="str">
            <v>165518002 INT.MORA CATEGORIA A RIESGO NORMAL CMO AYC</v>
          </cell>
          <cell r="C418">
            <v>179407</v>
          </cell>
        </row>
        <row r="419">
          <cell r="A419" t="str">
            <v/>
          </cell>
          <cell r="B419" t="str">
            <v>Total Categoria A riesgo normal consumo</v>
          </cell>
          <cell r="C419">
            <v>149877659</v>
          </cell>
        </row>
        <row r="420">
          <cell r="A420" t="str">
            <v/>
          </cell>
          <cell r="B420" t="str">
            <v>165522. Categoria B riesgo aceptable consumo</v>
          </cell>
          <cell r="C420">
            <v>0</v>
          </cell>
        </row>
        <row r="421">
          <cell r="A421" t="str">
            <v>165522001</v>
          </cell>
          <cell r="B421" t="str">
            <v>165522001 INT.CTE CATEGORIA B RIESGO ACEPTABLE CMO AYC</v>
          </cell>
          <cell r="C421">
            <v>3119615</v>
          </cell>
        </row>
        <row r="422">
          <cell r="A422" t="str">
            <v>165522002</v>
          </cell>
          <cell r="B422" t="str">
            <v>165522002 INT.MOR CATEGORIA B RIESGO ACEPTABLE CMO AYC</v>
          </cell>
          <cell r="C422">
            <v>145995</v>
          </cell>
        </row>
        <row r="423">
          <cell r="A423" t="str">
            <v/>
          </cell>
          <cell r="B423" t="str">
            <v>Total Categoria B riesgo aceptable consumo</v>
          </cell>
          <cell r="C423">
            <v>3265610</v>
          </cell>
        </row>
        <row r="424">
          <cell r="A424" t="str">
            <v/>
          </cell>
          <cell r="B424" t="str">
            <v>165524. Categoria C riesgo apreciable consumo</v>
          </cell>
          <cell r="C424">
            <v>0</v>
          </cell>
        </row>
        <row r="425">
          <cell r="A425" t="str">
            <v>165524001</v>
          </cell>
          <cell r="B425" t="str">
            <v>165524001 INT.CTE CATEGORIA C RIESGO APRECIABLE CMO AYC</v>
          </cell>
          <cell r="C425">
            <v>5003489</v>
          </cell>
        </row>
        <row r="426">
          <cell r="A426" t="str">
            <v>165524002</v>
          </cell>
          <cell r="B426" t="str">
            <v>165524002 INT.MOR.CATEGORIA C RIESGO APRECIABLE CMO AYC</v>
          </cell>
          <cell r="C426">
            <v>300466</v>
          </cell>
        </row>
        <row r="427">
          <cell r="A427" t="str">
            <v/>
          </cell>
          <cell r="B427" t="str">
            <v>Total Categoria C riesgo apreciable consumo</v>
          </cell>
          <cell r="C427">
            <v>5303955</v>
          </cell>
        </row>
        <row r="428">
          <cell r="A428" t="str">
            <v/>
          </cell>
          <cell r="B428" t="str">
            <v>165526. Categoria D riesgo significativo cmo</v>
          </cell>
          <cell r="C428">
            <v>0</v>
          </cell>
        </row>
        <row r="429">
          <cell r="A429" t="str">
            <v>165526001</v>
          </cell>
          <cell r="B429" t="str">
            <v>165526001 INT.CTE CATEGORIA D RIESGO SIGNIFICATIV CMO AYC</v>
          </cell>
          <cell r="C429">
            <v>2067407</v>
          </cell>
        </row>
        <row r="430">
          <cell r="A430" t="str">
            <v>165526002</v>
          </cell>
          <cell r="B430" t="str">
            <v>165526002 INT.MOR.CATEGORIA D RIESGO SIGNIFICAT. CMO AYCC</v>
          </cell>
          <cell r="C430">
            <v>91502</v>
          </cell>
        </row>
        <row r="431">
          <cell r="A431" t="str">
            <v/>
          </cell>
          <cell r="B431" t="str">
            <v>Total Categoria D riesgo significativo cmo</v>
          </cell>
          <cell r="C431">
            <v>2158909</v>
          </cell>
        </row>
        <row r="432">
          <cell r="A432" t="str">
            <v/>
          </cell>
          <cell r="B432" t="str">
            <v>165528. Categoria E riesgo de incobrabilidad</v>
          </cell>
          <cell r="C432">
            <v>0</v>
          </cell>
        </row>
        <row r="433">
          <cell r="A433" t="str">
            <v>165528001</v>
          </cell>
          <cell r="B433" t="str">
            <v>165528001 INT.CTE CATEGORIA E RIESGO DE INCOBRA CMO AYCYC</v>
          </cell>
          <cell r="C433">
            <v>5773342</v>
          </cell>
        </row>
        <row r="434">
          <cell r="A434" t="str">
            <v>165528002</v>
          </cell>
          <cell r="B434" t="str">
            <v>165528002 INT.MOR.CATEGORIA E RIESGO DE INCOB. CMO AYCCYC</v>
          </cell>
          <cell r="C434">
            <v>554457</v>
          </cell>
        </row>
        <row r="435">
          <cell r="A435" t="str">
            <v/>
          </cell>
          <cell r="B435" t="str">
            <v>Total Categoria E riesgo de incobrabilidad</v>
          </cell>
          <cell r="C435">
            <v>6327799</v>
          </cell>
        </row>
        <row r="436">
          <cell r="A436" t="str">
            <v/>
          </cell>
          <cell r="B436" t="str">
            <v>165542. Categoria A riesgo normal Comercial</v>
          </cell>
          <cell r="C436">
            <v>0</v>
          </cell>
        </row>
        <row r="437">
          <cell r="A437" t="str">
            <v>165542001</v>
          </cell>
          <cell r="B437" t="str">
            <v>165542001 INTER.CTE -CATEGORIA A NORMAL AYC</v>
          </cell>
          <cell r="C437">
            <v>34390708</v>
          </cell>
        </row>
        <row r="438">
          <cell r="A438" t="str">
            <v>165542002</v>
          </cell>
          <cell r="B438" t="str">
            <v>165542002 INTER.MORA -CATEGORIA A NORMAL COMERCIAL AYC</v>
          </cell>
          <cell r="C438">
            <v>57635</v>
          </cell>
        </row>
        <row r="439">
          <cell r="A439" t="str">
            <v/>
          </cell>
          <cell r="B439" t="str">
            <v>Total  Categoria A riesgo normal Comercial</v>
          </cell>
          <cell r="C439">
            <v>34448343</v>
          </cell>
        </row>
        <row r="440">
          <cell r="A440" t="str">
            <v/>
          </cell>
          <cell r="B440" t="str">
            <v>165544. Categoria B riesgo aceptable, comerc</v>
          </cell>
          <cell r="C440">
            <v>0</v>
          </cell>
        </row>
        <row r="441">
          <cell r="A441" t="str">
            <v>165544001</v>
          </cell>
          <cell r="B441" t="str">
            <v>165544001 INTER.CTE -CATEGORIA B RIESGO ACEPTABLE COME AYC</v>
          </cell>
          <cell r="C441">
            <v>106100</v>
          </cell>
        </row>
        <row r="442">
          <cell r="A442" t="str">
            <v>165544002</v>
          </cell>
          <cell r="B442" t="str">
            <v>165544002 INTER.MORA -CATEGORIA B RIESGO ACEPTABLE COME AYC</v>
          </cell>
          <cell r="C442">
            <v>9900</v>
          </cell>
        </row>
        <row r="443">
          <cell r="A443" t="str">
            <v/>
          </cell>
          <cell r="B443" t="str">
            <v>Total. Categoria B riesgo aceptable, comerc</v>
          </cell>
          <cell r="C443">
            <v>116000</v>
          </cell>
        </row>
        <row r="444">
          <cell r="A444" t="str">
            <v/>
          </cell>
          <cell r="B444" t="str">
            <v>165546. Categoria C riesgo apreciable Comerc</v>
          </cell>
          <cell r="C444">
            <v>0</v>
          </cell>
        </row>
        <row r="445">
          <cell r="A445" t="str">
            <v>165546001</v>
          </cell>
          <cell r="B445" t="str">
            <v>165546001 INTER.CTE -CATEGORIA C RIESGO   AYC</v>
          </cell>
          <cell r="C445">
            <v>0</v>
          </cell>
        </row>
        <row r="446">
          <cell r="A446" t="str">
            <v>165546002</v>
          </cell>
          <cell r="B446" t="str">
            <v>165546002 INTER.MORA -CATEGORIA C RIESGO   AYC</v>
          </cell>
          <cell r="C446">
            <v>0</v>
          </cell>
        </row>
        <row r="447">
          <cell r="A447" t="str">
            <v/>
          </cell>
          <cell r="B447" t="str">
            <v>Total Categoria C riesgo apreciable Comerc</v>
          </cell>
          <cell r="C447">
            <v>0</v>
          </cell>
        </row>
        <row r="448">
          <cell r="A448" t="str">
            <v/>
          </cell>
          <cell r="B448" t="str">
            <v>165548. Categoria D riesgo Significactivo com</v>
          </cell>
          <cell r="C448">
            <v>0</v>
          </cell>
        </row>
        <row r="449">
          <cell r="A449" t="str">
            <v>165548001</v>
          </cell>
          <cell r="B449" t="str">
            <v>165548001 INT.CTE.CATEGORIA D RIESGO AYC</v>
          </cell>
          <cell r="C449">
            <v>0</v>
          </cell>
        </row>
        <row r="450">
          <cell r="A450" t="str">
            <v>165548002</v>
          </cell>
          <cell r="B450" t="str">
            <v>165548002 INTER.MORA -CATEGORIA D RIESGO   AYC</v>
          </cell>
          <cell r="C450">
            <v>0</v>
          </cell>
        </row>
        <row r="451">
          <cell r="A451" t="str">
            <v/>
          </cell>
          <cell r="B451" t="str">
            <v>Total Categoria D riesgo Significactivo com</v>
          </cell>
          <cell r="C451">
            <v>0</v>
          </cell>
        </row>
        <row r="452">
          <cell r="A452" t="str">
            <v/>
          </cell>
          <cell r="B452" t="str">
            <v>165549. Categoria E riesgo De Incobrabilidad</v>
          </cell>
          <cell r="C452">
            <v>0</v>
          </cell>
        </row>
        <row r="453">
          <cell r="A453" t="str">
            <v>165549001</v>
          </cell>
          <cell r="B453" t="str">
            <v>165549001 INTER.CTE -CATEGORIA E RIESGO AYC</v>
          </cell>
          <cell r="C453">
            <v>1018686</v>
          </cell>
        </row>
        <row r="454">
          <cell r="A454" t="str">
            <v>165549002</v>
          </cell>
          <cell r="B454" t="str">
            <v>165549002 INTER.MORA -CATEGORIA E RIESGO AYC</v>
          </cell>
          <cell r="C454">
            <v>80121</v>
          </cell>
        </row>
        <row r="455">
          <cell r="A455" t="str">
            <v/>
          </cell>
          <cell r="B455" t="str">
            <v>Total Categoria E riesgo De Incobrabilidad</v>
          </cell>
          <cell r="C455">
            <v>1098807</v>
          </cell>
        </row>
        <row r="456">
          <cell r="A456" t="str">
            <v/>
          </cell>
          <cell r="B456" t="str">
            <v>Total 1655 Intereses</v>
          </cell>
          <cell r="C456">
            <v>202597082</v>
          </cell>
        </row>
        <row r="457">
          <cell r="A457" t="str">
            <v/>
          </cell>
          <cell r="B457" t="str">
            <v>1660. Ingresos por cobrar</v>
          </cell>
          <cell r="C457">
            <v>0</v>
          </cell>
        </row>
        <row r="458">
          <cell r="A458" t="str">
            <v/>
          </cell>
          <cell r="B458" t="str">
            <v>166095. Otras</v>
          </cell>
          <cell r="C458">
            <v>0</v>
          </cell>
        </row>
        <row r="459">
          <cell r="A459" t="str">
            <v>166095001</v>
          </cell>
          <cell r="B459" t="str">
            <v>166095001 INGRESOS POR C. POR COMISIONES POLIZAS</v>
          </cell>
          <cell r="C459">
            <v>96151359</v>
          </cell>
        </row>
        <row r="460">
          <cell r="A460" t="str">
            <v>166095002</v>
          </cell>
          <cell r="B460" t="str">
            <v>166095002 INGRESOS POR C.RENDIMIENTOS INVERSIONES AYC</v>
          </cell>
          <cell r="C460">
            <v>0</v>
          </cell>
        </row>
        <row r="461">
          <cell r="A461" t="str">
            <v>166095003</v>
          </cell>
          <cell r="B461" t="str">
            <v>166095003 OTRAS CUENTAS POR COBRAR AYC</v>
          </cell>
          <cell r="C461">
            <v>0</v>
          </cell>
        </row>
        <row r="462">
          <cell r="A462" t="str">
            <v>166095004</v>
          </cell>
          <cell r="B462" t="str">
            <v>166095004 CHEQUES DEVUELTOS AYC</v>
          </cell>
          <cell r="C462">
            <v>1561177</v>
          </cell>
        </row>
        <row r="463">
          <cell r="A463" t="str">
            <v/>
          </cell>
          <cell r="B463" t="str">
            <v>Total Otras</v>
          </cell>
          <cell r="C463">
            <v>97712536</v>
          </cell>
        </row>
        <row r="464">
          <cell r="A464" t="str">
            <v/>
          </cell>
          <cell r="B464" t="str">
            <v>Total 1660 Ingresos por cobrar</v>
          </cell>
          <cell r="C464">
            <v>97712536</v>
          </cell>
        </row>
        <row r="465">
          <cell r="A465" t="str">
            <v/>
          </cell>
          <cell r="B465" t="str">
            <v>1675. Anticipos de Impuestos</v>
          </cell>
          <cell r="C465">
            <v>0</v>
          </cell>
        </row>
        <row r="466">
          <cell r="A466" t="str">
            <v/>
          </cell>
          <cell r="B466" t="str">
            <v>167510. Industria y Comercio</v>
          </cell>
          <cell r="C466">
            <v>0</v>
          </cell>
        </row>
        <row r="467">
          <cell r="A467" t="str">
            <v>167510001</v>
          </cell>
          <cell r="B467" t="str">
            <v>167510001 ANTICIPOS IND. Y COMERCIO BARRANQUILLA</v>
          </cell>
          <cell r="C467">
            <v>68884100</v>
          </cell>
        </row>
        <row r="468">
          <cell r="A468" t="str">
            <v/>
          </cell>
          <cell r="B468" t="str">
            <v>Total Industria y Comercio</v>
          </cell>
          <cell r="C468">
            <v>68884100</v>
          </cell>
        </row>
        <row r="469">
          <cell r="A469" t="str">
            <v/>
          </cell>
          <cell r="B469" t="str">
            <v>167515. Retencion en la Fuente</v>
          </cell>
          <cell r="C469">
            <v>0</v>
          </cell>
        </row>
        <row r="470">
          <cell r="A470" t="str">
            <v>167515001</v>
          </cell>
          <cell r="B470" t="str">
            <v>167515001 ANTICIPOS RETENCIÓN EN LA FUENTE       7% AYC</v>
          </cell>
          <cell r="C470">
            <v>105880115</v>
          </cell>
        </row>
        <row r="471">
          <cell r="A471" t="str">
            <v>167515002</v>
          </cell>
          <cell r="B471" t="str">
            <v>167515002 ANTICIPOS RETENCIÓN EN LA FUENTE       7% CMO</v>
          </cell>
          <cell r="C471">
            <v>94039350</v>
          </cell>
        </row>
        <row r="472">
          <cell r="A472" t="str">
            <v/>
          </cell>
          <cell r="B472" t="str">
            <v>Total Retencion en la Fuente</v>
          </cell>
          <cell r="C472">
            <v>199919465</v>
          </cell>
        </row>
        <row r="473">
          <cell r="A473" t="str">
            <v/>
          </cell>
          <cell r="B473" t="str">
            <v>167545. Impuestos Descontables</v>
          </cell>
          <cell r="C473">
            <v>0</v>
          </cell>
        </row>
        <row r="474">
          <cell r="A474" t="str">
            <v>167545001</v>
          </cell>
          <cell r="B474" t="str">
            <v>167545001 ANTICIPOS IVA POR PAGAR -DEBITO</v>
          </cell>
          <cell r="C474">
            <v>0</v>
          </cell>
        </row>
        <row r="475">
          <cell r="A475" t="str">
            <v/>
          </cell>
          <cell r="B475" t="str">
            <v>Total Impuestos Descontables</v>
          </cell>
          <cell r="C475">
            <v>0</v>
          </cell>
        </row>
        <row r="476">
          <cell r="A476" t="str">
            <v/>
          </cell>
          <cell r="B476" t="str">
            <v>Total 1675 Anticipos de Impuestos</v>
          </cell>
          <cell r="C476">
            <v>268803565</v>
          </cell>
        </row>
        <row r="477">
          <cell r="A477" t="str">
            <v/>
          </cell>
          <cell r="B477" t="str">
            <v>1690. Otras cuentas por cobrar</v>
          </cell>
          <cell r="C477">
            <v>0</v>
          </cell>
        </row>
        <row r="478">
          <cell r="A478" t="str">
            <v/>
          </cell>
          <cell r="B478" t="str">
            <v>169010. Reclamos a compañias aseguradoras</v>
          </cell>
          <cell r="C478">
            <v>0</v>
          </cell>
        </row>
        <row r="479">
          <cell r="A479" t="str">
            <v>169010000</v>
          </cell>
          <cell r="B479" t="str">
            <v>169010000 RESPONSABILIDADES PENDIENTES</v>
          </cell>
          <cell r="C479">
            <v>0</v>
          </cell>
        </row>
        <row r="480">
          <cell r="A480" t="str">
            <v>169010001</v>
          </cell>
          <cell r="B480" t="str">
            <v>169010001 OTRAS CUENTAS POR COBRAR SEGUROS</v>
          </cell>
          <cell r="C480">
            <v>0</v>
          </cell>
        </row>
        <row r="481">
          <cell r="A481" t="str">
            <v/>
          </cell>
          <cell r="B481" t="str">
            <v>Total Reclamos a compañias aseguradoras</v>
          </cell>
          <cell r="C481">
            <v>0</v>
          </cell>
        </row>
        <row r="482">
          <cell r="A482" t="str">
            <v/>
          </cell>
          <cell r="B482" t="str">
            <v>169095. Otras</v>
          </cell>
          <cell r="C482">
            <v>0</v>
          </cell>
        </row>
        <row r="483">
          <cell r="A483" t="str">
            <v>169095002</v>
          </cell>
          <cell r="B483" t="str">
            <v>169095002 EXASOCIADOS AYC</v>
          </cell>
          <cell r="C483">
            <v>0</v>
          </cell>
        </row>
        <row r="484">
          <cell r="A484" t="str">
            <v>169095003</v>
          </cell>
          <cell r="B484" t="str">
            <v>169095003 CATEGORIA B CREDITO ACEPTABLE INTERESES AYC</v>
          </cell>
          <cell r="C484">
            <v>15479146</v>
          </cell>
        </row>
        <row r="485">
          <cell r="A485" t="str">
            <v>169095005</v>
          </cell>
          <cell r="B485" t="str">
            <v>169095005 OTRAS AYC</v>
          </cell>
          <cell r="C485">
            <v>0</v>
          </cell>
        </row>
        <row r="486">
          <cell r="A486" t="str">
            <v/>
          </cell>
          <cell r="B486" t="str">
            <v>Total Otras</v>
          </cell>
          <cell r="C486">
            <v>15479146</v>
          </cell>
        </row>
        <row r="487">
          <cell r="A487" t="str">
            <v/>
          </cell>
          <cell r="B487" t="str">
            <v>Total 1690 Otras cuentas por cobrar</v>
          </cell>
          <cell r="C487">
            <v>15479146</v>
          </cell>
        </row>
        <row r="488">
          <cell r="A488" t="str">
            <v/>
          </cell>
          <cell r="B488" t="str">
            <v>1691. Provision deudores venta de bienes y se</v>
          </cell>
          <cell r="C488">
            <v>0</v>
          </cell>
        </row>
        <row r="489">
          <cell r="A489" t="str">
            <v/>
          </cell>
          <cell r="B489" t="str">
            <v>169106. Deudores por venta de bienes</v>
          </cell>
          <cell r="C489">
            <v>0</v>
          </cell>
        </row>
        <row r="490">
          <cell r="A490" t="str">
            <v>169106001</v>
          </cell>
          <cell r="B490" t="str">
            <v>169106001 PROVISION DE CARTERA POR VENTA DE BIENES Y SERVCIO</v>
          </cell>
          <cell r="C490">
            <v>-64473796</v>
          </cell>
        </row>
        <row r="491">
          <cell r="A491" t="str">
            <v/>
          </cell>
          <cell r="B491" t="str">
            <v>Total Deudores por venta de bienes</v>
          </cell>
          <cell r="C491">
            <v>-64473796</v>
          </cell>
        </row>
        <row r="492">
          <cell r="A492" t="str">
            <v/>
          </cell>
          <cell r="B492" t="str">
            <v>Total 1691 Prov deudores venta de bienes y se</v>
          </cell>
          <cell r="C492">
            <v>-64473796</v>
          </cell>
        </row>
        <row r="493">
          <cell r="A493" t="str">
            <v/>
          </cell>
          <cell r="B493" t="str">
            <v>1694. Provision cuentas por cobrar comercial</v>
          </cell>
          <cell r="C493">
            <v>0</v>
          </cell>
        </row>
        <row r="494">
          <cell r="A494" t="str">
            <v/>
          </cell>
          <cell r="B494" t="str">
            <v>169453. Categoria B -Crédito Aceptable Int</v>
          </cell>
          <cell r="C494">
            <v>0</v>
          </cell>
        </row>
        <row r="495">
          <cell r="A495" t="str">
            <v>169453001</v>
          </cell>
          <cell r="B495" t="str">
            <v>169453001 CATEGORIA B CREDITO NORMAL</v>
          </cell>
          <cell r="C495">
            <v>-106100</v>
          </cell>
        </row>
        <row r="496">
          <cell r="A496" t="str">
            <v>169453002</v>
          </cell>
          <cell r="B496" t="str">
            <v>169453002 CATEGORIA B CREDITO NORMAL</v>
          </cell>
          <cell r="C496">
            <v>-9900</v>
          </cell>
        </row>
        <row r="497">
          <cell r="A497" t="str">
            <v/>
          </cell>
          <cell r="B497" t="str">
            <v>Total Categoria B -Crédito Aceptable Int</v>
          </cell>
          <cell r="C497">
            <v>-116000</v>
          </cell>
        </row>
        <row r="498">
          <cell r="A498" t="str">
            <v/>
          </cell>
          <cell r="B498" t="str">
            <v>169454. Categoria C Credito Apreciable,inter</v>
          </cell>
          <cell r="C498">
            <v>0</v>
          </cell>
        </row>
        <row r="499">
          <cell r="A499" t="str">
            <v>169454001</v>
          </cell>
          <cell r="B499" t="str">
            <v>169454001 TOTAL CATEGORIA C CREDITO AYC</v>
          </cell>
          <cell r="C499">
            <v>0</v>
          </cell>
        </row>
        <row r="500">
          <cell r="A500" t="str">
            <v>169454002</v>
          </cell>
          <cell r="B500" t="str">
            <v>169454002 TOTAL CATEGORIA C CREDITO MORA AYC</v>
          </cell>
          <cell r="C500">
            <v>0</v>
          </cell>
        </row>
        <row r="501">
          <cell r="A501" t="str">
            <v/>
          </cell>
          <cell r="B501" t="str">
            <v>Total Categoria C Credito Apreciable,inter</v>
          </cell>
          <cell r="C501">
            <v>0</v>
          </cell>
        </row>
        <row r="502">
          <cell r="A502" t="str">
            <v/>
          </cell>
          <cell r="B502" t="str">
            <v>169456. Categoria D Credito Significativo,int</v>
          </cell>
          <cell r="C502">
            <v>0</v>
          </cell>
        </row>
        <row r="503">
          <cell r="A503" t="str">
            <v>169456001</v>
          </cell>
          <cell r="B503" t="str">
            <v>169456001 TOTAL CATEGORIA D CREDITO AYC</v>
          </cell>
          <cell r="C503">
            <v>0</v>
          </cell>
        </row>
        <row r="504">
          <cell r="A504" t="str">
            <v>169456002</v>
          </cell>
          <cell r="B504" t="str">
            <v>169456002 TOTAL CATEGORIA D CREDITO MORA AYC</v>
          </cell>
          <cell r="C504">
            <v>0</v>
          </cell>
        </row>
        <row r="505">
          <cell r="A505" t="str">
            <v/>
          </cell>
          <cell r="B505" t="str">
            <v>Total. Categoria D Credito Significativo,int</v>
          </cell>
          <cell r="C505">
            <v>0</v>
          </cell>
        </row>
        <row r="506">
          <cell r="A506" t="str">
            <v>169457001</v>
          </cell>
          <cell r="B506" t="str">
            <v>169457001 TOTAL CATEGORIA E CREDITO AYC</v>
          </cell>
          <cell r="C506">
            <v>-1018686</v>
          </cell>
        </row>
        <row r="507">
          <cell r="A507" t="str">
            <v>169457002</v>
          </cell>
          <cell r="B507" t="str">
            <v>169457002 CATEGORIA D CREDITO SIGNIFICATIVA AYC</v>
          </cell>
          <cell r="C507">
            <v>-80121</v>
          </cell>
        </row>
        <row r="508">
          <cell r="A508" t="str">
            <v/>
          </cell>
          <cell r="B508" t="str">
            <v/>
          </cell>
          <cell r="C508">
            <v>-1098807</v>
          </cell>
        </row>
        <row r="509">
          <cell r="A509" t="str">
            <v/>
          </cell>
          <cell r="B509" t="str">
            <v>Total 1694 Prov cuentas por cobrar comercial</v>
          </cell>
          <cell r="C509">
            <v>-1214807</v>
          </cell>
        </row>
        <row r="510">
          <cell r="A510" t="str">
            <v/>
          </cell>
          <cell r="B510" t="str">
            <v>1696. Provision cuentas por cobrar de consumo</v>
          </cell>
          <cell r="C510">
            <v>0</v>
          </cell>
        </row>
        <row r="511">
          <cell r="A511" t="str">
            <v/>
          </cell>
          <cell r="B511" t="str">
            <v>169653. Categoria B credito aceptable inter.</v>
          </cell>
          <cell r="C511">
            <v>0</v>
          </cell>
        </row>
        <row r="512">
          <cell r="A512" t="str">
            <v>169653001</v>
          </cell>
          <cell r="B512" t="str">
            <v>169653001 ASEGURADORA SOLIDARIA AYC</v>
          </cell>
          <cell r="C512">
            <v>-3119615</v>
          </cell>
        </row>
        <row r="513">
          <cell r="A513" t="str">
            <v>169653002</v>
          </cell>
          <cell r="B513" t="str">
            <v>169653002 INTERESES MORA CATEGORIA  B</v>
          </cell>
          <cell r="C513">
            <v>-145995</v>
          </cell>
        </row>
        <row r="514">
          <cell r="A514" t="str">
            <v/>
          </cell>
          <cell r="B514" t="str">
            <v>Total Categoria B credito aceptable inter.</v>
          </cell>
          <cell r="C514">
            <v>-3265610</v>
          </cell>
        </row>
        <row r="515">
          <cell r="A515" t="str">
            <v/>
          </cell>
          <cell r="B515" t="str">
            <v>169654. Categoria C credito apreciable inter</v>
          </cell>
          <cell r="C515">
            <v>0</v>
          </cell>
        </row>
        <row r="516">
          <cell r="A516" t="str">
            <v>169654001</v>
          </cell>
          <cell r="B516" t="str">
            <v>169654001 CATEGORIA C CREDITO ACEPTABLE INTERESES AYC</v>
          </cell>
          <cell r="C516">
            <v>-5003489</v>
          </cell>
        </row>
        <row r="517">
          <cell r="A517" t="str">
            <v>169654002</v>
          </cell>
          <cell r="B517" t="str">
            <v>169654002 CATEGORIA C CREDITO ACEPTABLE INTERESES MORA AYC</v>
          </cell>
          <cell r="C517">
            <v>-300466</v>
          </cell>
        </row>
        <row r="518">
          <cell r="A518" t="str">
            <v/>
          </cell>
          <cell r="B518" t="str">
            <v>Total Categoria C credito apreciable inter</v>
          </cell>
          <cell r="C518">
            <v>-5303955</v>
          </cell>
        </row>
        <row r="519">
          <cell r="A519" t="str">
            <v/>
          </cell>
          <cell r="B519" t="str">
            <v>169656. Categoria D credito significativo int</v>
          </cell>
          <cell r="C519">
            <v>0</v>
          </cell>
        </row>
        <row r="520">
          <cell r="A520" t="str">
            <v>169656001</v>
          </cell>
          <cell r="B520" t="str">
            <v>169656001 CATEGORIA D CREDITO ACEPTABLE INTERESES AYC</v>
          </cell>
          <cell r="C520">
            <v>-2067407</v>
          </cell>
        </row>
        <row r="521">
          <cell r="A521" t="str">
            <v>169656002</v>
          </cell>
          <cell r="B521" t="str">
            <v>169656002 CATEGORIA D CREDITO ACEPTABLE INTERESES MORA  AYC</v>
          </cell>
          <cell r="C521">
            <v>-91502</v>
          </cell>
        </row>
        <row r="522">
          <cell r="A522" t="str">
            <v/>
          </cell>
          <cell r="B522" t="str">
            <v>Total Categoria D credito significativo int</v>
          </cell>
          <cell r="C522">
            <v>-2158909</v>
          </cell>
        </row>
        <row r="523">
          <cell r="A523" t="str">
            <v/>
          </cell>
          <cell r="B523" t="str">
            <v>169657. Categoria E credito irrecuperab.inter</v>
          </cell>
          <cell r="C523">
            <v>0</v>
          </cell>
        </row>
        <row r="524">
          <cell r="A524" t="str">
            <v>169657001</v>
          </cell>
          <cell r="B524" t="str">
            <v>169657001 CATEGORIA E CREDITO ACEPTABLE INTERESES AYC</v>
          </cell>
          <cell r="C524">
            <v>-5773342</v>
          </cell>
        </row>
        <row r="525">
          <cell r="A525" t="str">
            <v>169657002</v>
          </cell>
          <cell r="B525" t="str">
            <v>169657002 CATEGORIA E CREDITO ACEPTABLE INTERESES MORA AYC</v>
          </cell>
          <cell r="C525">
            <v>-554457</v>
          </cell>
        </row>
        <row r="526">
          <cell r="A526" t="str">
            <v/>
          </cell>
          <cell r="B526" t="str">
            <v>Total Categoria E credito irrecuperab.inter</v>
          </cell>
          <cell r="C526">
            <v>-6327799</v>
          </cell>
        </row>
        <row r="527">
          <cell r="A527" t="str">
            <v/>
          </cell>
          <cell r="B527" t="str">
            <v>Total 1696 Prov cuentas por cobrar de consumo</v>
          </cell>
          <cell r="C527">
            <v>-17056273</v>
          </cell>
        </row>
        <row r="528">
          <cell r="A528" t="str">
            <v/>
          </cell>
          <cell r="B528" t="str">
            <v>1698. Otras provisiones cuentas por cobrar</v>
          </cell>
          <cell r="C528">
            <v>0</v>
          </cell>
        </row>
        <row r="529">
          <cell r="A529" t="str">
            <v/>
          </cell>
          <cell r="B529" t="str">
            <v>169895. Diversas Otras</v>
          </cell>
          <cell r="C529">
            <v>0</v>
          </cell>
        </row>
        <row r="530">
          <cell r="A530" t="str">
            <v>169895001</v>
          </cell>
          <cell r="B530" t="str">
            <v>169895001 PROVISIÓN DIVERSAS OTRAS</v>
          </cell>
          <cell r="C530">
            <v>0</v>
          </cell>
        </row>
        <row r="531">
          <cell r="A531" t="str">
            <v>169895002</v>
          </cell>
          <cell r="B531" t="str">
            <v>169895002 PROVISIÓN PARA OTRAS CUENTA POR COB</v>
          </cell>
          <cell r="C531">
            <v>-164644547</v>
          </cell>
        </row>
        <row r="532">
          <cell r="A532" t="str">
            <v/>
          </cell>
          <cell r="B532" t="str">
            <v>Total Diversas Otras</v>
          </cell>
          <cell r="C532">
            <v>-164644547</v>
          </cell>
        </row>
        <row r="533">
          <cell r="A533" t="str">
            <v/>
          </cell>
          <cell r="B533" t="str">
            <v>Total 1698 Otras prov cuentas por cobrar</v>
          </cell>
          <cell r="C533">
            <v>-164644547</v>
          </cell>
        </row>
        <row r="534">
          <cell r="A534" t="str">
            <v/>
          </cell>
          <cell r="B534" t="str">
            <v>Total 16. Cuentas por Cobrar</v>
          </cell>
          <cell r="C534">
            <v>33064116131</v>
          </cell>
        </row>
        <row r="535">
          <cell r="A535" t="str">
            <v/>
          </cell>
          <cell r="B535" t="str">
            <v>17. Propiedades planta y Equipo</v>
          </cell>
          <cell r="C535">
            <v>0</v>
          </cell>
        </row>
        <row r="536">
          <cell r="A536" t="str">
            <v/>
          </cell>
          <cell r="B536" t="str">
            <v>1705. Terrenos</v>
          </cell>
          <cell r="C536">
            <v>0</v>
          </cell>
        </row>
        <row r="537">
          <cell r="A537" t="str">
            <v/>
          </cell>
          <cell r="B537" t="str">
            <v>170505. Urbanos</v>
          </cell>
          <cell r="C537">
            <v>0</v>
          </cell>
        </row>
        <row r="538">
          <cell r="A538" t="str">
            <v>170505000</v>
          </cell>
          <cell r="B538" t="str">
            <v>170505000 TERRENOS</v>
          </cell>
          <cell r="C538">
            <v>3110760063</v>
          </cell>
        </row>
        <row r="539">
          <cell r="A539" t="str">
            <v/>
          </cell>
          <cell r="B539" t="str">
            <v>Total Urbanos</v>
          </cell>
          <cell r="C539">
            <v>3110760063</v>
          </cell>
        </row>
        <row r="540">
          <cell r="A540" t="str">
            <v/>
          </cell>
          <cell r="B540" t="str">
            <v>Total 1705 Terrenos</v>
          </cell>
          <cell r="C540">
            <v>3110760063</v>
          </cell>
        </row>
        <row r="541">
          <cell r="A541" t="str">
            <v/>
          </cell>
          <cell r="B541" t="str">
            <v>1710. Construcciones o montajes en curso</v>
          </cell>
          <cell r="C541">
            <v>0</v>
          </cell>
        </row>
        <row r="542">
          <cell r="A542" t="str">
            <v/>
          </cell>
          <cell r="B542" t="str">
            <v>171005. Construcciones en proceso</v>
          </cell>
          <cell r="C542">
            <v>0</v>
          </cell>
        </row>
        <row r="543">
          <cell r="A543" t="str">
            <v>171005000</v>
          </cell>
          <cell r="B543" t="str">
            <v>171005000 CONSTRUCCIONES EN CURSO</v>
          </cell>
          <cell r="C543">
            <v>40799208</v>
          </cell>
        </row>
        <row r="544">
          <cell r="A544" t="str">
            <v/>
          </cell>
          <cell r="B544" t="str">
            <v>Total Construcciones en proceso</v>
          </cell>
          <cell r="C544">
            <v>40799208</v>
          </cell>
        </row>
        <row r="545">
          <cell r="A545" t="str">
            <v/>
          </cell>
          <cell r="B545" t="str">
            <v>171010. Maquinaria en Montaje</v>
          </cell>
          <cell r="C545">
            <v>0</v>
          </cell>
        </row>
        <row r="546">
          <cell r="A546" t="str">
            <v>171010000</v>
          </cell>
          <cell r="B546" t="str">
            <v>171010000 MAQUINARIA EN MONTAJE</v>
          </cell>
          <cell r="C546">
            <v>0</v>
          </cell>
        </row>
        <row r="547">
          <cell r="A547" t="str">
            <v/>
          </cell>
          <cell r="B547" t="str">
            <v>Total Maquinaria en Montaje</v>
          </cell>
          <cell r="C547">
            <v>0</v>
          </cell>
        </row>
        <row r="548">
          <cell r="A548" t="str">
            <v/>
          </cell>
          <cell r="B548" t="str">
            <v>Total 1710 Construcciones o montajes en curso</v>
          </cell>
          <cell r="C548">
            <v>40799208</v>
          </cell>
        </row>
        <row r="549">
          <cell r="A549" t="str">
            <v/>
          </cell>
          <cell r="B549" t="str">
            <v>1715. Edificaciones</v>
          </cell>
          <cell r="C549">
            <v>0</v>
          </cell>
        </row>
        <row r="550">
          <cell r="A550" t="str">
            <v/>
          </cell>
          <cell r="B550" t="str">
            <v>171505. Edificios</v>
          </cell>
          <cell r="C550">
            <v>0</v>
          </cell>
        </row>
        <row r="551">
          <cell r="A551" t="str">
            <v>171505000</v>
          </cell>
          <cell r="B551" t="str">
            <v>171505000 EDIFICIOS</v>
          </cell>
          <cell r="C551">
            <v>4099487135</v>
          </cell>
        </row>
        <row r="552">
          <cell r="A552" t="str">
            <v/>
          </cell>
          <cell r="B552" t="str">
            <v>Total Edificios</v>
          </cell>
          <cell r="C552">
            <v>4099487135</v>
          </cell>
        </row>
        <row r="553">
          <cell r="A553" t="str">
            <v/>
          </cell>
          <cell r="B553" t="str">
            <v>171510. Oficinas</v>
          </cell>
          <cell r="C553">
            <v>0</v>
          </cell>
        </row>
        <row r="554">
          <cell r="A554" t="str">
            <v>171510000</v>
          </cell>
          <cell r="B554" t="str">
            <v>171510000 OFICINAS BOGOTA</v>
          </cell>
          <cell r="C554">
            <v>577302211</v>
          </cell>
        </row>
        <row r="555">
          <cell r="A555" t="str">
            <v/>
          </cell>
          <cell r="B555" t="str">
            <v>Total Oficinas</v>
          </cell>
          <cell r="C555">
            <v>577302211</v>
          </cell>
        </row>
        <row r="556">
          <cell r="A556" t="str">
            <v/>
          </cell>
          <cell r="B556" t="str">
            <v>Total 1715 Edificaciones</v>
          </cell>
          <cell r="C556">
            <v>4676789346</v>
          </cell>
        </row>
        <row r="557">
          <cell r="A557" t="str">
            <v/>
          </cell>
          <cell r="B557" t="str">
            <v>1720. Muebles y equipo de oficina</v>
          </cell>
          <cell r="C557">
            <v>0</v>
          </cell>
        </row>
        <row r="558">
          <cell r="A558" t="str">
            <v/>
          </cell>
          <cell r="B558" t="str">
            <v>172010. Muebles</v>
          </cell>
          <cell r="C558">
            <v>0</v>
          </cell>
        </row>
        <row r="559">
          <cell r="A559" t="str">
            <v>172010000</v>
          </cell>
          <cell r="B559" t="str">
            <v>172010000 MUEBLES Y ENSERES</v>
          </cell>
          <cell r="C559">
            <v>485271659</v>
          </cell>
        </row>
        <row r="560">
          <cell r="A560" t="str">
            <v>172010002</v>
          </cell>
          <cell r="B560" t="str">
            <v>172010002 MUEBLES Y ENSERES AYC</v>
          </cell>
          <cell r="C560">
            <v>45057950</v>
          </cell>
        </row>
        <row r="561">
          <cell r="A561" t="str">
            <v/>
          </cell>
          <cell r="B561" t="str">
            <v>Total Muebles</v>
          </cell>
          <cell r="C561">
            <v>530329609</v>
          </cell>
        </row>
        <row r="562">
          <cell r="A562" t="str">
            <v/>
          </cell>
          <cell r="B562" t="str">
            <v>172015. Equipo</v>
          </cell>
          <cell r="C562">
            <v>0</v>
          </cell>
        </row>
        <row r="563">
          <cell r="A563" t="str">
            <v>172015000</v>
          </cell>
          <cell r="B563" t="str">
            <v>172015000 EQUIPO DE OFICINA</v>
          </cell>
          <cell r="C563">
            <v>208442541</v>
          </cell>
        </row>
        <row r="564">
          <cell r="A564" t="str">
            <v>172015001</v>
          </cell>
          <cell r="B564" t="str">
            <v>172015001 EQUIPO DE OFICINA AYC</v>
          </cell>
          <cell r="C564">
            <v>661728</v>
          </cell>
        </row>
        <row r="565">
          <cell r="A565" t="str">
            <v>172015011</v>
          </cell>
          <cell r="B565" t="str">
            <v>172015011 EQUIPO DE OFICINA DE AYC</v>
          </cell>
          <cell r="C565">
            <v>1448041</v>
          </cell>
        </row>
        <row r="566">
          <cell r="A566" t="str">
            <v/>
          </cell>
          <cell r="B566" t="str">
            <v>Total Equipo</v>
          </cell>
          <cell r="C566">
            <v>210552310</v>
          </cell>
        </row>
        <row r="567">
          <cell r="A567" t="str">
            <v/>
          </cell>
          <cell r="B567" t="str">
            <v>Total 1720 Muebles y equipo de oficina</v>
          </cell>
          <cell r="C567">
            <v>740881919</v>
          </cell>
        </row>
        <row r="568">
          <cell r="A568" t="str">
            <v/>
          </cell>
          <cell r="B568" t="str">
            <v>1725. Equipo de computo y comunicacion</v>
          </cell>
          <cell r="C568">
            <v>0</v>
          </cell>
        </row>
        <row r="569">
          <cell r="A569" t="str">
            <v/>
          </cell>
          <cell r="B569" t="str">
            <v>172505. Equipos de Computo</v>
          </cell>
          <cell r="C569">
            <v>0</v>
          </cell>
        </row>
        <row r="570">
          <cell r="A570" t="str">
            <v>172505000</v>
          </cell>
          <cell r="B570" t="str">
            <v>172505000 COMPUTADORES</v>
          </cell>
          <cell r="C570">
            <v>2067613478</v>
          </cell>
        </row>
        <row r="571">
          <cell r="A571" t="str">
            <v>172505001</v>
          </cell>
          <cell r="B571" t="str">
            <v>172505001 COMPUTADORES CAMBIO TECNOLOGICO AYC</v>
          </cell>
          <cell r="C571">
            <v>33018247</v>
          </cell>
        </row>
        <row r="572">
          <cell r="A572" t="str">
            <v>172505011</v>
          </cell>
          <cell r="B572" t="str">
            <v>172505011 COMPUTADORES CAMBIO TECNOLO AYC</v>
          </cell>
          <cell r="C572">
            <v>0</v>
          </cell>
        </row>
        <row r="573">
          <cell r="A573" t="str">
            <v/>
          </cell>
          <cell r="B573" t="str">
            <v>Total Equipos de Computo</v>
          </cell>
          <cell r="C573">
            <v>2100631725</v>
          </cell>
        </row>
        <row r="574">
          <cell r="A574" t="str">
            <v/>
          </cell>
          <cell r="B574" t="str">
            <v>172510. Equipos de comunicacion</v>
          </cell>
          <cell r="C574">
            <v>0</v>
          </cell>
        </row>
        <row r="575">
          <cell r="A575" t="str">
            <v>172510000</v>
          </cell>
          <cell r="B575" t="str">
            <v>172510000 EQUIPO DE TELECOMUNICACIÓN</v>
          </cell>
          <cell r="C575">
            <v>305680126</v>
          </cell>
        </row>
        <row r="576">
          <cell r="A576" t="str">
            <v>172510001</v>
          </cell>
          <cell r="B576" t="str">
            <v>172510001 EQUIPO DE TELCOMUNICACIONES AYC</v>
          </cell>
          <cell r="C576">
            <v>1528166</v>
          </cell>
        </row>
        <row r="577">
          <cell r="A577" t="str">
            <v/>
          </cell>
          <cell r="B577" t="str">
            <v>Total Equipos de comunicacion</v>
          </cell>
          <cell r="C577">
            <v>307208292</v>
          </cell>
        </row>
        <row r="578">
          <cell r="A578" t="str">
            <v/>
          </cell>
          <cell r="B578" t="str">
            <v>Total 1725 Eq de computo y comunicacion</v>
          </cell>
          <cell r="C578">
            <v>2407840017</v>
          </cell>
        </row>
        <row r="579">
          <cell r="A579" t="str">
            <v/>
          </cell>
          <cell r="B579" t="str">
            <v>1732. Envases Y Empaques</v>
          </cell>
          <cell r="C579">
            <v>0</v>
          </cell>
        </row>
        <row r="580">
          <cell r="A580" t="str">
            <v/>
          </cell>
          <cell r="B580" t="str">
            <v>173205. Envases Y empaques (cjas Plasticas)</v>
          </cell>
          <cell r="C580">
            <v>0</v>
          </cell>
        </row>
        <row r="581">
          <cell r="A581" t="str">
            <v>173205000</v>
          </cell>
          <cell r="B581" t="str">
            <v>173205000 ENVASES Y EMPAQUES</v>
          </cell>
          <cell r="C581">
            <v>331868984</v>
          </cell>
        </row>
        <row r="582">
          <cell r="A582" t="str">
            <v/>
          </cell>
          <cell r="B582" t="str">
            <v>Total Envases Y empaques (cjas Plasticas)</v>
          </cell>
          <cell r="C582">
            <v>331868984</v>
          </cell>
        </row>
        <row r="583">
          <cell r="A583" t="str">
            <v/>
          </cell>
          <cell r="B583" t="str">
            <v>Total  1732 Envases Y Empaques</v>
          </cell>
          <cell r="C583">
            <v>331868984</v>
          </cell>
        </row>
        <row r="584">
          <cell r="A584" t="str">
            <v/>
          </cell>
          <cell r="B584" t="str">
            <v>1745. Maquinaria y Equipo</v>
          </cell>
          <cell r="C584">
            <v>0</v>
          </cell>
        </row>
        <row r="585">
          <cell r="A585" t="str">
            <v/>
          </cell>
          <cell r="B585" t="str">
            <v>174505. Maquinaria</v>
          </cell>
          <cell r="C585">
            <v>0</v>
          </cell>
        </row>
        <row r="586">
          <cell r="A586" t="str">
            <v>174505000</v>
          </cell>
          <cell r="B586" t="str">
            <v>174505000 MAQUINARIA</v>
          </cell>
          <cell r="C586">
            <v>4084811016</v>
          </cell>
        </row>
        <row r="587">
          <cell r="A587" t="str">
            <v/>
          </cell>
          <cell r="B587" t="str">
            <v>Total Maquinaria</v>
          </cell>
          <cell r="C587">
            <v>4084811016</v>
          </cell>
        </row>
        <row r="588">
          <cell r="A588" t="str">
            <v/>
          </cell>
          <cell r="B588" t="str">
            <v>174510. Equipo</v>
          </cell>
          <cell r="C588">
            <v>0</v>
          </cell>
        </row>
        <row r="589">
          <cell r="A589" t="str">
            <v>174510000</v>
          </cell>
          <cell r="B589" t="str">
            <v>174510000 EQUIPO BODEGA</v>
          </cell>
          <cell r="C589">
            <v>371778529</v>
          </cell>
        </row>
        <row r="590">
          <cell r="A590" t="str">
            <v/>
          </cell>
          <cell r="B590" t="str">
            <v>Total Equipo</v>
          </cell>
          <cell r="C590">
            <v>371778529</v>
          </cell>
        </row>
        <row r="591">
          <cell r="A591" t="str">
            <v/>
          </cell>
          <cell r="B591" t="str">
            <v>Total 1745 Maquinaria y Equipo</v>
          </cell>
          <cell r="C591">
            <v>4456589545</v>
          </cell>
        </row>
        <row r="592">
          <cell r="A592" t="str">
            <v/>
          </cell>
          <cell r="B592" t="str">
            <v>1795. Depreciacion Acumulada</v>
          </cell>
          <cell r="C592">
            <v>0</v>
          </cell>
        </row>
        <row r="593">
          <cell r="A593" t="str">
            <v/>
          </cell>
          <cell r="B593" t="str">
            <v>179505. Edificaciones</v>
          </cell>
          <cell r="C593">
            <v>0</v>
          </cell>
        </row>
        <row r="594">
          <cell r="A594" t="str">
            <v>179505000</v>
          </cell>
          <cell r="B594" t="str">
            <v>179505000 DEPRECIACION EDIFICACIONES</v>
          </cell>
          <cell r="C594">
            <v>-2575869120</v>
          </cell>
        </row>
        <row r="595">
          <cell r="A595" t="str">
            <v/>
          </cell>
          <cell r="B595" t="str">
            <v>Total Edificaciones</v>
          </cell>
          <cell r="C595">
            <v>-2575869120</v>
          </cell>
        </row>
        <row r="596">
          <cell r="A596" t="str">
            <v/>
          </cell>
          <cell r="B596" t="str">
            <v>179510. Muebles y equipo de oficina</v>
          </cell>
          <cell r="C596">
            <v>0</v>
          </cell>
        </row>
        <row r="597">
          <cell r="A597" t="str">
            <v>179510000</v>
          </cell>
          <cell r="B597" t="str">
            <v>179510000 DEPRECIACIÓN MUEBLES Y ENSERES Y EQUIPO DE OFICINA</v>
          </cell>
          <cell r="C597">
            <v>-191969526</v>
          </cell>
        </row>
        <row r="598">
          <cell r="A598" t="str">
            <v>179510001</v>
          </cell>
          <cell r="B598" t="str">
            <v>179510001 DEPREC MUEBLES Y ENSERES Y EQUIPO DE OFICINA  AYC</v>
          </cell>
          <cell r="C598">
            <v>-375483</v>
          </cell>
        </row>
        <row r="599">
          <cell r="A599" t="str">
            <v>179510002</v>
          </cell>
          <cell r="B599" t="str">
            <v>179510002 DEPRECIACIÓN EQUIPO DE OFICINA   AYC</v>
          </cell>
          <cell r="C599">
            <v>-57805</v>
          </cell>
        </row>
        <row r="600">
          <cell r="A600" t="str">
            <v/>
          </cell>
          <cell r="B600" t="str">
            <v>Total Muebles y equipo de oficina</v>
          </cell>
          <cell r="C600">
            <v>-192402814</v>
          </cell>
        </row>
        <row r="601">
          <cell r="A601" t="str">
            <v/>
          </cell>
          <cell r="B601" t="str">
            <v>179520. Equipo de computacion y comunicacion</v>
          </cell>
          <cell r="C601">
            <v>0</v>
          </cell>
        </row>
        <row r="602">
          <cell r="A602" t="str">
            <v>179520000</v>
          </cell>
          <cell r="B602" t="str">
            <v>179520000 DEPRECIACIÓN COMPUTADORES Y COMUNICACIONES</v>
          </cell>
          <cell r="C602">
            <v>-1223382324</v>
          </cell>
        </row>
        <row r="603">
          <cell r="A603" t="str">
            <v>179520001</v>
          </cell>
          <cell r="B603" t="str">
            <v>179520001 DEPRECIACIÓN COMPUTADORES  AYC</v>
          </cell>
          <cell r="C603">
            <v>-9064265</v>
          </cell>
        </row>
        <row r="604">
          <cell r="A604" t="str">
            <v>179520002</v>
          </cell>
          <cell r="B604" t="str">
            <v>179520002 DEPRECIACIÓN COMUNICACIONES   AYC</v>
          </cell>
          <cell r="C604">
            <v>-65114</v>
          </cell>
        </row>
        <row r="605">
          <cell r="A605" t="str">
            <v/>
          </cell>
          <cell r="B605" t="str">
            <v>Total Equipo de computacion y comunicacion</v>
          </cell>
          <cell r="C605">
            <v>-1232511703</v>
          </cell>
        </row>
        <row r="606">
          <cell r="A606" t="str">
            <v/>
          </cell>
          <cell r="B606" t="str">
            <v>179535. Envases y Empaques</v>
          </cell>
          <cell r="C606">
            <v>0</v>
          </cell>
        </row>
        <row r="607">
          <cell r="A607" t="str">
            <v>179535000</v>
          </cell>
          <cell r="B607" t="str">
            <v>179535000 DEPRECIACIÓN DEPRECIACION ENVASES Y EMPAQUES</v>
          </cell>
          <cell r="C607">
            <v>-231388900</v>
          </cell>
        </row>
        <row r="608">
          <cell r="A608" t="str">
            <v/>
          </cell>
          <cell r="B608" t="str">
            <v>Total Envases y Empaques</v>
          </cell>
          <cell r="C608">
            <v>-231388900</v>
          </cell>
        </row>
        <row r="609">
          <cell r="A609" t="str">
            <v/>
          </cell>
          <cell r="B609" t="str">
            <v>179545. Maquinaria Y equipo</v>
          </cell>
          <cell r="C609">
            <v>0</v>
          </cell>
        </row>
        <row r="610">
          <cell r="A610" t="str">
            <v>179545000</v>
          </cell>
          <cell r="B610" t="str">
            <v>179545000 DEPRECIACIÓN MAQUINARIA Y EQUIPO</v>
          </cell>
          <cell r="C610">
            <v>-389438910</v>
          </cell>
        </row>
        <row r="611">
          <cell r="A611" t="str">
            <v/>
          </cell>
          <cell r="B611" t="str">
            <v>Total Maquinaria Y equipo</v>
          </cell>
          <cell r="C611">
            <v>-389438910</v>
          </cell>
        </row>
        <row r="612">
          <cell r="A612" t="str">
            <v/>
          </cell>
          <cell r="B612" t="str">
            <v>Total 1795 Depreciacion Acumulada</v>
          </cell>
          <cell r="C612">
            <v>-4621611447</v>
          </cell>
        </row>
        <row r="613">
          <cell r="A613" t="str">
            <v/>
          </cell>
          <cell r="B613" t="str">
            <v>Total 17. Propiedades planta y Equipo</v>
          </cell>
          <cell r="C613">
            <v>11143917635</v>
          </cell>
        </row>
        <row r="614">
          <cell r="A614" t="str">
            <v/>
          </cell>
          <cell r="B614" t="str">
            <v>18. Diferidos</v>
          </cell>
          <cell r="C614">
            <v>0</v>
          </cell>
        </row>
        <row r="615">
          <cell r="A615" t="str">
            <v/>
          </cell>
          <cell r="B615" t="str">
            <v>1810. Gastos Anticipados</v>
          </cell>
          <cell r="C615">
            <v>0</v>
          </cell>
        </row>
        <row r="616">
          <cell r="A616" t="str">
            <v/>
          </cell>
          <cell r="B616" t="str">
            <v>181010. Seguros</v>
          </cell>
          <cell r="C616">
            <v>0</v>
          </cell>
        </row>
        <row r="617">
          <cell r="A617" t="str">
            <v>181010001</v>
          </cell>
          <cell r="B617" t="str">
            <v>181010001 GTOS ANTICIPADOS- POLIZAS</v>
          </cell>
          <cell r="C617">
            <v>0</v>
          </cell>
        </row>
        <row r="618">
          <cell r="A618" t="str">
            <v>181010010</v>
          </cell>
          <cell r="B618" t="str">
            <v>181010010 GTOS ANTICIPADOS- POLIZAS AUTOMOVILES</v>
          </cell>
          <cell r="C618">
            <v>0</v>
          </cell>
        </row>
        <row r="619">
          <cell r="A619" t="str">
            <v>181010011</v>
          </cell>
          <cell r="B619" t="str">
            <v>181010011 GTOS ANTICIPADOS- POL. MANEJO GLOBAL CIAL.</v>
          </cell>
          <cell r="C619">
            <v>22753979</v>
          </cell>
        </row>
        <row r="620">
          <cell r="A620" t="str">
            <v>181010012</v>
          </cell>
          <cell r="B620" t="str">
            <v>181010012 GTOS ANTICIPADOS- POLIZA RESPONSABILIDAD CIVIL</v>
          </cell>
          <cell r="C620">
            <v>1166669</v>
          </cell>
        </row>
        <row r="621">
          <cell r="A621" t="str">
            <v>181010013</v>
          </cell>
          <cell r="B621" t="str">
            <v>181010013 GTOS ANTICIPADOS- POLIZA ROTURA MAQUINARIA</v>
          </cell>
          <cell r="C621">
            <v>625629</v>
          </cell>
        </row>
        <row r="622">
          <cell r="A622" t="str">
            <v>181010014</v>
          </cell>
          <cell r="B622" t="str">
            <v>181010014 GTOS ANTICIPADOS- POLIZA ROTURA VIDRIOS</v>
          </cell>
          <cell r="C622">
            <v>59596</v>
          </cell>
        </row>
        <row r="623">
          <cell r="A623" t="str">
            <v>181010015</v>
          </cell>
          <cell r="B623" t="str">
            <v>181010015 GTOS ANTICIPADOS- POLIZA EQUIPOS ELECTRONICOS</v>
          </cell>
          <cell r="C623">
            <v>17034601</v>
          </cell>
        </row>
        <row r="624">
          <cell r="A624" t="str">
            <v>181010016</v>
          </cell>
          <cell r="B624" t="str">
            <v>181010016 GTOS ANTICIPADOS- POLIZA INCENDIO FIJA</v>
          </cell>
          <cell r="C624">
            <v>8753900</v>
          </cell>
        </row>
        <row r="625">
          <cell r="A625" t="str">
            <v>181010017</v>
          </cell>
          <cell r="B625" t="str">
            <v>181010017 GTOS ANTICIPADOS- POLIZA SUSTRACCION FIJA</v>
          </cell>
          <cell r="C625">
            <v>247923</v>
          </cell>
        </row>
        <row r="626">
          <cell r="A626" t="str">
            <v>181010018</v>
          </cell>
          <cell r="B626" t="str">
            <v>181010018 GTOS ANTICIPADOS- POLIZA SUSTRACCION FLOTANTE</v>
          </cell>
          <cell r="C626">
            <v>36540237</v>
          </cell>
        </row>
        <row r="627">
          <cell r="A627" t="str">
            <v>181010019</v>
          </cell>
          <cell r="B627" t="str">
            <v>181010019 GTOS ANTICIPADOS- POLIZA INCENDIO FLOTANTE</v>
          </cell>
          <cell r="C627">
            <v>41412299</v>
          </cell>
        </row>
        <row r="628">
          <cell r="A628" t="str">
            <v>181010051</v>
          </cell>
          <cell r="B628" t="str">
            <v>181010051 GASTOS POR FONDOS SOCIALES</v>
          </cell>
          <cell r="C628">
            <v>0</v>
          </cell>
        </row>
        <row r="629">
          <cell r="A629" t="str">
            <v/>
          </cell>
          <cell r="B629" t="str">
            <v>Total Seguros</v>
          </cell>
          <cell r="C629">
            <v>128594833</v>
          </cell>
        </row>
        <row r="630">
          <cell r="A630" t="str">
            <v/>
          </cell>
          <cell r="B630" t="str">
            <v>181020. Contrato de Mantenimiento</v>
          </cell>
          <cell r="C630">
            <v>0</v>
          </cell>
        </row>
        <row r="631">
          <cell r="A631" t="str">
            <v>181020001</v>
          </cell>
          <cell r="B631" t="str">
            <v>181020001 GTOS ANTICIPADOS- MANTENIMEINTO</v>
          </cell>
          <cell r="C631">
            <v>0</v>
          </cell>
        </row>
        <row r="632">
          <cell r="A632" t="str">
            <v/>
          </cell>
          <cell r="B632" t="str">
            <v>Total Contrato de Mantenimiento</v>
          </cell>
          <cell r="C632">
            <v>0</v>
          </cell>
        </row>
        <row r="633">
          <cell r="A633" t="str">
            <v/>
          </cell>
          <cell r="B633" t="str">
            <v>181040. Suscripciones</v>
          </cell>
          <cell r="C633">
            <v>0</v>
          </cell>
        </row>
        <row r="634">
          <cell r="A634" t="str">
            <v>181040001</v>
          </cell>
          <cell r="B634" t="str">
            <v>181040001 GTOS ANTICIPADOS -SUSCRIPCIONES</v>
          </cell>
          <cell r="C634">
            <v>3850000</v>
          </cell>
        </row>
        <row r="635">
          <cell r="A635" t="str">
            <v/>
          </cell>
          <cell r="B635" t="str">
            <v>Total Suscripciones</v>
          </cell>
          <cell r="C635">
            <v>3850000</v>
          </cell>
        </row>
        <row r="636">
          <cell r="A636" t="str">
            <v/>
          </cell>
          <cell r="B636" t="str">
            <v>Total 1810 Gastos Anticipados</v>
          </cell>
          <cell r="C636">
            <v>132444833</v>
          </cell>
        </row>
        <row r="637">
          <cell r="A637" t="str">
            <v/>
          </cell>
          <cell r="B637" t="str">
            <v>1820. Cargos Diferidos</v>
          </cell>
          <cell r="C637">
            <v>0</v>
          </cell>
        </row>
        <row r="638">
          <cell r="A638" t="str">
            <v/>
          </cell>
          <cell r="B638" t="str">
            <v>182005. Organizacion y Preoperativos</v>
          </cell>
          <cell r="C638">
            <v>0</v>
          </cell>
        </row>
        <row r="639">
          <cell r="A639" t="str">
            <v>182005051</v>
          </cell>
          <cell r="B639" t="str">
            <v>182005051 ORGANIZACION Y PREOPERATIVOS CALI</v>
          </cell>
          <cell r="C639">
            <v>0</v>
          </cell>
        </row>
        <row r="640">
          <cell r="A640" t="str">
            <v/>
          </cell>
          <cell r="B640" t="str">
            <v>Total Organizacion y Preoperativos</v>
          </cell>
          <cell r="C640">
            <v>0</v>
          </cell>
        </row>
        <row r="641">
          <cell r="A641" t="str">
            <v/>
          </cell>
          <cell r="B641" t="str">
            <v>182015. Estudios y Proyectos</v>
          </cell>
          <cell r="C641">
            <v>0</v>
          </cell>
        </row>
        <row r="642">
          <cell r="A642" t="str">
            <v>182015000</v>
          </cell>
          <cell r="B642" t="str">
            <v>182015000 DIFERIDOS -EQUIPO COMPUTO SAP</v>
          </cell>
          <cell r="C642">
            <v>0</v>
          </cell>
        </row>
        <row r="643">
          <cell r="A643" t="str">
            <v>182015002</v>
          </cell>
          <cell r="B643" t="str">
            <v>182015002 DIFERIDOS-AMORTIZACIÓN PROYECTO SAP</v>
          </cell>
          <cell r="C643">
            <v>0</v>
          </cell>
        </row>
        <row r="644">
          <cell r="A644" t="str">
            <v>182015003</v>
          </cell>
          <cell r="B644" t="str">
            <v>182015003 PROQYECTO FOMIPYME</v>
          </cell>
          <cell r="C644">
            <v>0</v>
          </cell>
        </row>
        <row r="645">
          <cell r="A645" t="str">
            <v/>
          </cell>
          <cell r="B645" t="str">
            <v>Total Estudios y Proyectos</v>
          </cell>
          <cell r="C645">
            <v>0</v>
          </cell>
        </row>
        <row r="646">
          <cell r="A646" t="str">
            <v/>
          </cell>
          <cell r="B646" t="str">
            <v>182020. Programas para Computador(sofware)</v>
          </cell>
          <cell r="C646">
            <v>0</v>
          </cell>
        </row>
        <row r="647">
          <cell r="A647" t="str">
            <v>182020000</v>
          </cell>
          <cell r="B647" t="str">
            <v>182020000 DIFER.-PROGRAMAS COMPUTADOR</v>
          </cell>
          <cell r="C647">
            <v>198281750</v>
          </cell>
        </row>
        <row r="648">
          <cell r="A648" t="str">
            <v>182020001</v>
          </cell>
          <cell r="B648" t="str">
            <v>182020001 DIFER.-PROGRAMAS COMPUTADOR AYC</v>
          </cell>
          <cell r="C648">
            <v>0</v>
          </cell>
        </row>
        <row r="649">
          <cell r="A649" t="str">
            <v>182020010</v>
          </cell>
          <cell r="B649" t="str">
            <v>182020010 CARGOS DIFERIDOS PROGRAMAS SOFTWARE</v>
          </cell>
          <cell r="C649">
            <v>1030389990</v>
          </cell>
        </row>
        <row r="650">
          <cell r="A650" t="str">
            <v/>
          </cell>
          <cell r="B650" t="str">
            <v>Total Programas para Computador(sofware)</v>
          </cell>
          <cell r="C650">
            <v>1228671740</v>
          </cell>
        </row>
        <row r="651">
          <cell r="A651" t="str">
            <v/>
          </cell>
          <cell r="B651" t="str">
            <v>182030. Mejoras Prop.Tomadas en arriendamien.</v>
          </cell>
          <cell r="C651">
            <v>0</v>
          </cell>
        </row>
        <row r="652">
          <cell r="A652" t="str">
            <v>182030010</v>
          </cell>
          <cell r="B652" t="str">
            <v>182030010 CARGOS DIFERIDOS MEJORAS PROPIEDADES ARRENDADAS</v>
          </cell>
          <cell r="C652">
            <v>0</v>
          </cell>
        </row>
        <row r="653">
          <cell r="A653" t="str">
            <v/>
          </cell>
          <cell r="B653" t="str">
            <v>Total Mejoras Prop.Tomadas en arriendamien.</v>
          </cell>
          <cell r="C653">
            <v>0</v>
          </cell>
        </row>
        <row r="654">
          <cell r="A654" t="str">
            <v/>
          </cell>
          <cell r="B654" t="str">
            <v>182045. Impuestos</v>
          </cell>
          <cell r="C654">
            <v>0</v>
          </cell>
        </row>
        <row r="655">
          <cell r="A655" t="str">
            <v>182045000</v>
          </cell>
          <cell r="B655" t="str">
            <v>182045000 DIFER.-IMPUESTO PREDIAL Y VALORIZACIÓN</v>
          </cell>
          <cell r="C655">
            <v>10223501</v>
          </cell>
        </row>
        <row r="656">
          <cell r="A656" t="str">
            <v/>
          </cell>
          <cell r="B656" t="str">
            <v>Total  Impuestos</v>
          </cell>
          <cell r="C656">
            <v>10223501</v>
          </cell>
        </row>
        <row r="657">
          <cell r="A657" t="str">
            <v/>
          </cell>
          <cell r="B657" t="str">
            <v>182050. Contribuciones y afiliaciones</v>
          </cell>
          <cell r="C657">
            <v>0</v>
          </cell>
        </row>
        <row r="658">
          <cell r="A658" t="str">
            <v>182050001</v>
          </cell>
          <cell r="B658" t="str">
            <v>182050001 DIFER.-SÚPER-SOLIDARIA</v>
          </cell>
          <cell r="C658">
            <v>30312256</v>
          </cell>
        </row>
        <row r="659">
          <cell r="A659" t="str">
            <v/>
          </cell>
          <cell r="B659" t="str">
            <v>Total Contribuciones y afiliaciones</v>
          </cell>
          <cell r="C659">
            <v>30312256</v>
          </cell>
        </row>
        <row r="660">
          <cell r="A660" t="str">
            <v/>
          </cell>
          <cell r="B660" t="str">
            <v>182065. Elementos Dotacion y suministro a tra</v>
          </cell>
          <cell r="C660">
            <v>0</v>
          </cell>
        </row>
        <row r="661">
          <cell r="A661" t="str">
            <v>182065000</v>
          </cell>
          <cell r="B661" t="str">
            <v>182065000 DIFER.-UNIFORMES Y DOTACION</v>
          </cell>
          <cell r="C661">
            <v>-513165</v>
          </cell>
        </row>
        <row r="662">
          <cell r="A662" t="str">
            <v>182065011</v>
          </cell>
          <cell r="B662" t="str">
            <v>182065011 DOTACION FUNCIONARIOS</v>
          </cell>
          <cell r="C662">
            <v>60761599</v>
          </cell>
        </row>
        <row r="663">
          <cell r="A663" t="str">
            <v/>
          </cell>
          <cell r="B663" t="str">
            <v>Total Elementos Dotacion y suministro a trab,</v>
          </cell>
          <cell r="C663">
            <v>60248434</v>
          </cell>
        </row>
        <row r="664">
          <cell r="A664" t="str">
            <v/>
          </cell>
          <cell r="B664" t="str">
            <v>182095. Otros</v>
          </cell>
          <cell r="C664">
            <v>0</v>
          </cell>
        </row>
        <row r="665">
          <cell r="A665" t="str">
            <v>182095000</v>
          </cell>
          <cell r="B665" t="str">
            <v>182095000 DIFER.-ELEMENTOS DE EMPAQUE</v>
          </cell>
          <cell r="C665">
            <v>0</v>
          </cell>
        </row>
        <row r="666">
          <cell r="A666" t="str">
            <v/>
          </cell>
          <cell r="B666" t="str">
            <v>Total Otros</v>
          </cell>
          <cell r="C666">
            <v>0</v>
          </cell>
        </row>
        <row r="667">
          <cell r="A667" t="str">
            <v/>
          </cell>
          <cell r="B667" t="str">
            <v>Total 1820 Cargos Diferidos</v>
          </cell>
          <cell r="C667">
            <v>1329455931</v>
          </cell>
        </row>
        <row r="668">
          <cell r="A668" t="str">
            <v/>
          </cell>
          <cell r="B668" t="str">
            <v>Total 18. Diferidos</v>
          </cell>
          <cell r="C668">
            <v>1461900764</v>
          </cell>
        </row>
        <row r="669">
          <cell r="A669" t="str">
            <v/>
          </cell>
          <cell r="B669" t="str">
            <v>19. Otros Activos</v>
          </cell>
          <cell r="C669">
            <v>0</v>
          </cell>
        </row>
        <row r="670">
          <cell r="A670" t="str">
            <v/>
          </cell>
          <cell r="B670" t="str">
            <v>1904. Sucursales Y agencias</v>
          </cell>
          <cell r="C670">
            <v>0</v>
          </cell>
        </row>
        <row r="671">
          <cell r="A671" t="str">
            <v/>
          </cell>
          <cell r="B671" t="str">
            <v>190405. Traslado de fondos</v>
          </cell>
          <cell r="C671">
            <v>0</v>
          </cell>
        </row>
        <row r="672">
          <cell r="A672" t="str">
            <v>190405001</v>
          </cell>
          <cell r="B672" t="str">
            <v>190405001 TRASLADO DE AHORROS</v>
          </cell>
          <cell r="C672">
            <v>0</v>
          </cell>
        </row>
        <row r="673">
          <cell r="A673" t="str">
            <v>190405002</v>
          </cell>
          <cell r="B673" t="str">
            <v>190405002 TRASLADO DE FONDOS</v>
          </cell>
          <cell r="C673">
            <v>0</v>
          </cell>
        </row>
        <row r="674">
          <cell r="A674" t="str">
            <v>190405003</v>
          </cell>
          <cell r="B674" t="str">
            <v>190405003 TRASLADO DE EXASOCIADOS</v>
          </cell>
          <cell r="C674">
            <v>0</v>
          </cell>
        </row>
        <row r="675">
          <cell r="A675" t="str">
            <v>190405004</v>
          </cell>
          <cell r="B675" t="str">
            <v>190405004 TRASLADO DE INVERSIONES</v>
          </cell>
          <cell r="C675">
            <v>0</v>
          </cell>
        </row>
        <row r="676">
          <cell r="A676" t="str">
            <v>190405005</v>
          </cell>
          <cell r="B676" t="str">
            <v>190405005 TRASLADO DE GASTOS GENERALES</v>
          </cell>
          <cell r="C676">
            <v>0</v>
          </cell>
        </row>
        <row r="677">
          <cell r="A677" t="str">
            <v/>
          </cell>
          <cell r="B677" t="str">
            <v>Total Traslado de fondos</v>
          </cell>
          <cell r="C677">
            <v>0</v>
          </cell>
        </row>
        <row r="678">
          <cell r="A678" t="str">
            <v/>
          </cell>
          <cell r="B678" t="str">
            <v>Total  1904 Sucursales Y agencias</v>
          </cell>
          <cell r="C678">
            <v>0</v>
          </cell>
        </row>
        <row r="679">
          <cell r="A679" t="str">
            <v/>
          </cell>
          <cell r="B679" t="str">
            <v>1910. Activos intangibles</v>
          </cell>
          <cell r="C679">
            <v>0</v>
          </cell>
        </row>
        <row r="680">
          <cell r="A680" t="str">
            <v/>
          </cell>
          <cell r="B680" t="str">
            <v>191005. Marcas y Patentes</v>
          </cell>
          <cell r="C680">
            <v>0</v>
          </cell>
        </row>
        <row r="681">
          <cell r="A681" t="str">
            <v>191005000</v>
          </cell>
          <cell r="B681" t="str">
            <v>191005000 INTANGIBLES-MARCAS Y PATENTES</v>
          </cell>
          <cell r="C681">
            <v>61022157</v>
          </cell>
        </row>
        <row r="682">
          <cell r="A682" t="str">
            <v/>
          </cell>
          <cell r="B682" t="str">
            <v>Total Marcas y Patentes</v>
          </cell>
          <cell r="C682">
            <v>61022157</v>
          </cell>
        </row>
        <row r="683">
          <cell r="A683" t="str">
            <v/>
          </cell>
          <cell r="B683" t="str">
            <v>Total 1910 Activos intangibles</v>
          </cell>
          <cell r="C683">
            <v>61022157</v>
          </cell>
        </row>
        <row r="684">
          <cell r="A684" t="str">
            <v/>
          </cell>
          <cell r="B684" t="str">
            <v>1985. Responsabilidades Pendientes</v>
          </cell>
          <cell r="C684">
            <v>0</v>
          </cell>
        </row>
        <row r="685">
          <cell r="A685" t="str">
            <v/>
          </cell>
          <cell r="B685" t="str">
            <v>198515. Otros</v>
          </cell>
          <cell r="C685">
            <v>0</v>
          </cell>
        </row>
        <row r="686">
          <cell r="A686" t="str">
            <v>198515000</v>
          </cell>
          <cell r="B686" t="str">
            <v>198515000 RESPONSABILIDADES PENDIENTES</v>
          </cell>
          <cell r="C686">
            <v>0</v>
          </cell>
        </row>
        <row r="687">
          <cell r="A687" t="str">
            <v/>
          </cell>
          <cell r="B687" t="str">
            <v>Total Otros</v>
          </cell>
          <cell r="C687">
            <v>0</v>
          </cell>
        </row>
        <row r="688">
          <cell r="A688" t="str">
            <v/>
          </cell>
          <cell r="B688" t="str">
            <v>Total 1985 Responsabilidades Pendientes</v>
          </cell>
          <cell r="C688">
            <v>0</v>
          </cell>
        </row>
        <row r="689">
          <cell r="A689" t="str">
            <v/>
          </cell>
          <cell r="B689" t="str">
            <v>1987. Otras Inversiones</v>
          </cell>
          <cell r="C689">
            <v>0</v>
          </cell>
        </row>
        <row r="690">
          <cell r="A690" t="str">
            <v/>
          </cell>
          <cell r="B690" t="str">
            <v>198715. Entidades sin animo de lucro</v>
          </cell>
          <cell r="C690">
            <v>0</v>
          </cell>
        </row>
        <row r="691">
          <cell r="A691" t="str">
            <v>198715001</v>
          </cell>
          <cell r="B691" t="str">
            <v>198715001 APORTES ASCOOP</v>
          </cell>
          <cell r="C691">
            <v>629570</v>
          </cell>
        </row>
        <row r="692">
          <cell r="A692" t="str">
            <v/>
          </cell>
          <cell r="B692" t="str">
            <v>Total Invers. en Entidades sin animo de lucro</v>
          </cell>
          <cell r="C692">
            <v>629570</v>
          </cell>
        </row>
        <row r="693">
          <cell r="A693" t="str">
            <v/>
          </cell>
          <cell r="B693" t="str">
            <v>198795. Otras inversiones</v>
          </cell>
          <cell r="C693">
            <v>0</v>
          </cell>
        </row>
        <row r="694">
          <cell r="A694" t="str">
            <v>198795001</v>
          </cell>
          <cell r="B694" t="str">
            <v>198795001 APORTES COOPDESARROLLO</v>
          </cell>
          <cell r="C694">
            <v>351243881</v>
          </cell>
        </row>
        <row r="695">
          <cell r="A695" t="str">
            <v>198795002</v>
          </cell>
          <cell r="B695" t="str">
            <v>198795002 APORTES SEGUROS LA EQUIDAD</v>
          </cell>
          <cell r="C695">
            <v>197526589</v>
          </cell>
        </row>
        <row r="696">
          <cell r="A696" t="str">
            <v>198795003</v>
          </cell>
          <cell r="B696" t="str">
            <v>198795003 APORTES SALUDCOOP</v>
          </cell>
          <cell r="C696">
            <v>98658930</v>
          </cell>
        </row>
        <row r="697">
          <cell r="A697" t="str">
            <v>198795004</v>
          </cell>
          <cell r="B697" t="str">
            <v>198795004 APORTES EN UCONAL ( BOCEAS)</v>
          </cell>
          <cell r="C697">
            <v>10386927</v>
          </cell>
        </row>
        <row r="698">
          <cell r="A698" t="str">
            <v>198795005</v>
          </cell>
          <cell r="B698" t="str">
            <v>198795005 ICOM INDUSTRIA COLOMBIANA DE MEDICAMENTOS LTDA</v>
          </cell>
          <cell r="C698">
            <v>9000000</v>
          </cell>
        </row>
        <row r="699">
          <cell r="A699" t="str">
            <v/>
          </cell>
          <cell r="B699" t="str">
            <v>Total  Otras inversiones</v>
          </cell>
          <cell r="C699">
            <v>666816327</v>
          </cell>
        </row>
        <row r="700">
          <cell r="A700" t="str">
            <v/>
          </cell>
          <cell r="B700" t="str">
            <v>Total 1987 Otras Inversiones</v>
          </cell>
          <cell r="C700">
            <v>667445897</v>
          </cell>
        </row>
        <row r="701">
          <cell r="A701" t="str">
            <v/>
          </cell>
          <cell r="B701" t="str">
            <v>1990. Diversos</v>
          </cell>
          <cell r="C701">
            <v>0</v>
          </cell>
        </row>
        <row r="702">
          <cell r="A702" t="str">
            <v/>
          </cell>
          <cell r="B702" t="str">
            <v>199050. Bienes Entregado en Comodato</v>
          </cell>
          <cell r="C702">
            <v>0</v>
          </cell>
        </row>
        <row r="703">
          <cell r="A703" t="str">
            <v>199050000</v>
          </cell>
          <cell r="B703" t="str">
            <v>199050000 BIENES ENTRAGADOS COMODATO MUEBLES Y ENSERES</v>
          </cell>
          <cell r="C703">
            <v>0</v>
          </cell>
        </row>
        <row r="704">
          <cell r="A704" t="str">
            <v>199050010</v>
          </cell>
          <cell r="B704" t="str">
            <v>199050010 BIENES ENTRAGADOS COMODATO EQ. COMPUTO</v>
          </cell>
          <cell r="C704">
            <v>0</v>
          </cell>
        </row>
        <row r="705">
          <cell r="A705" t="str">
            <v/>
          </cell>
          <cell r="B705" t="str">
            <v>Total Bienes Entregado en Comodato</v>
          </cell>
          <cell r="C705">
            <v>0</v>
          </cell>
        </row>
        <row r="706">
          <cell r="A706" t="str">
            <v/>
          </cell>
          <cell r="B706" t="str">
            <v>199095. Otros</v>
          </cell>
          <cell r="C706">
            <v>0</v>
          </cell>
        </row>
        <row r="707">
          <cell r="A707" t="str">
            <v>199095001</v>
          </cell>
          <cell r="B707" t="str">
            <v>199095001 OTROS TÍTULOS Y BIENES</v>
          </cell>
          <cell r="C707">
            <v>187568</v>
          </cell>
        </row>
        <row r="708">
          <cell r="A708" t="str">
            <v/>
          </cell>
          <cell r="B708" t="str">
            <v>Total Otros</v>
          </cell>
          <cell r="C708">
            <v>187568</v>
          </cell>
        </row>
        <row r="709">
          <cell r="A709" t="str">
            <v/>
          </cell>
          <cell r="B709" t="str">
            <v>Total 1990 Diversos</v>
          </cell>
          <cell r="C709">
            <v>187568</v>
          </cell>
        </row>
        <row r="710">
          <cell r="A710" t="str">
            <v/>
          </cell>
          <cell r="B710" t="str">
            <v>1995. Valorizaciones</v>
          </cell>
          <cell r="C710">
            <v>0</v>
          </cell>
        </row>
        <row r="711">
          <cell r="A711" t="str">
            <v/>
          </cell>
          <cell r="B711" t="str">
            <v>199510. Propiedad, Planta y Equipo</v>
          </cell>
          <cell r="C711">
            <v>0</v>
          </cell>
        </row>
        <row r="712">
          <cell r="A712" t="str">
            <v>199510001</v>
          </cell>
          <cell r="B712" t="str">
            <v>199510001 VALORIZACIÓN PROP.PLANTA Y EQUIPO</v>
          </cell>
          <cell r="C712">
            <v>5931175538</v>
          </cell>
        </row>
        <row r="713">
          <cell r="A713" t="str">
            <v>199510003</v>
          </cell>
          <cell r="B713" t="str">
            <v>199510003 VALORIZACIÓN  DE OTROS ACTIVOD</v>
          </cell>
          <cell r="C713">
            <v>23573649</v>
          </cell>
        </row>
        <row r="714">
          <cell r="A714" t="str">
            <v/>
          </cell>
          <cell r="B714" t="str">
            <v>Total Propiedad, Planta y Equipo</v>
          </cell>
          <cell r="C714">
            <v>5954749187</v>
          </cell>
        </row>
        <row r="715">
          <cell r="A715" t="str">
            <v/>
          </cell>
          <cell r="B715" t="str">
            <v>Total 1995 Valorizaciones</v>
          </cell>
          <cell r="C715">
            <v>5954749187</v>
          </cell>
        </row>
        <row r="716">
          <cell r="A716" t="str">
            <v/>
          </cell>
          <cell r="B716" t="str">
            <v>1999. Provision otros activos</v>
          </cell>
          <cell r="C716">
            <v>0</v>
          </cell>
        </row>
        <row r="717">
          <cell r="A717" t="str">
            <v/>
          </cell>
          <cell r="B717" t="str">
            <v>199935. Otras inversiones</v>
          </cell>
          <cell r="C717">
            <v>0</v>
          </cell>
        </row>
        <row r="718">
          <cell r="A718" t="str">
            <v>199935001</v>
          </cell>
          <cell r="B718" t="str">
            <v>199935001 PROVISIÓN PARA INVERSIONES PERMANENTES</v>
          </cell>
          <cell r="C718">
            <v>-361630808</v>
          </cell>
        </row>
        <row r="719">
          <cell r="A719" t="str">
            <v/>
          </cell>
          <cell r="B719" t="str">
            <v>Total Otras inversiones</v>
          </cell>
          <cell r="C719">
            <v>-361630808</v>
          </cell>
        </row>
        <row r="720">
          <cell r="A720" t="str">
            <v/>
          </cell>
          <cell r="B720" t="str">
            <v>199999. Amortización Acumulada (Cr)</v>
          </cell>
          <cell r="C720">
            <v>0</v>
          </cell>
        </row>
        <row r="721">
          <cell r="A721" t="str">
            <v>199099000</v>
          </cell>
          <cell r="B721" t="str">
            <v>199099000 AMORTIZACION ACUM.COMODATO MUEBLES Y ENSERES (CR)</v>
          </cell>
          <cell r="C721">
            <v>0</v>
          </cell>
        </row>
        <row r="722">
          <cell r="A722" t="str">
            <v>199099010</v>
          </cell>
          <cell r="B722" t="str">
            <v>199099010 AMORTIZACION ACUM.COMODATO EQ. COMPUTO (CR)</v>
          </cell>
          <cell r="C722">
            <v>0</v>
          </cell>
        </row>
        <row r="723">
          <cell r="A723" t="str">
            <v/>
          </cell>
          <cell r="B723" t="str">
            <v>Total. Amortización Acumulada (Cr)</v>
          </cell>
          <cell r="C723">
            <v>0</v>
          </cell>
        </row>
        <row r="724">
          <cell r="A724" t="str">
            <v/>
          </cell>
          <cell r="B724" t="str">
            <v>Total 1999 Provision otros activos</v>
          </cell>
          <cell r="C724">
            <v>-361630808</v>
          </cell>
        </row>
        <row r="725">
          <cell r="A725" t="str">
            <v/>
          </cell>
          <cell r="B725" t="str">
            <v>Total 19. Otros Activos</v>
          </cell>
          <cell r="C725">
            <v>6321774001</v>
          </cell>
        </row>
        <row r="726">
          <cell r="A726" t="str">
            <v/>
          </cell>
          <cell r="B726" t="str">
            <v>Total 1 Activos</v>
          </cell>
          <cell r="C726">
            <v>158334118822</v>
          </cell>
        </row>
        <row r="727">
          <cell r="A727" t="str">
            <v/>
          </cell>
          <cell r="B727" t="str">
            <v>Total Pasivo y Patrimonio</v>
          </cell>
          <cell r="C727">
            <v>0</v>
          </cell>
        </row>
        <row r="728">
          <cell r="A728" t="str">
            <v/>
          </cell>
          <cell r="B728" t="str">
            <v>2. Pasivo</v>
          </cell>
          <cell r="C728">
            <v>0</v>
          </cell>
        </row>
        <row r="729">
          <cell r="A729" t="str">
            <v/>
          </cell>
          <cell r="B729" t="str">
            <v>21. Depositos</v>
          </cell>
          <cell r="C729">
            <v>0</v>
          </cell>
        </row>
        <row r="730">
          <cell r="A730" t="str">
            <v/>
          </cell>
          <cell r="B730" t="str">
            <v>2110. Certificados depositos de ahorro a term</v>
          </cell>
          <cell r="C730">
            <v>0</v>
          </cell>
        </row>
        <row r="731">
          <cell r="A731" t="str">
            <v/>
          </cell>
          <cell r="B731" t="str">
            <v>211005. Emitidos menos de 6 meses</v>
          </cell>
          <cell r="C731">
            <v>0</v>
          </cell>
        </row>
        <row r="732">
          <cell r="A732" t="str">
            <v>211005001</v>
          </cell>
          <cell r="B732" t="str">
            <v>211005001 EMITIDOS MENOS DE 6 MESES AYC</v>
          </cell>
          <cell r="C732">
            <v>-2415526017</v>
          </cell>
        </row>
        <row r="733">
          <cell r="A733" t="str">
            <v/>
          </cell>
          <cell r="B733" t="str">
            <v>Total Emitidos menos de 6 meses</v>
          </cell>
          <cell r="C733">
            <v>-2415526017</v>
          </cell>
        </row>
        <row r="734">
          <cell r="A734" t="str">
            <v/>
          </cell>
          <cell r="B734" t="str">
            <v>211010. Titulos emitidos a 6 Meses &lt; 12 Meses</v>
          </cell>
          <cell r="C734">
            <v>0</v>
          </cell>
        </row>
        <row r="735">
          <cell r="A735" t="str">
            <v>211010001</v>
          </cell>
          <cell r="B735" t="str">
            <v>211010001 EMITIDOS IGUAL A  6 MESES Y MENOS DE 12 AYC</v>
          </cell>
          <cell r="C735">
            <v>-3583709396</v>
          </cell>
        </row>
        <row r="736">
          <cell r="A736" t="str">
            <v/>
          </cell>
          <cell r="B736" t="str">
            <v>Total Titulos emitidos a 6 Meses &lt; 12 Meses</v>
          </cell>
          <cell r="C736">
            <v>-3583709396</v>
          </cell>
        </row>
        <row r="737">
          <cell r="A737" t="str">
            <v/>
          </cell>
          <cell r="B737" t="str">
            <v>Total 2110 Cert depositos de ahorro a term</v>
          </cell>
          <cell r="C737">
            <v>-5999235413</v>
          </cell>
        </row>
        <row r="738">
          <cell r="A738" t="str">
            <v/>
          </cell>
          <cell r="B738" t="str">
            <v>2125. Depositos de ahorro contractual</v>
          </cell>
          <cell r="C738">
            <v>0</v>
          </cell>
        </row>
        <row r="739">
          <cell r="A739" t="str">
            <v/>
          </cell>
          <cell r="B739" t="str">
            <v>212505. Depositos a corto plazo - Activas</v>
          </cell>
          <cell r="C739">
            <v>0</v>
          </cell>
        </row>
        <row r="740">
          <cell r="A740" t="str">
            <v>212505001</v>
          </cell>
          <cell r="B740" t="str">
            <v>212505001 DEPÓSITOS CONTRACTUALES       A y C</v>
          </cell>
          <cell r="C740">
            <v>-16109874692</v>
          </cell>
        </row>
        <row r="741">
          <cell r="A741" t="str">
            <v>212505002</v>
          </cell>
          <cell r="B741" t="str">
            <v>212505002 CUBRIMIENTO DE CESANTÍAS       A y C</v>
          </cell>
          <cell r="C741">
            <v>-663629798</v>
          </cell>
        </row>
        <row r="742">
          <cell r="A742" t="str">
            <v>212505004</v>
          </cell>
          <cell r="B742" t="str">
            <v>212505004 AHORRO PARA TURISMO           A y C</v>
          </cell>
          <cell r="C742">
            <v>-105341772</v>
          </cell>
        </row>
        <row r="743">
          <cell r="A743" t="str">
            <v/>
          </cell>
          <cell r="B743" t="str">
            <v>Total Depositos a corto plazo - Activas</v>
          </cell>
          <cell r="C743">
            <v>-16878846262</v>
          </cell>
        </row>
        <row r="744">
          <cell r="A744" t="str">
            <v/>
          </cell>
          <cell r="B744" t="str">
            <v>Total 2125 Depositos de ahorro contractual</v>
          </cell>
          <cell r="C744">
            <v>-16878846262</v>
          </cell>
        </row>
        <row r="745">
          <cell r="A745" t="str">
            <v/>
          </cell>
          <cell r="B745" t="str">
            <v>Total 21. Depositos</v>
          </cell>
          <cell r="C745">
            <v>-22878081675</v>
          </cell>
        </row>
        <row r="746">
          <cell r="A746" t="str">
            <v/>
          </cell>
          <cell r="B746" t="str">
            <v>23. Creditos de bancos y otras obligaciones F</v>
          </cell>
          <cell r="C746">
            <v>0</v>
          </cell>
        </row>
        <row r="747">
          <cell r="A747" t="str">
            <v/>
          </cell>
          <cell r="B747" t="str">
            <v>2305. Creditos ordinarios Corto Plazo</v>
          </cell>
          <cell r="C747">
            <v>0</v>
          </cell>
        </row>
        <row r="748">
          <cell r="A748" t="str">
            <v/>
          </cell>
          <cell r="B748" t="str">
            <v>230525. Sobregiros</v>
          </cell>
          <cell r="C748">
            <v>0</v>
          </cell>
        </row>
        <row r="749">
          <cell r="A749" t="str">
            <v>230525001</v>
          </cell>
          <cell r="B749" t="str">
            <v>230525001 SOBREGIROS BANCARIOS</v>
          </cell>
          <cell r="C749">
            <v>-110270415</v>
          </cell>
        </row>
        <row r="750">
          <cell r="A750" t="str">
            <v>230525010</v>
          </cell>
          <cell r="B750" t="str">
            <v>230525010 SOBREGIROS CONTABLES AYC</v>
          </cell>
          <cell r="C750">
            <v>0</v>
          </cell>
        </row>
        <row r="751">
          <cell r="A751" t="str">
            <v/>
          </cell>
          <cell r="B751" t="str">
            <v>Total Sobregiros</v>
          </cell>
          <cell r="C751">
            <v>-110270415</v>
          </cell>
        </row>
        <row r="752">
          <cell r="A752" t="str">
            <v/>
          </cell>
          <cell r="B752" t="str">
            <v>Total 2305 Creditos ordinarios Corto Plazo</v>
          </cell>
          <cell r="C752">
            <v>-110270415</v>
          </cell>
        </row>
        <row r="753">
          <cell r="A753" t="str">
            <v/>
          </cell>
          <cell r="B753" t="str">
            <v>Total 23. Creditos bancos y otras oblig Fin.</v>
          </cell>
          <cell r="C753">
            <v>-110270415</v>
          </cell>
        </row>
        <row r="754">
          <cell r="A754" t="str">
            <v/>
          </cell>
          <cell r="B754" t="str">
            <v>24. Cuentas Por Pagar</v>
          </cell>
          <cell r="C754">
            <v>0</v>
          </cell>
        </row>
        <row r="755">
          <cell r="A755" t="str">
            <v/>
          </cell>
          <cell r="B755" t="str">
            <v>2405. Intereses</v>
          </cell>
          <cell r="C755">
            <v>0</v>
          </cell>
        </row>
        <row r="756">
          <cell r="A756" t="str">
            <v/>
          </cell>
          <cell r="B756" t="str">
            <v>240510. Certificado depositos de ahorro a ter</v>
          </cell>
          <cell r="C756">
            <v>0</v>
          </cell>
        </row>
        <row r="757">
          <cell r="A757" t="str">
            <v>240510001</v>
          </cell>
          <cell r="B757" t="str">
            <v>240510001 CERTIFICADOS DE DEP. A TERMINO  AYC</v>
          </cell>
          <cell r="C757">
            <v>-74753172</v>
          </cell>
        </row>
        <row r="758">
          <cell r="A758" t="str">
            <v/>
          </cell>
          <cell r="B758" t="str">
            <v>Total Certificado depositos de ahorro a ter</v>
          </cell>
          <cell r="C758">
            <v>-74753172</v>
          </cell>
        </row>
        <row r="759">
          <cell r="A759" t="str">
            <v/>
          </cell>
          <cell r="B759" t="str">
            <v>240595. Otros</v>
          </cell>
          <cell r="C759">
            <v>0</v>
          </cell>
        </row>
        <row r="760">
          <cell r="A760" t="str">
            <v>240595003</v>
          </cell>
          <cell r="B760" t="str">
            <v>240595003 CUENTA POR PAGAR ASOCIADOS</v>
          </cell>
          <cell r="C760">
            <v>-88656</v>
          </cell>
        </row>
        <row r="761">
          <cell r="A761" t="str">
            <v/>
          </cell>
          <cell r="B761" t="str">
            <v>Total Otros</v>
          </cell>
          <cell r="C761">
            <v>-88656</v>
          </cell>
        </row>
        <row r="762">
          <cell r="A762" t="str">
            <v/>
          </cell>
          <cell r="B762" t="str">
            <v>Total 2405 Intereses</v>
          </cell>
          <cell r="C762">
            <v>-74841828</v>
          </cell>
        </row>
        <row r="763">
          <cell r="A763" t="str">
            <v/>
          </cell>
          <cell r="B763" t="str">
            <v>2415. Costos Y gastos Por pagar</v>
          </cell>
          <cell r="C763">
            <v>0</v>
          </cell>
        </row>
        <row r="764">
          <cell r="A764" t="str">
            <v/>
          </cell>
          <cell r="B764" t="str">
            <v>241530. Seguros</v>
          </cell>
          <cell r="C764">
            <v>0</v>
          </cell>
        </row>
        <row r="765">
          <cell r="A765" t="str">
            <v>241530000</v>
          </cell>
          <cell r="B765" t="str">
            <v>241530000 CUENTAS POR PAGAR  SEGUROS</v>
          </cell>
          <cell r="C765">
            <v>0</v>
          </cell>
        </row>
        <row r="766">
          <cell r="A766" t="str">
            <v/>
          </cell>
          <cell r="B766" t="str">
            <v>Total Seguros</v>
          </cell>
          <cell r="C766">
            <v>0</v>
          </cell>
        </row>
        <row r="767">
          <cell r="A767" t="str">
            <v/>
          </cell>
          <cell r="B767" t="str">
            <v>241595. Otros</v>
          </cell>
          <cell r="C767">
            <v>0</v>
          </cell>
        </row>
        <row r="768">
          <cell r="A768" t="str">
            <v>241595001</v>
          </cell>
          <cell r="B768" t="str">
            <v>241595001 CUENTA POR PAGAR CUOTAS DE ASOCOLDRO</v>
          </cell>
          <cell r="C768">
            <v>-61005700</v>
          </cell>
        </row>
        <row r="769">
          <cell r="A769" t="str">
            <v>241595002</v>
          </cell>
          <cell r="B769" t="str">
            <v>241595002 CUENTA POR PAGAR TRANSPORTES</v>
          </cell>
          <cell r="C769">
            <v>-709620</v>
          </cell>
        </row>
        <row r="770">
          <cell r="A770" t="str">
            <v>241595005</v>
          </cell>
          <cell r="B770" t="str">
            <v>241595005 COSTOS Y GASTOS POR PAGAR</v>
          </cell>
          <cell r="C770">
            <v>-301655102</v>
          </cell>
        </row>
        <row r="771">
          <cell r="A771" t="str">
            <v>241595007</v>
          </cell>
          <cell r="B771" t="str">
            <v>241595007 DIFERENCIA EN  CONCILIACIONES BANCARIAS</v>
          </cell>
          <cell r="C771">
            <v>0</v>
          </cell>
        </row>
        <row r="772">
          <cell r="A772" t="str">
            <v>241595011</v>
          </cell>
          <cell r="B772" t="str">
            <v>241595011 PROVISIÓN RTOS CUBRIMIENTO DE CESANTIAS  A y C</v>
          </cell>
          <cell r="C772">
            <v>0</v>
          </cell>
        </row>
        <row r="773">
          <cell r="A773" t="str">
            <v>241595022</v>
          </cell>
          <cell r="B773" t="str">
            <v>241595022 CUENTA POR PAGAR FLETES Y REMESAS</v>
          </cell>
          <cell r="C773">
            <v>-2883422</v>
          </cell>
        </row>
        <row r="774">
          <cell r="A774" t="str">
            <v>241595024</v>
          </cell>
          <cell r="B774" t="str">
            <v>241595024 CUENTA X PAGAR  POLIZAS INSTITUCIONALES CAUSACION</v>
          </cell>
          <cell r="C774">
            <v>-1283849</v>
          </cell>
        </row>
        <row r="775">
          <cell r="A775" t="str">
            <v>241595025</v>
          </cell>
          <cell r="B775" t="str">
            <v>241595025 CUENTA POR PAGAR EMPLEADOS</v>
          </cell>
          <cell r="C775">
            <v>-7590703</v>
          </cell>
        </row>
        <row r="776">
          <cell r="A776" t="str">
            <v>241595026</v>
          </cell>
          <cell r="B776" t="str">
            <v>241595026 CUENTA POR PAGAR  POLIZAS (TRANSITORIA)</v>
          </cell>
          <cell r="C776">
            <v>-29502644</v>
          </cell>
        </row>
        <row r="777">
          <cell r="A777" t="str">
            <v>241595027</v>
          </cell>
          <cell r="B777" t="str">
            <v>241595027 CUENTAS POR PAGAR FUNDECOPI</v>
          </cell>
          <cell r="C777">
            <v>-30000000</v>
          </cell>
        </row>
        <row r="778">
          <cell r="A778" t="str">
            <v>241595039</v>
          </cell>
          <cell r="B778" t="str">
            <v>241595039 BONOS Y RIFAS POR PAGAR</v>
          </cell>
          <cell r="C778">
            <v>0</v>
          </cell>
        </row>
        <row r="779">
          <cell r="A779" t="str">
            <v>241595041</v>
          </cell>
          <cell r="B779" t="str">
            <v>241595041 CXP POLIZAS MANEJO GLOBAL CIAL</v>
          </cell>
          <cell r="C779">
            <v>0</v>
          </cell>
        </row>
        <row r="780">
          <cell r="A780" t="str">
            <v>241595042</v>
          </cell>
          <cell r="B780" t="str">
            <v>241595042 CXP POLIZAS RESPONSABILIDAD CIVIL</v>
          </cell>
          <cell r="C780">
            <v>0</v>
          </cell>
        </row>
        <row r="781">
          <cell r="A781" t="str">
            <v>241595043</v>
          </cell>
          <cell r="B781" t="str">
            <v>241595043 CXP POLIZAS ROTURA DE MAQUINARIA</v>
          </cell>
          <cell r="C781">
            <v>0</v>
          </cell>
        </row>
        <row r="782">
          <cell r="A782" t="str">
            <v>241595044</v>
          </cell>
          <cell r="B782" t="str">
            <v>241595044 CXP POLIZAS ROTURA DE VIDIROS</v>
          </cell>
          <cell r="C782">
            <v>0</v>
          </cell>
        </row>
        <row r="783">
          <cell r="A783" t="str">
            <v>241595045</v>
          </cell>
          <cell r="B783" t="str">
            <v>241595045 CXP POLIZAS EQUIPOS ELECTRONICOS</v>
          </cell>
          <cell r="C783">
            <v>0</v>
          </cell>
        </row>
        <row r="784">
          <cell r="A784" t="str">
            <v>241595046</v>
          </cell>
          <cell r="B784" t="str">
            <v>241595046 CXP POLIZAS INCD FIJA</v>
          </cell>
          <cell r="C784">
            <v>0</v>
          </cell>
        </row>
        <row r="785">
          <cell r="A785" t="str">
            <v>241595047</v>
          </cell>
          <cell r="B785" t="str">
            <v>241595047 CXP POLIZAS SUSTRACCION FIJA</v>
          </cell>
          <cell r="C785">
            <v>0</v>
          </cell>
        </row>
        <row r="786">
          <cell r="A786" t="str">
            <v>241595048</v>
          </cell>
          <cell r="B786" t="str">
            <v>241595048 CXP POLIZAS SUSTRACCION FLOTANTE</v>
          </cell>
          <cell r="C786">
            <v>-12187500</v>
          </cell>
        </row>
        <row r="787">
          <cell r="A787" t="str">
            <v>241595049</v>
          </cell>
          <cell r="B787" t="str">
            <v>241595049 CXP POLIZAS INCENDIO FLOTANTE</v>
          </cell>
          <cell r="C787">
            <v>-13812500</v>
          </cell>
        </row>
        <row r="788">
          <cell r="A788" t="str">
            <v>241595050</v>
          </cell>
          <cell r="B788" t="str">
            <v>241595050 CXP POLIZAS TRANSPORTE</v>
          </cell>
          <cell r="C788">
            <v>-16416849</v>
          </cell>
        </row>
        <row r="789">
          <cell r="A789" t="str">
            <v>241595051</v>
          </cell>
          <cell r="B789" t="str">
            <v>241595051 CXP POLIZAS SUBSIDIO COPIDROGAS</v>
          </cell>
          <cell r="C789">
            <v>0</v>
          </cell>
        </row>
        <row r="790">
          <cell r="A790" t="str">
            <v>241595052</v>
          </cell>
          <cell r="B790" t="str">
            <v>241595052 CXP POLIZAS CARTERA DEUDORES</v>
          </cell>
          <cell r="C790">
            <v>-40011109</v>
          </cell>
        </row>
        <row r="791">
          <cell r="A791" t="str">
            <v>241595053</v>
          </cell>
          <cell r="B791" t="str">
            <v>241595053 CXP POLIZAS VALORES</v>
          </cell>
          <cell r="C791">
            <v>-552524</v>
          </cell>
        </row>
        <row r="792">
          <cell r="A792" t="str">
            <v>241595099</v>
          </cell>
          <cell r="B792" t="str">
            <v>241595099 CUENTA X PAGAR  VARIOS CAUSACION</v>
          </cell>
          <cell r="C792">
            <v>0</v>
          </cell>
        </row>
        <row r="793">
          <cell r="A793" t="str">
            <v/>
          </cell>
          <cell r="B793" t="str">
            <v>Total Otros</v>
          </cell>
          <cell r="C793">
            <v>-517611522</v>
          </cell>
        </row>
        <row r="794">
          <cell r="A794" t="str">
            <v/>
          </cell>
          <cell r="B794" t="str">
            <v>Total 2415 Costos Y gastos Por pagar</v>
          </cell>
          <cell r="C794">
            <v>-517611522</v>
          </cell>
        </row>
        <row r="795">
          <cell r="A795" t="str">
            <v/>
          </cell>
          <cell r="B795" t="str">
            <v>2435. Proveedores</v>
          </cell>
          <cell r="C795">
            <v>0</v>
          </cell>
        </row>
        <row r="796">
          <cell r="A796" t="str">
            <v/>
          </cell>
          <cell r="B796" t="str">
            <v>243505. Nacionales</v>
          </cell>
          <cell r="C796">
            <v>0</v>
          </cell>
        </row>
        <row r="797">
          <cell r="A797" t="str">
            <v>243505001</v>
          </cell>
          <cell r="B797" t="str">
            <v>243505001 PROVEEDORES SUMINISTRO DE MERCANCÍA</v>
          </cell>
          <cell r="C797">
            <v>-51878927601</v>
          </cell>
        </row>
        <row r="798">
          <cell r="A798" t="str">
            <v>243505003</v>
          </cell>
          <cell r="B798" t="str">
            <v>243505003 PROVEED.SUMINISTRO DE MERCANCÍA (NOTAS.)</v>
          </cell>
          <cell r="C798">
            <v>-1149128</v>
          </cell>
        </row>
        <row r="799">
          <cell r="A799" t="str">
            <v>243505991</v>
          </cell>
          <cell r="B799" t="str">
            <v>243505991 INVENTARIO EM/RF</v>
          </cell>
          <cell r="C799">
            <v>12601930</v>
          </cell>
        </row>
        <row r="800">
          <cell r="A800" t="str">
            <v/>
          </cell>
          <cell r="B800" t="str">
            <v>Total Nacionales</v>
          </cell>
          <cell r="C800">
            <v>-51867474799</v>
          </cell>
        </row>
        <row r="801">
          <cell r="A801" t="str">
            <v/>
          </cell>
          <cell r="B801" t="str">
            <v>Total 2435 Proveedores</v>
          </cell>
          <cell r="C801">
            <v>-51867474799</v>
          </cell>
        </row>
        <row r="802">
          <cell r="A802" t="str">
            <v/>
          </cell>
          <cell r="B802" t="str">
            <v>2442. Gravamen a los movimientos financieros</v>
          </cell>
          <cell r="C802">
            <v>0</v>
          </cell>
        </row>
        <row r="803">
          <cell r="A803" t="str">
            <v/>
          </cell>
          <cell r="B803" t="str">
            <v>244205. Sobre Depositos de ahorros</v>
          </cell>
          <cell r="C803">
            <v>0</v>
          </cell>
        </row>
        <row r="804">
          <cell r="A804" t="str">
            <v>244205001</v>
          </cell>
          <cell r="B804" t="str">
            <v>244205001 GRAVAMEN DEL 3 x MIL   AYC</v>
          </cell>
          <cell r="C804">
            <v>-911429</v>
          </cell>
        </row>
        <row r="805">
          <cell r="A805" t="str">
            <v/>
          </cell>
          <cell r="B805" t="str">
            <v>Total Sobre Depositos de ahorros</v>
          </cell>
          <cell r="C805">
            <v>-911429</v>
          </cell>
        </row>
        <row r="806">
          <cell r="A806" t="str">
            <v/>
          </cell>
          <cell r="B806" t="str">
            <v>Total 2442 Gravamen a los movim financieros</v>
          </cell>
          <cell r="C806">
            <v>-911429</v>
          </cell>
        </row>
        <row r="807">
          <cell r="A807" t="str">
            <v/>
          </cell>
          <cell r="B807" t="str">
            <v>2445. Retenciones en la Fuente</v>
          </cell>
          <cell r="C807">
            <v>0</v>
          </cell>
        </row>
        <row r="808">
          <cell r="A808" t="str">
            <v/>
          </cell>
          <cell r="B808" t="str">
            <v>244505. Salarios y pagos laborales</v>
          </cell>
          <cell r="C808">
            <v>0</v>
          </cell>
        </row>
        <row r="809">
          <cell r="A809" t="str">
            <v>244505001</v>
          </cell>
          <cell r="B809" t="str">
            <v>244505001 RETEFUENTE POR SALARIOS</v>
          </cell>
          <cell r="C809">
            <v>-13521675</v>
          </cell>
        </row>
        <row r="810">
          <cell r="A810" t="str">
            <v/>
          </cell>
          <cell r="B810" t="str">
            <v>Total Salarios y pagos laborales</v>
          </cell>
          <cell r="C810">
            <v>-13521675</v>
          </cell>
        </row>
        <row r="811">
          <cell r="A811" t="str">
            <v/>
          </cell>
          <cell r="B811" t="str">
            <v>244515. Honorarios</v>
          </cell>
          <cell r="C811">
            <v>0</v>
          </cell>
        </row>
        <row r="812">
          <cell r="A812" t="str">
            <v>244515001</v>
          </cell>
          <cell r="B812" t="str">
            <v>244515001 RETEFUENTE HONORARIOS (10%)</v>
          </cell>
          <cell r="C812">
            <v>-3626110</v>
          </cell>
        </row>
        <row r="813">
          <cell r="A813" t="str">
            <v>244515002</v>
          </cell>
          <cell r="B813" t="str">
            <v>244515002 RETEFUENTE HONORARIOS (11%)</v>
          </cell>
          <cell r="C813">
            <v>-3445431</v>
          </cell>
        </row>
        <row r="814">
          <cell r="A814" t="str">
            <v>244515013</v>
          </cell>
          <cell r="B814" t="str">
            <v>244515013 * RETEFUENTE HONORARIOS (11%)</v>
          </cell>
          <cell r="C814">
            <v>-443520</v>
          </cell>
        </row>
        <row r="815">
          <cell r="A815" t="str">
            <v/>
          </cell>
          <cell r="B815" t="str">
            <v>Total Honorarios</v>
          </cell>
          <cell r="C815">
            <v>-7515061</v>
          </cell>
        </row>
        <row r="816">
          <cell r="A816" t="str">
            <v/>
          </cell>
          <cell r="B816" t="str">
            <v>244525. Servicios</v>
          </cell>
          <cell r="C816">
            <v>0</v>
          </cell>
        </row>
        <row r="817">
          <cell r="A817" t="str">
            <v>244525001</v>
          </cell>
          <cell r="B817" t="str">
            <v>244525001 SERVICIOS GENERALES(6%)  AYC</v>
          </cell>
          <cell r="C817">
            <v>0</v>
          </cell>
        </row>
        <row r="818">
          <cell r="A818" t="str">
            <v>244525002</v>
          </cell>
          <cell r="B818" t="str">
            <v>244525002 SERVICIO DE VIGILANCIA Y ASEO</v>
          </cell>
          <cell r="C818">
            <v>-201072</v>
          </cell>
        </row>
        <row r="819">
          <cell r="A819" t="str">
            <v>244525004</v>
          </cell>
          <cell r="B819" t="str">
            <v>244525004 SERVICIOS DE TRASPORTE (1%)</v>
          </cell>
          <cell r="C819">
            <v>-5855435</v>
          </cell>
        </row>
        <row r="820">
          <cell r="A820" t="str">
            <v>244525005</v>
          </cell>
          <cell r="B820" t="str">
            <v>244525005 SERVICIO DE TRASPORTE DE PASAJEROS   3.5%</v>
          </cell>
          <cell r="C820">
            <v>-14000</v>
          </cell>
        </row>
        <row r="821">
          <cell r="A821" t="str">
            <v>244525006</v>
          </cell>
          <cell r="B821" t="str">
            <v>244525006 SERVICIOS TEMPORALES          2.0%</v>
          </cell>
          <cell r="C821">
            <v>-815982</v>
          </cell>
        </row>
        <row r="822">
          <cell r="A822" t="str">
            <v>244525007</v>
          </cell>
          <cell r="B822" t="str">
            <v>244525007 SERVICIOS GENERALES(4Y6%) CMO</v>
          </cell>
          <cell r="C822">
            <v>-2820903</v>
          </cell>
        </row>
        <row r="823">
          <cell r="A823" t="str">
            <v>244525011</v>
          </cell>
          <cell r="B823" t="str">
            <v>244525011 * SERVICIOS GENERALES(6%) CMO</v>
          </cell>
          <cell r="C823">
            <v>0</v>
          </cell>
        </row>
        <row r="824">
          <cell r="A824" t="str">
            <v>244525015</v>
          </cell>
          <cell r="B824" t="str">
            <v>244525015 * SERVICIO DE TRASPORTE DE PASAJEROS   3.5%</v>
          </cell>
          <cell r="C824">
            <v>0</v>
          </cell>
        </row>
        <row r="825">
          <cell r="A825" t="str">
            <v/>
          </cell>
          <cell r="B825" t="str">
            <v>Total Servicios</v>
          </cell>
          <cell r="C825">
            <v>-9707392</v>
          </cell>
        </row>
        <row r="826">
          <cell r="A826" t="str">
            <v/>
          </cell>
          <cell r="B826" t="str">
            <v>244530. Arrendamientos</v>
          </cell>
          <cell r="C826">
            <v>0</v>
          </cell>
        </row>
        <row r="827">
          <cell r="A827" t="str">
            <v>244530001</v>
          </cell>
          <cell r="B827" t="str">
            <v>244530001 RETEFUENTE POR ARRENDAMIENTO INMUEB.   3.5%</v>
          </cell>
          <cell r="C827">
            <v>-921158</v>
          </cell>
        </row>
        <row r="828">
          <cell r="A828" t="str">
            <v>244530002</v>
          </cell>
          <cell r="B828" t="str">
            <v>244530002 RETEFUENTE POR ARRENDAMIENTO MUEMB.   4.0%</v>
          </cell>
          <cell r="C828">
            <v>-393067</v>
          </cell>
        </row>
        <row r="829">
          <cell r="A829" t="str">
            <v/>
          </cell>
          <cell r="B829" t="str">
            <v>Total Arrendamientos</v>
          </cell>
          <cell r="C829">
            <v>-1314225</v>
          </cell>
        </row>
        <row r="830">
          <cell r="A830" t="str">
            <v/>
          </cell>
          <cell r="B830" t="str">
            <v>244535. Rendimientos Financieros</v>
          </cell>
          <cell r="C830">
            <v>0</v>
          </cell>
        </row>
        <row r="831">
          <cell r="A831" t="str">
            <v>244535001</v>
          </cell>
          <cell r="B831" t="str">
            <v>244535001 RENDIMIENTOS FINANCIEROS        7.0% AYC</v>
          </cell>
          <cell r="C831">
            <v>-7401109</v>
          </cell>
        </row>
        <row r="832">
          <cell r="A832" t="str">
            <v>244535003</v>
          </cell>
          <cell r="B832" t="str">
            <v>244535003 RENDIMIENTOS FINANCIEROS     CDAT AYC</v>
          </cell>
          <cell r="C832">
            <v>-3026384</v>
          </cell>
        </row>
        <row r="833">
          <cell r="A833" t="str">
            <v/>
          </cell>
          <cell r="B833" t="str">
            <v>Total Rendimientos Financieros</v>
          </cell>
          <cell r="C833">
            <v>-10427493</v>
          </cell>
        </row>
        <row r="834">
          <cell r="A834" t="str">
            <v/>
          </cell>
          <cell r="B834" t="str">
            <v>244540. Compras</v>
          </cell>
          <cell r="C834">
            <v>0</v>
          </cell>
        </row>
        <row r="835">
          <cell r="A835" t="str">
            <v>244540001</v>
          </cell>
          <cell r="B835" t="str">
            <v>244540001 COMPRAS A PROVEEDORES (3.5% Y 1.5%)</v>
          </cell>
          <cell r="C835">
            <v>-245028889</v>
          </cell>
        </row>
        <row r="836">
          <cell r="A836" t="str">
            <v>244540003</v>
          </cell>
          <cell r="B836" t="str">
            <v>244540003 COMPRAS DE COMBUSTIBLES (0.1%)</v>
          </cell>
          <cell r="C836">
            <v>0</v>
          </cell>
        </row>
        <row r="837">
          <cell r="A837" t="str">
            <v>244540004</v>
          </cell>
          <cell r="B837" t="str">
            <v>244540004 COMPRAS Y SUM.S (3.5%)</v>
          </cell>
          <cell r="C837">
            <v>-24797562</v>
          </cell>
        </row>
        <row r="838">
          <cell r="A838" t="str">
            <v>244540013</v>
          </cell>
          <cell r="B838" t="str">
            <v>244540013 * COMPRAS Y SUM.S (3.5%)</v>
          </cell>
          <cell r="C838">
            <v>-621377</v>
          </cell>
        </row>
        <row r="839">
          <cell r="A839" t="str">
            <v/>
          </cell>
          <cell r="B839" t="str">
            <v>Total Compras</v>
          </cell>
          <cell r="C839">
            <v>-270447828</v>
          </cell>
        </row>
        <row r="840">
          <cell r="A840" t="str">
            <v/>
          </cell>
          <cell r="B840" t="str">
            <v>244545. Loterias, rifas y similares</v>
          </cell>
          <cell r="C840">
            <v>0</v>
          </cell>
        </row>
        <row r="841">
          <cell r="A841" t="str">
            <v>244545001</v>
          </cell>
          <cell r="B841" t="str">
            <v>244545001 LOTERIAS, RIFAS Y SIMILARES</v>
          </cell>
          <cell r="C841">
            <v>0</v>
          </cell>
        </row>
        <row r="842">
          <cell r="A842" t="str">
            <v/>
          </cell>
          <cell r="B842" t="str">
            <v>Total loterias, rifas y similares</v>
          </cell>
          <cell r="C842">
            <v>0</v>
          </cell>
        </row>
        <row r="843">
          <cell r="A843" t="str">
            <v/>
          </cell>
          <cell r="B843" t="str">
            <v>244565. Por impuesto de timbre</v>
          </cell>
          <cell r="C843">
            <v>0</v>
          </cell>
        </row>
        <row r="844">
          <cell r="A844" t="str">
            <v>244565001</v>
          </cell>
          <cell r="B844" t="str">
            <v>244565001 TIMBRES Y PAGARES             1.5%   58.500.000</v>
          </cell>
          <cell r="C844">
            <v>0</v>
          </cell>
        </row>
        <row r="845">
          <cell r="A845" t="str">
            <v>244565002</v>
          </cell>
          <cell r="B845" t="str">
            <v>244565002 TIMBRES Y PAGARES             0.75%   60.142..000</v>
          </cell>
          <cell r="C845">
            <v>-1457679</v>
          </cell>
        </row>
        <row r="846">
          <cell r="A846" t="str">
            <v>244565011</v>
          </cell>
          <cell r="B846" t="str">
            <v>244565011 * TIMBRES Y PAGARES             1.5%   58.500.000</v>
          </cell>
          <cell r="C846">
            <v>-4583324</v>
          </cell>
        </row>
        <row r="847">
          <cell r="A847" t="str">
            <v/>
          </cell>
          <cell r="B847" t="str">
            <v>Total Por impuesto de timbre</v>
          </cell>
          <cell r="C847">
            <v>-6041003</v>
          </cell>
        </row>
        <row r="848">
          <cell r="A848" t="str">
            <v/>
          </cell>
          <cell r="B848" t="str">
            <v>244570. Otras Retenciones y patrimonio</v>
          </cell>
          <cell r="C848">
            <v>0</v>
          </cell>
        </row>
        <row r="849">
          <cell r="A849" t="str">
            <v>244570001</v>
          </cell>
          <cell r="B849" t="str">
            <v>244570001 CONTRATOS DE CONSTRUCCION</v>
          </cell>
          <cell r="C849">
            <v>0</v>
          </cell>
        </row>
        <row r="850">
          <cell r="A850" t="str">
            <v>244570002</v>
          </cell>
          <cell r="B850" t="str">
            <v>244570002 HOTEL Y RESTAURANTE  (3.5%)</v>
          </cell>
          <cell r="C850">
            <v>-1891891</v>
          </cell>
        </row>
        <row r="851">
          <cell r="A851" t="str">
            <v>244570003</v>
          </cell>
          <cell r="B851" t="str">
            <v>244570003 OTROS ING.TRIBUTARIOS.        3.5 %</v>
          </cell>
          <cell r="C851">
            <v>0</v>
          </cell>
        </row>
        <row r="852">
          <cell r="A852" t="str">
            <v>244570004</v>
          </cell>
          <cell r="B852" t="str">
            <v>244570004 CANCELACIONES RETENCION EN LA FUENTE</v>
          </cell>
          <cell r="C852">
            <v>0</v>
          </cell>
        </row>
        <row r="853">
          <cell r="A853" t="str">
            <v/>
          </cell>
          <cell r="B853" t="str">
            <v>Total Otras Retenciones y patrimonio</v>
          </cell>
          <cell r="C853">
            <v>-1891891</v>
          </cell>
        </row>
        <row r="854">
          <cell r="A854" t="str">
            <v/>
          </cell>
          <cell r="B854" t="str">
            <v>Total 2445 Retenciones en la Fuente</v>
          </cell>
          <cell r="C854">
            <v>-320866568</v>
          </cell>
        </row>
        <row r="855">
          <cell r="A855" t="str">
            <v/>
          </cell>
          <cell r="B855" t="str">
            <v>2447. Impuesto a las ventas retenido</v>
          </cell>
          <cell r="C855">
            <v>0</v>
          </cell>
        </row>
        <row r="856">
          <cell r="A856" t="str">
            <v/>
          </cell>
          <cell r="B856" t="str">
            <v>244705. Impuesto a las ventas retenido</v>
          </cell>
          <cell r="C856">
            <v>0</v>
          </cell>
        </row>
        <row r="857">
          <cell r="A857" t="str">
            <v>244705001</v>
          </cell>
          <cell r="B857" t="str">
            <v>244705001 IVA A LAS  VENTAS RETENIDA PROVEEDORES</v>
          </cell>
          <cell r="C857">
            <v>-93916908</v>
          </cell>
        </row>
        <row r="858">
          <cell r="A858" t="str">
            <v>244705002</v>
          </cell>
          <cell r="B858" t="str">
            <v>244705002 IVA A LAS VENTAS RETENIDA OTRAS COMPRAS Y SERVICIO</v>
          </cell>
          <cell r="C858">
            <v>-14352395</v>
          </cell>
        </row>
        <row r="859">
          <cell r="A859" t="str">
            <v>244705005</v>
          </cell>
          <cell r="B859" t="str">
            <v>244705005 IVA A LAS  VENTAS RETENIDO HONORARIOS AYC</v>
          </cell>
          <cell r="C859">
            <v>0</v>
          </cell>
        </row>
        <row r="860">
          <cell r="A860" t="str">
            <v>244705007</v>
          </cell>
          <cell r="B860" t="str">
            <v>244705007 IVA RETENIDO SERVIVIOS 16% AYC</v>
          </cell>
          <cell r="C860">
            <v>0</v>
          </cell>
        </row>
        <row r="861">
          <cell r="A861" t="str">
            <v>244705009</v>
          </cell>
          <cell r="B861" t="str">
            <v>244705009 * IVA RETENIDO OTRAS COMPRAS.</v>
          </cell>
          <cell r="C861">
            <v>-1742849</v>
          </cell>
        </row>
        <row r="862">
          <cell r="A862" t="str">
            <v>244705013</v>
          </cell>
          <cell r="B862" t="str">
            <v>244705013 * IVA RETENIDO OTRAS COMPRAS.</v>
          </cell>
          <cell r="C862">
            <v>0</v>
          </cell>
        </row>
        <row r="863">
          <cell r="A863" t="str">
            <v>244705082</v>
          </cell>
          <cell r="B863" t="str">
            <v>244705082 *VA A LAS VENTAS RETENIDA OTRAS COMPRAS Y SERVICIO</v>
          </cell>
          <cell r="C863">
            <v>-105600</v>
          </cell>
        </row>
        <row r="864">
          <cell r="A864" t="str">
            <v/>
          </cell>
          <cell r="B864" t="str">
            <v>Total Impuesto a las ventas retenido</v>
          </cell>
          <cell r="C864">
            <v>-110117752</v>
          </cell>
        </row>
        <row r="865">
          <cell r="A865" t="str">
            <v/>
          </cell>
          <cell r="B865" t="str">
            <v>244710. Impuesto a las ventas ret.R Simplifi</v>
          </cell>
          <cell r="C865">
            <v>0</v>
          </cell>
        </row>
        <row r="866">
          <cell r="A866" t="str">
            <v>244710001</v>
          </cell>
          <cell r="B866" t="str">
            <v>244710001 IVA RETEN. COMPRAS RÉGIMEN SIMPLIFICADO 75%</v>
          </cell>
          <cell r="C866">
            <v>-1154144</v>
          </cell>
        </row>
        <row r="867">
          <cell r="A867" t="str">
            <v>244710002</v>
          </cell>
          <cell r="B867" t="str">
            <v>244710002 IVA RETENIDO SERVICI.REGIMEN SIMPLIFICADO  75%</v>
          </cell>
          <cell r="C867">
            <v>-5002904</v>
          </cell>
        </row>
        <row r="868">
          <cell r="A868" t="str">
            <v>244710003</v>
          </cell>
          <cell r="B868" t="str">
            <v>244710003 CANCELACIONES IVA RETENIDO</v>
          </cell>
          <cell r="C868">
            <v>0</v>
          </cell>
        </row>
        <row r="869">
          <cell r="A869" t="str">
            <v/>
          </cell>
          <cell r="B869" t="str">
            <v>Total  Impuesto a las ventas ret.R Simplifi</v>
          </cell>
          <cell r="C869">
            <v>-6157048</v>
          </cell>
        </row>
        <row r="870">
          <cell r="A870" t="str">
            <v/>
          </cell>
          <cell r="B870" t="str">
            <v>Total 2447 Impuesto a las ventas retenido</v>
          </cell>
          <cell r="C870">
            <v>-116274800</v>
          </cell>
        </row>
        <row r="871">
          <cell r="A871" t="str">
            <v/>
          </cell>
          <cell r="B871" t="str">
            <v>2448. Impuesto de industria y comercio reten.</v>
          </cell>
          <cell r="C871">
            <v>0</v>
          </cell>
        </row>
        <row r="872">
          <cell r="A872" t="str">
            <v/>
          </cell>
          <cell r="B872" t="str">
            <v>244801. Ica renido AYC</v>
          </cell>
          <cell r="C872">
            <v>0</v>
          </cell>
        </row>
        <row r="873">
          <cell r="A873" t="str">
            <v>244801001</v>
          </cell>
          <cell r="B873" t="str">
            <v>244801001 ICA RETENIDO BOGOTA        A y C</v>
          </cell>
          <cell r="C873">
            <v>0</v>
          </cell>
        </row>
        <row r="874">
          <cell r="A874" t="str">
            <v/>
          </cell>
          <cell r="B874" t="str">
            <v>Tota  Ica renido AYC</v>
          </cell>
          <cell r="C874">
            <v>0</v>
          </cell>
        </row>
        <row r="875">
          <cell r="A875" t="str">
            <v/>
          </cell>
          <cell r="B875" t="str">
            <v>244805. Impuesto de industria y cio retenido</v>
          </cell>
          <cell r="C875">
            <v>0</v>
          </cell>
        </row>
        <row r="876">
          <cell r="A876" t="str">
            <v>244805004</v>
          </cell>
          <cell r="B876" t="str">
            <v>244805004 CANCELACIONES ICA RETENIDO</v>
          </cell>
          <cell r="C876">
            <v>0</v>
          </cell>
        </row>
        <row r="877">
          <cell r="A877" t="str">
            <v>244805011</v>
          </cell>
          <cell r="B877" t="str">
            <v>244805011 ICA RETENIDA BOGOTA  4.14/1000</v>
          </cell>
          <cell r="C877">
            <v>-7839248</v>
          </cell>
        </row>
        <row r="878">
          <cell r="A878" t="str">
            <v>244805012</v>
          </cell>
          <cell r="B878" t="str">
            <v>244805012 ICA RETENIDA BOGOTA      6.9/1000</v>
          </cell>
          <cell r="C878">
            <v>-280198</v>
          </cell>
        </row>
        <row r="879">
          <cell r="A879" t="str">
            <v>244805013</v>
          </cell>
          <cell r="B879" t="str">
            <v>244805013 ICA RETENIDA BOGOTA     9.66/1000</v>
          </cell>
          <cell r="C879">
            <v>-2047176</v>
          </cell>
        </row>
        <row r="880">
          <cell r="A880" t="str">
            <v>244805014</v>
          </cell>
          <cell r="B880" t="str">
            <v>244805014 ICA RETENIDA BOGOTA     11.04/1000</v>
          </cell>
          <cell r="C880">
            <v>-19322259</v>
          </cell>
        </row>
        <row r="881">
          <cell r="A881" t="str">
            <v>244805015</v>
          </cell>
          <cell r="B881" t="str">
            <v>244805015 ICA RETENIDA BOGOTA      13.8/1000</v>
          </cell>
          <cell r="C881">
            <v>-67221</v>
          </cell>
        </row>
        <row r="882">
          <cell r="A882" t="str">
            <v>244805021</v>
          </cell>
          <cell r="B882" t="str">
            <v>244805021 ICA RETENIDA PEREIRA</v>
          </cell>
          <cell r="C882">
            <v>-63917</v>
          </cell>
        </row>
        <row r="883">
          <cell r="A883" t="str">
            <v>244805022</v>
          </cell>
          <cell r="B883" t="str">
            <v>244805022 ICA RETENIDA PEREIRA</v>
          </cell>
          <cell r="C883">
            <v>-9192</v>
          </cell>
        </row>
        <row r="884">
          <cell r="A884" t="str">
            <v>244805023</v>
          </cell>
          <cell r="B884" t="str">
            <v>244805023 ICA RETENIDA PEREIRA</v>
          </cell>
          <cell r="C884">
            <v>-181284</v>
          </cell>
        </row>
        <row r="885">
          <cell r="A885" t="str">
            <v>244805031</v>
          </cell>
          <cell r="B885" t="str">
            <v>244805031 ICA RETENIDA BARRANQUILLA    7/1000</v>
          </cell>
          <cell r="C885">
            <v>-633324</v>
          </cell>
        </row>
        <row r="886">
          <cell r="A886" t="str">
            <v>244805033</v>
          </cell>
          <cell r="B886" t="str">
            <v>244805033 ICA RETENIDA BARRANQUILLA     5/1000</v>
          </cell>
          <cell r="C886">
            <v>0</v>
          </cell>
        </row>
        <row r="887">
          <cell r="A887" t="str">
            <v>244805038</v>
          </cell>
          <cell r="B887" t="str">
            <v>244805038 ICA RETENIDA BARRANQUILLA     4.5/1000</v>
          </cell>
          <cell r="C887">
            <v>0</v>
          </cell>
        </row>
        <row r="888">
          <cell r="A888" t="str">
            <v>244805041</v>
          </cell>
          <cell r="B888" t="str">
            <v>244805041 * ICA RETENIDA BOGOTA  4.14/1000</v>
          </cell>
          <cell r="C888">
            <v>-236225</v>
          </cell>
        </row>
        <row r="889">
          <cell r="A889" t="str">
            <v>244805063</v>
          </cell>
          <cell r="B889" t="str">
            <v>244805063 ICA RETENIDA YUMBO 6 POR MIL</v>
          </cell>
          <cell r="C889">
            <v>0</v>
          </cell>
        </row>
        <row r="890">
          <cell r="A890" t="str">
            <v>244805066</v>
          </cell>
          <cell r="B890" t="str">
            <v>244805066 ICA RETENIDA YUMBO 10 POR MIL</v>
          </cell>
          <cell r="C890">
            <v>-27395</v>
          </cell>
        </row>
        <row r="891">
          <cell r="A891" t="str">
            <v/>
          </cell>
          <cell r="B891" t="str">
            <v>Total Impuesto de industria y cio retenido</v>
          </cell>
          <cell r="C891">
            <v>-30707439</v>
          </cell>
        </row>
        <row r="892">
          <cell r="A892" t="str">
            <v/>
          </cell>
          <cell r="B892" t="str">
            <v>Total 2448 Imp de industria y comercio reten.</v>
          </cell>
          <cell r="C892">
            <v>-30707439</v>
          </cell>
        </row>
        <row r="893">
          <cell r="A893" t="str">
            <v/>
          </cell>
          <cell r="B893" t="str">
            <v>2450. Retenciones y aportes de Nomina</v>
          </cell>
          <cell r="C893">
            <v>0</v>
          </cell>
        </row>
        <row r="894">
          <cell r="A894" t="str">
            <v/>
          </cell>
          <cell r="B894" t="str">
            <v>245005. Aport.a bienestar promot.de salud EPS</v>
          </cell>
          <cell r="C894">
            <v>0</v>
          </cell>
        </row>
        <row r="895">
          <cell r="A895" t="str">
            <v>245005001</v>
          </cell>
          <cell r="B895" t="str">
            <v>245005001 PAGOS APORTES SALUD</v>
          </cell>
          <cell r="C895">
            <v>0</v>
          </cell>
        </row>
        <row r="896">
          <cell r="A896" t="str">
            <v>245005002</v>
          </cell>
          <cell r="B896" t="str">
            <v>245005002 CAUSACION APORTES SALUD</v>
          </cell>
          <cell r="C896">
            <v>0</v>
          </cell>
        </row>
        <row r="897">
          <cell r="A897" t="str">
            <v>245005003</v>
          </cell>
          <cell r="B897" t="str">
            <v>245005003 SALUD COMPLEMENTARIA</v>
          </cell>
          <cell r="C897">
            <v>-734413</v>
          </cell>
        </row>
        <row r="898">
          <cell r="A898" t="str">
            <v/>
          </cell>
          <cell r="B898" t="str">
            <v>Total Aport.a bienestar promot.de salud EPS</v>
          </cell>
          <cell r="C898">
            <v>-734413</v>
          </cell>
        </row>
        <row r="899">
          <cell r="A899" t="str">
            <v/>
          </cell>
          <cell r="B899" t="str">
            <v>245010. Aport.a bienestar promot de pension</v>
          </cell>
          <cell r="C899">
            <v>0</v>
          </cell>
        </row>
        <row r="900">
          <cell r="A900" t="str">
            <v>245010001</v>
          </cell>
          <cell r="B900" t="str">
            <v>245010001 PAGOS APORTES PENSIÓN</v>
          </cell>
          <cell r="C900">
            <v>0</v>
          </cell>
        </row>
        <row r="901">
          <cell r="A901" t="str">
            <v>245010002</v>
          </cell>
          <cell r="B901" t="str">
            <v>245010002 CAUSACION APORTES PENSION</v>
          </cell>
          <cell r="C901">
            <v>0</v>
          </cell>
        </row>
        <row r="902">
          <cell r="A902" t="str">
            <v>245010003</v>
          </cell>
          <cell r="B902" t="str">
            <v>245010003 PENSION VOLUNTARIA</v>
          </cell>
          <cell r="C902">
            <v>-4300000</v>
          </cell>
        </row>
        <row r="903">
          <cell r="A903" t="str">
            <v>245010011</v>
          </cell>
          <cell r="B903" t="str">
            <v>245010011 APORTE PENSION  EMPLEADOR AYC</v>
          </cell>
          <cell r="C903">
            <v>0</v>
          </cell>
        </row>
        <row r="904">
          <cell r="A904" t="str">
            <v/>
          </cell>
          <cell r="B904" t="str">
            <v>Total Aport.a bienestar promot de pension</v>
          </cell>
          <cell r="C904">
            <v>-4300000</v>
          </cell>
        </row>
        <row r="905">
          <cell r="A905" t="str">
            <v/>
          </cell>
          <cell r="B905" t="str">
            <v>245015. Aport.a adm.de riesgos profesion.ARP</v>
          </cell>
          <cell r="C905">
            <v>0</v>
          </cell>
        </row>
        <row r="906">
          <cell r="A906" t="str">
            <v>245015001</v>
          </cell>
          <cell r="B906" t="str">
            <v>245015001 PAGOS SEG.SOCIAL A.R.P.</v>
          </cell>
          <cell r="C906">
            <v>0</v>
          </cell>
        </row>
        <row r="907">
          <cell r="A907" t="str">
            <v>245015002</v>
          </cell>
          <cell r="B907" t="str">
            <v>245015002 PAGOS FONDO DE PENSIONES.SEG.SOCIAL</v>
          </cell>
          <cell r="C907">
            <v>0</v>
          </cell>
        </row>
        <row r="908">
          <cell r="A908" t="str">
            <v>245015003</v>
          </cell>
          <cell r="B908" t="str">
            <v>245015003 CAUSACION ARP</v>
          </cell>
          <cell r="C908">
            <v>0</v>
          </cell>
        </row>
        <row r="909">
          <cell r="A909" t="str">
            <v>245015004</v>
          </cell>
          <cell r="B909" t="str">
            <v>245015004 CAUSACION FONDE PENSION Y SEG.SOCIAL 1%</v>
          </cell>
          <cell r="C909">
            <v>0</v>
          </cell>
        </row>
        <row r="910">
          <cell r="A910" t="str">
            <v/>
          </cell>
          <cell r="B910" t="str">
            <v>Total Aport.a adm.de riesgos profesion.ARP</v>
          </cell>
          <cell r="C910">
            <v>0</v>
          </cell>
        </row>
        <row r="911">
          <cell r="A911" t="str">
            <v/>
          </cell>
          <cell r="B911" t="str">
            <v>245020. Aportes al ICBF,SENA y caja de comp.</v>
          </cell>
          <cell r="C911">
            <v>0</v>
          </cell>
        </row>
        <row r="912">
          <cell r="A912" t="str">
            <v>245020001</v>
          </cell>
          <cell r="B912" t="str">
            <v>245020001 PAGOS CAJA DE COMPENSACIÓN</v>
          </cell>
          <cell r="C912">
            <v>0</v>
          </cell>
        </row>
        <row r="913">
          <cell r="A913" t="str">
            <v/>
          </cell>
          <cell r="B913" t="str">
            <v>Total Aportes al ICBF,SENA y caja de comp.</v>
          </cell>
          <cell r="C913">
            <v>0</v>
          </cell>
        </row>
        <row r="914">
          <cell r="A914" t="str">
            <v/>
          </cell>
          <cell r="B914" t="str">
            <v>245030. Embargos Judiciales</v>
          </cell>
          <cell r="C914">
            <v>0</v>
          </cell>
        </row>
        <row r="915">
          <cell r="A915" t="str">
            <v>245030002</v>
          </cell>
          <cell r="B915" t="str">
            <v>245030002 CAUSACION  POR EMBARGOS</v>
          </cell>
          <cell r="C915">
            <v>-78400</v>
          </cell>
        </row>
        <row r="916">
          <cell r="A916" t="str">
            <v/>
          </cell>
          <cell r="B916" t="str">
            <v>Total Embargos Judiciales</v>
          </cell>
          <cell r="C916">
            <v>-78400</v>
          </cell>
        </row>
        <row r="917">
          <cell r="A917" t="str">
            <v/>
          </cell>
          <cell r="B917" t="str">
            <v>245050. Fondo de Empleados</v>
          </cell>
          <cell r="C917">
            <v>0</v>
          </cell>
        </row>
        <row r="918">
          <cell r="A918" t="str">
            <v>245050000</v>
          </cell>
          <cell r="B918" t="str">
            <v>245050000 CAUSACION FONDO DE EMPLEADOS COPIDROGAS</v>
          </cell>
          <cell r="C918">
            <v>-56839980</v>
          </cell>
        </row>
        <row r="919">
          <cell r="A919" t="str">
            <v/>
          </cell>
          <cell r="B919" t="str">
            <v>Total Fondo de Empleados</v>
          </cell>
          <cell r="C919">
            <v>-56839980</v>
          </cell>
        </row>
        <row r="920">
          <cell r="A920" t="str">
            <v/>
          </cell>
          <cell r="B920" t="str">
            <v>Total 2450 Retenciones y aportes de Nomina</v>
          </cell>
          <cell r="C920">
            <v>-61952793</v>
          </cell>
        </row>
        <row r="921">
          <cell r="A921" t="str">
            <v/>
          </cell>
          <cell r="B921" t="str">
            <v>2465. Remanentes Por pagar</v>
          </cell>
          <cell r="C921">
            <v>0</v>
          </cell>
        </row>
        <row r="922">
          <cell r="A922" t="str">
            <v/>
          </cell>
          <cell r="B922" t="str">
            <v>246505. De aportes Exasociados</v>
          </cell>
          <cell r="C922">
            <v>0</v>
          </cell>
        </row>
        <row r="923">
          <cell r="A923" t="str">
            <v>246505002</v>
          </cell>
          <cell r="B923" t="str">
            <v>246505002 SALDOS A FAVOR EX - ASOCIADOS MERCADEO</v>
          </cell>
          <cell r="C923">
            <v>-194254866</v>
          </cell>
        </row>
        <row r="924">
          <cell r="A924" t="str">
            <v/>
          </cell>
          <cell r="B924" t="str">
            <v>Total De aportes Exasociados</v>
          </cell>
          <cell r="C924">
            <v>-194254866</v>
          </cell>
        </row>
        <row r="925">
          <cell r="A925" t="str">
            <v/>
          </cell>
          <cell r="B925" t="str">
            <v>246510. De deposito Exasociado</v>
          </cell>
          <cell r="C925">
            <v>0</v>
          </cell>
        </row>
        <row r="926">
          <cell r="A926" t="str">
            <v>246510001</v>
          </cell>
          <cell r="B926" t="str">
            <v>246510001 EX - ASOCIADOS AYC</v>
          </cell>
          <cell r="C926">
            <v>0</v>
          </cell>
        </row>
        <row r="927">
          <cell r="A927" t="str">
            <v/>
          </cell>
          <cell r="B927" t="str">
            <v>Total De deposito Exasociado</v>
          </cell>
          <cell r="C927">
            <v>0</v>
          </cell>
        </row>
        <row r="928">
          <cell r="A928" t="str">
            <v/>
          </cell>
          <cell r="B928" t="str">
            <v>Total 2465 Remanentes Por pagar</v>
          </cell>
          <cell r="C928">
            <v>-194254866</v>
          </cell>
        </row>
        <row r="929">
          <cell r="A929" t="str">
            <v/>
          </cell>
          <cell r="B929" t="str">
            <v>2495. Diversas</v>
          </cell>
          <cell r="C929">
            <v>0</v>
          </cell>
        </row>
        <row r="930">
          <cell r="A930" t="str">
            <v/>
          </cell>
          <cell r="B930" t="str">
            <v>249510. Nomina</v>
          </cell>
          <cell r="C930">
            <v>0</v>
          </cell>
        </row>
        <row r="931">
          <cell r="A931" t="str">
            <v>249510000</v>
          </cell>
          <cell r="B931" t="str">
            <v>249510000 NOMINA POR PAGAR</v>
          </cell>
          <cell r="C931">
            <v>0</v>
          </cell>
        </row>
        <row r="932">
          <cell r="A932" t="str">
            <v/>
          </cell>
          <cell r="B932" t="str">
            <v>Total Nomina</v>
          </cell>
          <cell r="C932">
            <v>0</v>
          </cell>
        </row>
        <row r="933">
          <cell r="A933" t="str">
            <v/>
          </cell>
          <cell r="B933" t="str">
            <v>249595. Otras</v>
          </cell>
          <cell r="C933">
            <v>0</v>
          </cell>
        </row>
        <row r="934">
          <cell r="A934" t="str">
            <v>249595000</v>
          </cell>
          <cell r="B934" t="str">
            <v>249595000 GASTOS CAUSADOS</v>
          </cell>
          <cell r="C934">
            <v>0</v>
          </cell>
        </row>
        <row r="935">
          <cell r="A935" t="str">
            <v>249595001</v>
          </cell>
          <cell r="B935" t="str">
            <v>249595001 GASTOS CAUSADOS AYC</v>
          </cell>
          <cell r="C935">
            <v>-8526243</v>
          </cell>
        </row>
        <row r="936">
          <cell r="A936" t="str">
            <v>249595002</v>
          </cell>
          <cell r="B936" t="str">
            <v>249595002 CUENTA POR PAGAR CAJA MENOR</v>
          </cell>
          <cell r="C936">
            <v>0</v>
          </cell>
        </row>
        <row r="937">
          <cell r="A937" t="str">
            <v>249595012</v>
          </cell>
          <cell r="B937" t="str">
            <v>249595012 CUENTA POR PAGAR CAJA MENOR</v>
          </cell>
          <cell r="C937">
            <v>4004916</v>
          </cell>
        </row>
        <row r="938">
          <cell r="A938" t="str">
            <v>249595013</v>
          </cell>
          <cell r="B938" t="str">
            <v>249595013 DTO ESPECIAL EN COMPRAS POR PAGAR A ASOCIADOS</v>
          </cell>
          <cell r="C938">
            <v>1</v>
          </cell>
        </row>
        <row r="939">
          <cell r="A939" t="str">
            <v>249595061</v>
          </cell>
          <cell r="B939" t="str">
            <v>249595061 OTROS APORTES DESCONTADOS Y NO TRASLADOS</v>
          </cell>
          <cell r="C939">
            <v>-139524</v>
          </cell>
        </row>
        <row r="940">
          <cell r="A940" t="str">
            <v>249595062</v>
          </cell>
          <cell r="B940" t="str">
            <v>249595062 TRASLADO DE PASIVO ESTIMADOS AL CIERRE DE PERIODO</v>
          </cell>
          <cell r="C940">
            <v>0</v>
          </cell>
        </row>
        <row r="941">
          <cell r="A941" t="str">
            <v/>
          </cell>
          <cell r="B941" t="str">
            <v>Total Otras</v>
          </cell>
          <cell r="C941">
            <v>-4660850</v>
          </cell>
        </row>
        <row r="942">
          <cell r="A942" t="str">
            <v/>
          </cell>
          <cell r="B942" t="str">
            <v>Total 2495 Diversas</v>
          </cell>
          <cell r="C942">
            <v>-4660850</v>
          </cell>
        </row>
        <row r="943">
          <cell r="A943" t="str">
            <v/>
          </cell>
          <cell r="B943" t="str">
            <v>Total 24. Cuentas Por Pagar</v>
          </cell>
          <cell r="C943">
            <v>-53189556894</v>
          </cell>
        </row>
        <row r="944">
          <cell r="A944" t="str">
            <v/>
          </cell>
          <cell r="B944" t="str">
            <v>25. Impuestos,Gravamenes y Tasas</v>
          </cell>
          <cell r="C944">
            <v>0</v>
          </cell>
        </row>
        <row r="945">
          <cell r="A945" t="str">
            <v/>
          </cell>
          <cell r="B945" t="str">
            <v>2510. Impuesto a las ventas por pagar</v>
          </cell>
          <cell r="C945">
            <v>0</v>
          </cell>
        </row>
        <row r="946">
          <cell r="A946" t="str">
            <v/>
          </cell>
          <cell r="B946" t="str">
            <v>Total Impuesto a las ventas generado</v>
          </cell>
          <cell r="C946">
            <v>0</v>
          </cell>
        </row>
        <row r="947">
          <cell r="A947" t="str">
            <v>251001001</v>
          </cell>
          <cell r="B947" t="str">
            <v>251001001 GENERACIÓN-FACTURACIÓN Y OTROS   IVA 10%</v>
          </cell>
          <cell r="C947">
            <v>-15536353</v>
          </cell>
        </row>
        <row r="948">
          <cell r="A948" t="str">
            <v>251001002</v>
          </cell>
          <cell r="B948" t="str">
            <v>251001002 GENERACIÓN-FACTURACIÓN Y OTROS   IVA 16%</v>
          </cell>
          <cell r="C948">
            <v>-1477480089</v>
          </cell>
        </row>
        <row r="949">
          <cell r="A949" t="str">
            <v>251001007</v>
          </cell>
          <cell r="B949" t="str">
            <v>251001007 GENERACIÓN-FACTURACIÓN Y OTROS   IVA 7%</v>
          </cell>
          <cell r="C949">
            <v>0</v>
          </cell>
        </row>
        <row r="950">
          <cell r="A950" t="str">
            <v>251001009</v>
          </cell>
          <cell r="B950" t="str">
            <v>251001009 *GENERACIÓN-FACTURACIÓN Y OTROS   IVA 16%</v>
          </cell>
          <cell r="C950">
            <v>0</v>
          </cell>
        </row>
        <row r="951">
          <cell r="A951" t="str">
            <v>251001012</v>
          </cell>
          <cell r="B951" t="str">
            <v>251001012 GENERACIÓN-FACTURACIÓN Y OTROS   IVA 0%</v>
          </cell>
          <cell r="C951">
            <v>-55941</v>
          </cell>
        </row>
        <row r="952">
          <cell r="A952" t="str">
            <v>251001016</v>
          </cell>
          <cell r="B952" t="str">
            <v>251001016 CUENTA TRANSITORIA DE  IVA AYC</v>
          </cell>
          <cell r="C952">
            <v>0</v>
          </cell>
        </row>
        <row r="953">
          <cell r="A953" t="str">
            <v/>
          </cell>
          <cell r="B953" t="str">
            <v>Total Impuesto a las ventas generado</v>
          </cell>
          <cell r="C953">
            <v>-1493072383</v>
          </cell>
        </row>
        <row r="954">
          <cell r="A954" t="str">
            <v/>
          </cell>
          <cell r="B954" t="str">
            <v>Total Impuesto a las ventas descontables</v>
          </cell>
          <cell r="C954">
            <v>0</v>
          </cell>
        </row>
        <row r="955">
          <cell r="A955" t="str">
            <v>251001051</v>
          </cell>
          <cell r="B955" t="str">
            <v>251001051 DESCONTABLE COMPRAS NACIONALES  IVA 10%</v>
          </cell>
          <cell r="C955">
            <v>16083987</v>
          </cell>
        </row>
        <row r="956">
          <cell r="A956" t="str">
            <v>251001052</v>
          </cell>
          <cell r="B956" t="str">
            <v>251001052 DESCONTABLE COMPRAS NACIONALES   IVA 16%</v>
          </cell>
          <cell r="C956">
            <v>1563011906</v>
          </cell>
        </row>
        <row r="957">
          <cell r="A957" t="str">
            <v>251001053</v>
          </cell>
          <cell r="B957" t="str">
            <v>251001053 DESCONTABLE COMPRAS NACIONALES  IVA  20%</v>
          </cell>
          <cell r="C957">
            <v>45451</v>
          </cell>
        </row>
        <row r="958">
          <cell r="A958" t="str">
            <v>251001056</v>
          </cell>
          <cell r="B958" t="str">
            <v>251001056 DESCONTABLE COMPRAS NACIONALES   IVA 7%</v>
          </cell>
          <cell r="C958">
            <v>0</v>
          </cell>
        </row>
        <row r="959">
          <cell r="A959" t="str">
            <v>251001057</v>
          </cell>
          <cell r="B959" t="str">
            <v>251001057 IMPUESTO DESCONTABLE IVA RETENIDO</v>
          </cell>
          <cell r="C959">
            <v>4569839</v>
          </cell>
        </row>
        <row r="960">
          <cell r="A960" t="str">
            <v>251001060</v>
          </cell>
          <cell r="B960" t="str">
            <v>251001060 CUENTA TRANSITORIA IVA</v>
          </cell>
          <cell r="C960">
            <v>71361506</v>
          </cell>
        </row>
        <row r="961">
          <cell r="A961" t="str">
            <v>251001070</v>
          </cell>
          <cell r="B961" t="str">
            <v>251001070 * CUENTA TRANSITORIA IVA</v>
          </cell>
          <cell r="C961">
            <v>4947741</v>
          </cell>
        </row>
        <row r="962">
          <cell r="A962" t="str">
            <v>251001072</v>
          </cell>
          <cell r="B962" t="str">
            <v>251001072 * GENERACIÓN-FACTURACIÓN Y OTROS   IVA 16%</v>
          </cell>
          <cell r="C962">
            <v>-213321</v>
          </cell>
        </row>
        <row r="963">
          <cell r="A963" t="str">
            <v>251001082</v>
          </cell>
          <cell r="B963" t="str">
            <v>251001082 * DESCONTABLE COMPRAS NACIONALES   IVA 16%</v>
          </cell>
          <cell r="C963">
            <v>0</v>
          </cell>
        </row>
        <row r="964">
          <cell r="A964" t="str">
            <v>251001098</v>
          </cell>
          <cell r="B964" t="str">
            <v>251001098 CANCELACIÓN  DE IVA</v>
          </cell>
          <cell r="C964">
            <v>257635674</v>
          </cell>
        </row>
        <row r="965">
          <cell r="A965" t="str">
            <v/>
          </cell>
          <cell r="B965" t="str">
            <v>Total Impuesto a las ventas descontables</v>
          </cell>
          <cell r="C965">
            <v>1917442783</v>
          </cell>
        </row>
        <row r="966">
          <cell r="A966" t="str">
            <v/>
          </cell>
          <cell r="B966" t="str">
            <v>Total 2510 Impuesto a las ventas por pagar</v>
          </cell>
          <cell r="C966">
            <v>424370400</v>
          </cell>
        </row>
        <row r="967">
          <cell r="A967" t="str">
            <v/>
          </cell>
          <cell r="B967" t="str">
            <v>Total 25. Impuestos,Gravamenes y Tasas</v>
          </cell>
          <cell r="C967">
            <v>424370400</v>
          </cell>
        </row>
        <row r="968">
          <cell r="A968" t="str">
            <v/>
          </cell>
          <cell r="B968" t="str">
            <v>26. Fondos Sociales, Mutuales y otros</v>
          </cell>
          <cell r="C968">
            <v>0</v>
          </cell>
        </row>
        <row r="969">
          <cell r="A969" t="str">
            <v/>
          </cell>
          <cell r="B969" t="str">
            <v>2605. Fondo social de educacion</v>
          </cell>
          <cell r="C969">
            <v>0</v>
          </cell>
        </row>
        <row r="970">
          <cell r="A970" t="str">
            <v/>
          </cell>
          <cell r="B970" t="str">
            <v>260505. Fondo Social de Educacion</v>
          </cell>
          <cell r="C970">
            <v>0</v>
          </cell>
        </row>
        <row r="971">
          <cell r="A971" t="str">
            <v>260505001</v>
          </cell>
          <cell r="B971" t="str">
            <v>260505001 FONDOS PARA EDUCACIÓN</v>
          </cell>
          <cell r="C971">
            <v>-466769035</v>
          </cell>
        </row>
        <row r="972">
          <cell r="A972" t="str">
            <v/>
          </cell>
          <cell r="B972" t="str">
            <v>Total Fondo Social de Educacion</v>
          </cell>
          <cell r="C972">
            <v>-466769035</v>
          </cell>
        </row>
        <row r="973">
          <cell r="A973" t="str">
            <v/>
          </cell>
          <cell r="B973" t="str">
            <v>Total 2605 Fondo social de educacion</v>
          </cell>
          <cell r="C973">
            <v>-466769035</v>
          </cell>
        </row>
        <row r="974">
          <cell r="A974" t="str">
            <v/>
          </cell>
          <cell r="B974" t="str">
            <v>2610. Fondo social de solidaridad</v>
          </cell>
          <cell r="C974">
            <v>0</v>
          </cell>
        </row>
        <row r="975">
          <cell r="A975" t="str">
            <v/>
          </cell>
          <cell r="B975" t="str">
            <v>261005. Fondo Social de solidaridad</v>
          </cell>
          <cell r="C975">
            <v>0</v>
          </cell>
        </row>
        <row r="976">
          <cell r="A976" t="str">
            <v>261005001</v>
          </cell>
          <cell r="B976" t="str">
            <v>261005001 FONDO PARA SOLIDARIDAD</v>
          </cell>
          <cell r="C976">
            <v>-149284053</v>
          </cell>
        </row>
        <row r="977">
          <cell r="A977" t="str">
            <v/>
          </cell>
          <cell r="B977" t="str">
            <v>Total  Fondo Social de solidaridad</v>
          </cell>
          <cell r="C977">
            <v>-149284053</v>
          </cell>
        </row>
        <row r="978">
          <cell r="A978" t="str">
            <v/>
          </cell>
          <cell r="B978" t="str">
            <v>Total 2610 Fondo social de solidaridad</v>
          </cell>
          <cell r="C978">
            <v>-149284053</v>
          </cell>
        </row>
        <row r="979">
          <cell r="A979" t="str">
            <v/>
          </cell>
          <cell r="B979" t="str">
            <v>2648. Fondo social para otros fines</v>
          </cell>
          <cell r="C979">
            <v>0</v>
          </cell>
        </row>
        <row r="980">
          <cell r="A980" t="str">
            <v/>
          </cell>
          <cell r="B980" t="str">
            <v>264805. Fondo Social para otros fines</v>
          </cell>
          <cell r="C980">
            <v>0</v>
          </cell>
        </row>
        <row r="981">
          <cell r="A981" t="str">
            <v>264805001</v>
          </cell>
          <cell r="B981" t="str">
            <v>264805001 FONDO PARA ASISTENCIA TECNICA Y FOMENTO EMPRESARIA</v>
          </cell>
          <cell r="C981">
            <v>-59595088</v>
          </cell>
        </row>
        <row r="982">
          <cell r="A982" t="str">
            <v>264805002</v>
          </cell>
          <cell r="B982" t="str">
            <v>264805002 FONDO PARA ACTIVIDADES DE CAPACITACION</v>
          </cell>
          <cell r="C982">
            <v>-99892165</v>
          </cell>
        </row>
        <row r="983">
          <cell r="A983" t="str">
            <v/>
          </cell>
          <cell r="B983" t="str">
            <v>Total  Fondo  Social para otros fines</v>
          </cell>
          <cell r="C983">
            <v>-159487253</v>
          </cell>
        </row>
        <row r="984">
          <cell r="A984" t="str">
            <v/>
          </cell>
          <cell r="B984" t="str">
            <v>Total .2648 Fondo social para otros fines</v>
          </cell>
          <cell r="C984">
            <v>-159487253</v>
          </cell>
        </row>
        <row r="985">
          <cell r="A985" t="str">
            <v/>
          </cell>
          <cell r="B985" t="str">
            <v>Total 26. Fondos Sociales, Mutuales y otros</v>
          </cell>
          <cell r="C985">
            <v>-775540341</v>
          </cell>
        </row>
        <row r="986">
          <cell r="A986" t="str">
            <v/>
          </cell>
          <cell r="B986" t="str">
            <v>27. Otros Pasivos</v>
          </cell>
          <cell r="C986">
            <v>0</v>
          </cell>
        </row>
        <row r="987">
          <cell r="A987" t="str">
            <v/>
          </cell>
          <cell r="B987" t="str">
            <v>2710. Obligaciones laborales</v>
          </cell>
          <cell r="C987">
            <v>0</v>
          </cell>
        </row>
        <row r="988">
          <cell r="A988" t="str">
            <v/>
          </cell>
          <cell r="B988" t="str">
            <v>271010. Cesantias consolidadas</v>
          </cell>
          <cell r="C988">
            <v>0</v>
          </cell>
        </row>
        <row r="989">
          <cell r="A989" t="str">
            <v>271010002</v>
          </cell>
          <cell r="B989" t="str">
            <v>271010002 CESANTIAS CONSOLIDADAS</v>
          </cell>
          <cell r="C989">
            <v>0</v>
          </cell>
        </row>
        <row r="990">
          <cell r="A990" t="str">
            <v/>
          </cell>
          <cell r="B990" t="str">
            <v>Total Cesantias consolidadas</v>
          </cell>
          <cell r="C990">
            <v>0</v>
          </cell>
        </row>
        <row r="991">
          <cell r="A991" t="str">
            <v/>
          </cell>
          <cell r="B991" t="str">
            <v>271015. Intereses sobre Cesantias</v>
          </cell>
          <cell r="C991">
            <v>0</v>
          </cell>
        </row>
        <row r="992">
          <cell r="A992" t="str">
            <v>271015002</v>
          </cell>
          <cell r="B992" t="str">
            <v>271015002 INT/CESANTIAS CONSOLIDADAS</v>
          </cell>
          <cell r="C992">
            <v>0</v>
          </cell>
        </row>
        <row r="993">
          <cell r="A993" t="str">
            <v/>
          </cell>
          <cell r="B993" t="str">
            <v>Total Intereses sobre Cesantias</v>
          </cell>
          <cell r="C993">
            <v>0</v>
          </cell>
        </row>
        <row r="994">
          <cell r="A994" t="str">
            <v/>
          </cell>
          <cell r="B994" t="str">
            <v>271025. Vacaciones Consolidadas</v>
          </cell>
          <cell r="C994">
            <v>0</v>
          </cell>
        </row>
        <row r="995">
          <cell r="A995" t="str">
            <v>271025002</v>
          </cell>
          <cell r="B995" t="str">
            <v>271025002 VACACIONES CONSOLIDADAS</v>
          </cell>
          <cell r="C995">
            <v>-210227663</v>
          </cell>
        </row>
        <row r="996">
          <cell r="A996" t="str">
            <v/>
          </cell>
          <cell r="B996" t="str">
            <v>Total Vacaciones Consolidadas</v>
          </cell>
          <cell r="C996">
            <v>-210227663</v>
          </cell>
        </row>
        <row r="997">
          <cell r="A997" t="str">
            <v/>
          </cell>
          <cell r="B997" t="str">
            <v>271095. Otras Prestaciones sociales</v>
          </cell>
          <cell r="C997">
            <v>0</v>
          </cell>
        </row>
        <row r="998">
          <cell r="A998" t="str">
            <v>271095002</v>
          </cell>
          <cell r="B998" t="str">
            <v>271095002 AUXILIO DE VACACIONES</v>
          </cell>
          <cell r="C998">
            <v>-89186396</v>
          </cell>
        </row>
        <row r="999">
          <cell r="A999" t="str">
            <v/>
          </cell>
          <cell r="B999" t="str">
            <v>Total Otras Prestaciones sociales</v>
          </cell>
          <cell r="C999">
            <v>-89186396</v>
          </cell>
        </row>
        <row r="1000">
          <cell r="A1000" t="str">
            <v/>
          </cell>
          <cell r="B1000" t="str">
            <v>Total 2710 Obligaciones laborales</v>
          </cell>
          <cell r="C1000">
            <v>-299414059</v>
          </cell>
        </row>
        <row r="1001">
          <cell r="A1001" t="str">
            <v/>
          </cell>
          <cell r="B1001" t="str">
            <v>2725. Ingresos Anticipados</v>
          </cell>
          <cell r="C1001">
            <v>0</v>
          </cell>
        </row>
        <row r="1002">
          <cell r="A1002" t="str">
            <v/>
          </cell>
          <cell r="B1002" t="str">
            <v>272505. Intereses</v>
          </cell>
          <cell r="C1002">
            <v>0</v>
          </cell>
        </row>
        <row r="1003">
          <cell r="A1003" t="str">
            <v>272505001</v>
          </cell>
          <cell r="B1003" t="str">
            <v>272505001 INT. SOBRE PRESTAMOS LÍNEA DORADA            A y C</v>
          </cell>
          <cell r="C1003">
            <v>0</v>
          </cell>
        </row>
        <row r="1004">
          <cell r="A1004" t="str">
            <v/>
          </cell>
          <cell r="B1004" t="str">
            <v>Total Intereses</v>
          </cell>
          <cell r="C1004">
            <v>0</v>
          </cell>
        </row>
        <row r="1005">
          <cell r="A1005" t="str">
            <v/>
          </cell>
          <cell r="B1005" t="str">
            <v>272595. Otros</v>
          </cell>
          <cell r="C1005">
            <v>0</v>
          </cell>
        </row>
        <row r="1006">
          <cell r="A1006" t="str">
            <v>272595001</v>
          </cell>
          <cell r="B1006" t="str">
            <v>272595001 INGRESOS RECIBIDOS X ANTICIPADO PROVEEDORES</v>
          </cell>
          <cell r="C1006">
            <v>-65484594</v>
          </cell>
        </row>
        <row r="1007">
          <cell r="A1007" t="str">
            <v/>
          </cell>
          <cell r="B1007" t="str">
            <v>Total Otros</v>
          </cell>
          <cell r="C1007">
            <v>-65484594</v>
          </cell>
        </row>
        <row r="1008">
          <cell r="A1008" t="str">
            <v/>
          </cell>
          <cell r="B1008" t="str">
            <v>Total 2725 Ingresos Anticipados</v>
          </cell>
          <cell r="C1008">
            <v>-65484594</v>
          </cell>
        </row>
        <row r="1009">
          <cell r="A1009" t="str">
            <v/>
          </cell>
          <cell r="B1009" t="str">
            <v>Total 27. Otros Pasivos</v>
          </cell>
          <cell r="C1009">
            <v>-364898653</v>
          </cell>
        </row>
        <row r="1010">
          <cell r="A1010" t="str">
            <v/>
          </cell>
          <cell r="B1010" t="str">
            <v>28. Pasivos Estimados Y Provisiones</v>
          </cell>
          <cell r="C1010">
            <v>0</v>
          </cell>
        </row>
        <row r="1011">
          <cell r="A1011" t="str">
            <v/>
          </cell>
          <cell r="B1011" t="str">
            <v>2810. Para Costos y gastos</v>
          </cell>
          <cell r="C1011">
            <v>0</v>
          </cell>
        </row>
        <row r="1012">
          <cell r="A1012" t="str">
            <v/>
          </cell>
          <cell r="B1012" t="str">
            <v>281025. Trasportes,fletes y acarreos</v>
          </cell>
          <cell r="C1012">
            <v>0</v>
          </cell>
        </row>
        <row r="1013">
          <cell r="A1013" t="str">
            <v>281025000</v>
          </cell>
          <cell r="B1013" t="str">
            <v>281025000 GTOS ESTIMADOS TRANSPORTE FLETES Y ACARREOS</v>
          </cell>
          <cell r="C1013">
            <v>-191485449</v>
          </cell>
        </row>
        <row r="1014">
          <cell r="A1014" t="str">
            <v>281025001</v>
          </cell>
          <cell r="B1014" t="str">
            <v>281025001 GTOS ESTIMADOS TRANSP.FLETES Y ACARREOS AYC</v>
          </cell>
          <cell r="C1014">
            <v>-2370610</v>
          </cell>
        </row>
        <row r="1015">
          <cell r="A1015" t="str">
            <v/>
          </cell>
          <cell r="B1015" t="str">
            <v>Total Trasportes,fletes y acarreos</v>
          </cell>
          <cell r="C1015">
            <v>-193856059</v>
          </cell>
        </row>
        <row r="1016">
          <cell r="A1016" t="str">
            <v/>
          </cell>
          <cell r="B1016" t="str">
            <v>281035. Servicios publicos</v>
          </cell>
          <cell r="C1016">
            <v>0</v>
          </cell>
        </row>
        <row r="1017">
          <cell r="A1017" t="str">
            <v>281035000</v>
          </cell>
          <cell r="B1017" t="str">
            <v>281035000 GTOS ESTIMADOS SERVICIOS PUBLICOS</v>
          </cell>
          <cell r="C1017">
            <v>-177902537</v>
          </cell>
        </row>
        <row r="1018">
          <cell r="A1018" t="str">
            <v/>
          </cell>
          <cell r="B1018" t="str">
            <v>Total Servicios publicos</v>
          </cell>
          <cell r="C1018">
            <v>-177902537</v>
          </cell>
        </row>
        <row r="1019">
          <cell r="A1019" t="str">
            <v/>
          </cell>
          <cell r="B1019" t="str">
            <v>281055. Arrendamientos</v>
          </cell>
          <cell r="C1019">
            <v>0</v>
          </cell>
        </row>
        <row r="1020">
          <cell r="A1020" t="str">
            <v>281055000</v>
          </cell>
          <cell r="B1020" t="str">
            <v>281055000 GTOS ESTIMADOS POR ARRENDAMIENTOS</v>
          </cell>
          <cell r="C1020">
            <v>0</v>
          </cell>
        </row>
        <row r="1021">
          <cell r="A1021" t="str">
            <v/>
          </cell>
          <cell r="B1021" t="str">
            <v>Total Arrendamientos</v>
          </cell>
          <cell r="C1021">
            <v>0</v>
          </cell>
        </row>
        <row r="1022">
          <cell r="A1022" t="str">
            <v/>
          </cell>
          <cell r="B1022" t="str">
            <v>281060. Contribuciones y Afiliaciones</v>
          </cell>
          <cell r="C1022">
            <v>0</v>
          </cell>
        </row>
        <row r="1023">
          <cell r="A1023" t="str">
            <v>281060000</v>
          </cell>
          <cell r="B1023" t="str">
            <v>281060000 GTOS ESTIMADOS POR CONTRIBUCIONES Y AFILIACIONES</v>
          </cell>
          <cell r="C1023">
            <v>0</v>
          </cell>
        </row>
        <row r="1024">
          <cell r="A1024" t="str">
            <v/>
          </cell>
          <cell r="B1024" t="str">
            <v>Total Contribuciones y Afiliaciones</v>
          </cell>
          <cell r="C1024">
            <v>0</v>
          </cell>
        </row>
        <row r="1025">
          <cell r="A1025" t="str">
            <v/>
          </cell>
          <cell r="B1025" t="str">
            <v>281065. Servicios varios</v>
          </cell>
          <cell r="C1025">
            <v>0</v>
          </cell>
        </row>
        <row r="1026">
          <cell r="A1026" t="str">
            <v>281065000</v>
          </cell>
          <cell r="B1026" t="str">
            <v>281065000 GTOS ESTIMADOS POR SERVICIOS VARIOS</v>
          </cell>
          <cell r="C1026">
            <v>-146588328</v>
          </cell>
        </row>
        <row r="1027">
          <cell r="A1027" t="str">
            <v/>
          </cell>
          <cell r="B1027" t="str">
            <v>Total Servicios varios</v>
          </cell>
          <cell r="C1027">
            <v>-146588328</v>
          </cell>
        </row>
        <row r="1028">
          <cell r="A1028" t="str">
            <v/>
          </cell>
          <cell r="B1028" t="str">
            <v>281095. Otros</v>
          </cell>
          <cell r="C1028">
            <v>0</v>
          </cell>
        </row>
        <row r="1029">
          <cell r="A1029" t="str">
            <v>281095011</v>
          </cell>
          <cell r="B1029" t="str">
            <v>281095011 OTROS GASTOS ESTIMADOS</v>
          </cell>
          <cell r="C1029">
            <v>-15142179</v>
          </cell>
        </row>
        <row r="1030">
          <cell r="A1030" t="str">
            <v>281095012</v>
          </cell>
          <cell r="B1030" t="str">
            <v>281095012 OTROS ESTIMADOS DESCUENTO ESPECIAL EN COMPRAS</v>
          </cell>
          <cell r="C1030">
            <v>-4890386000</v>
          </cell>
        </row>
        <row r="1031">
          <cell r="A1031" t="str">
            <v>281095013</v>
          </cell>
          <cell r="B1031" t="str">
            <v>281095013 OTROS ESTIMADOS ALTO COSTO</v>
          </cell>
          <cell r="C1031">
            <v>-165401008</v>
          </cell>
        </row>
        <row r="1032">
          <cell r="A1032" t="str">
            <v>281095017</v>
          </cell>
          <cell r="B1032" t="str">
            <v>281095017 OTROS ESTIMADOS FIDELIDAD</v>
          </cell>
          <cell r="C1032">
            <v>0</v>
          </cell>
        </row>
        <row r="1033">
          <cell r="A1033" t="str">
            <v>281095018</v>
          </cell>
          <cell r="B1033" t="str">
            <v>281095018 OTROS ESTIMADOS PLANES COMERCIALES</v>
          </cell>
          <cell r="C1033">
            <v>-820043039</v>
          </cell>
        </row>
        <row r="1034">
          <cell r="A1034" t="str">
            <v>281095019</v>
          </cell>
          <cell r="B1034" t="str">
            <v>281095019 OTROS ESTIMADOS EVENTOS PLANES PROMOCIONALES</v>
          </cell>
          <cell r="C1034">
            <v>-793252913</v>
          </cell>
        </row>
        <row r="1035">
          <cell r="A1035" t="str">
            <v>281095020</v>
          </cell>
          <cell r="B1035" t="str">
            <v>281095020 OTROS ESTIMADOS ESCICION AYC</v>
          </cell>
          <cell r="C1035">
            <v>-405427494</v>
          </cell>
        </row>
        <row r="1036">
          <cell r="A1036" t="str">
            <v>281095050</v>
          </cell>
          <cell r="B1036" t="str">
            <v>281095050 OTROS ESTIMADOS GASTOS BANCARIOS</v>
          </cell>
          <cell r="C1036">
            <v>-42358179</v>
          </cell>
        </row>
        <row r="1037">
          <cell r="A1037" t="str">
            <v/>
          </cell>
          <cell r="B1037" t="str">
            <v>Total Otros</v>
          </cell>
          <cell r="C1037">
            <v>-7132010812</v>
          </cell>
        </row>
        <row r="1038">
          <cell r="A1038" t="str">
            <v/>
          </cell>
          <cell r="B1038" t="str">
            <v>Total 2810 Para Costos y gastos</v>
          </cell>
          <cell r="C1038">
            <v>-7650357736</v>
          </cell>
        </row>
        <row r="1039">
          <cell r="A1039" t="str">
            <v/>
          </cell>
          <cell r="B1039" t="str">
            <v>2820. Para Mantenimiento y reparaciones</v>
          </cell>
          <cell r="C1039">
            <v>0</v>
          </cell>
        </row>
        <row r="1040">
          <cell r="A1040" t="str">
            <v/>
          </cell>
          <cell r="B1040" t="str">
            <v>282025. Equipo de computacion y comunicacion</v>
          </cell>
          <cell r="C1040">
            <v>0</v>
          </cell>
        </row>
        <row r="1041">
          <cell r="A1041" t="str">
            <v>282025001</v>
          </cell>
          <cell r="B1041" t="str">
            <v>282025001 GTOS ESTIMADOS EQ. COMPUTO Y COMUNICACION</v>
          </cell>
          <cell r="C1041">
            <v>-12129999</v>
          </cell>
        </row>
        <row r="1042">
          <cell r="A1042" t="str">
            <v/>
          </cell>
          <cell r="B1042" t="str">
            <v>Total Equipo de computacion y comunicaciones</v>
          </cell>
          <cell r="C1042">
            <v>-12129999</v>
          </cell>
        </row>
        <row r="1043">
          <cell r="A1043" t="str">
            <v/>
          </cell>
          <cell r="B1043" t="str">
            <v>Total 2820 Para Mantenimiento y reparaciones</v>
          </cell>
          <cell r="C1043">
            <v>-12129999</v>
          </cell>
        </row>
        <row r="1044">
          <cell r="A1044" t="str">
            <v/>
          </cell>
          <cell r="B1044" t="str">
            <v>2825. Obligaciones laborales</v>
          </cell>
          <cell r="C1044">
            <v>0</v>
          </cell>
        </row>
        <row r="1045">
          <cell r="A1045" t="str">
            <v/>
          </cell>
          <cell r="B1045" t="str">
            <v>282505. Cesantias</v>
          </cell>
          <cell r="C1045">
            <v>0</v>
          </cell>
        </row>
        <row r="1046">
          <cell r="A1046" t="str">
            <v>282505001</v>
          </cell>
          <cell r="B1046" t="str">
            <v>282505001 CESANTIAS     AYC</v>
          </cell>
          <cell r="C1046">
            <v>0</v>
          </cell>
        </row>
        <row r="1047">
          <cell r="A1047" t="str">
            <v>282505002</v>
          </cell>
          <cell r="B1047" t="str">
            <v>282505002 CESANTIAS</v>
          </cell>
          <cell r="C1047">
            <v>-320792124</v>
          </cell>
        </row>
        <row r="1048">
          <cell r="A1048" t="str">
            <v/>
          </cell>
          <cell r="B1048" t="str">
            <v>Total Cesantias</v>
          </cell>
          <cell r="C1048">
            <v>-320792124</v>
          </cell>
        </row>
        <row r="1049">
          <cell r="A1049" t="str">
            <v/>
          </cell>
          <cell r="B1049" t="str">
            <v>282510. Intereses sobre cesantias</v>
          </cell>
          <cell r="C1049">
            <v>0</v>
          </cell>
        </row>
        <row r="1050">
          <cell r="A1050" t="str">
            <v>282510001</v>
          </cell>
          <cell r="B1050" t="str">
            <v>282510001 INTERESES SOBRE CESANTIAS AYC</v>
          </cell>
          <cell r="C1050">
            <v>0</v>
          </cell>
        </row>
        <row r="1051">
          <cell r="A1051" t="str">
            <v>282510002</v>
          </cell>
          <cell r="B1051" t="str">
            <v>282510002 INTERESES SOBRE CESANTIAS</v>
          </cell>
          <cell r="C1051">
            <v>-26447726</v>
          </cell>
        </row>
        <row r="1052">
          <cell r="A1052" t="str">
            <v/>
          </cell>
          <cell r="B1052" t="str">
            <v>Total Intereses sobre cesantias</v>
          </cell>
          <cell r="C1052">
            <v>-26447726</v>
          </cell>
        </row>
        <row r="1053">
          <cell r="A1053" t="str">
            <v/>
          </cell>
          <cell r="B1053" t="str">
            <v>282515. Vacaciones</v>
          </cell>
          <cell r="C1053">
            <v>0</v>
          </cell>
        </row>
        <row r="1054">
          <cell r="A1054" t="str">
            <v>282515002</v>
          </cell>
          <cell r="B1054" t="str">
            <v>282515002 VACACIONES</v>
          </cell>
          <cell r="C1054">
            <v>-125514234</v>
          </cell>
        </row>
        <row r="1055">
          <cell r="A1055" t="str">
            <v/>
          </cell>
          <cell r="B1055" t="str">
            <v>Total Vacaciones</v>
          </cell>
          <cell r="C1055">
            <v>-125514234</v>
          </cell>
        </row>
        <row r="1056">
          <cell r="A1056" t="str">
            <v/>
          </cell>
          <cell r="B1056" t="str">
            <v>282520. Prima Legal</v>
          </cell>
          <cell r="C1056">
            <v>0</v>
          </cell>
        </row>
        <row r="1057">
          <cell r="A1057" t="str">
            <v>282520002</v>
          </cell>
          <cell r="B1057" t="str">
            <v>282520002 PRIMA LEGAL</v>
          </cell>
          <cell r="C1057">
            <v>-127885115</v>
          </cell>
        </row>
        <row r="1058">
          <cell r="A1058" t="str">
            <v/>
          </cell>
          <cell r="B1058" t="str">
            <v>Total Prima Legal</v>
          </cell>
          <cell r="C1058">
            <v>-127885115</v>
          </cell>
        </row>
        <row r="1059">
          <cell r="A1059" t="str">
            <v/>
          </cell>
          <cell r="B1059" t="str">
            <v>282595. Otras prestaciones</v>
          </cell>
          <cell r="C1059">
            <v>0</v>
          </cell>
        </row>
        <row r="1060">
          <cell r="A1060" t="str">
            <v>282595008</v>
          </cell>
          <cell r="B1060" t="str">
            <v>282595008 ATENCION Y ESTIMULOS AYC</v>
          </cell>
          <cell r="C1060">
            <v>0</v>
          </cell>
        </row>
        <row r="1061">
          <cell r="A1061" t="str">
            <v>282595021</v>
          </cell>
          <cell r="B1061" t="str">
            <v>282595021 AUXILIO DE VACACIONES</v>
          </cell>
          <cell r="C1061">
            <v>-63306145</v>
          </cell>
        </row>
        <row r="1062">
          <cell r="A1062" t="str">
            <v>282595024</v>
          </cell>
          <cell r="B1062" t="str">
            <v>282595024 SERVICIO MEDICO</v>
          </cell>
          <cell r="C1062">
            <v>0</v>
          </cell>
        </row>
        <row r="1063">
          <cell r="A1063" t="str">
            <v>282595025</v>
          </cell>
          <cell r="B1063" t="str">
            <v>282595025 ATENCION Y ESTIMULOS Y DE INTEGRACION(PERSONAL)</v>
          </cell>
          <cell r="C1063">
            <v>-32580000</v>
          </cell>
        </row>
        <row r="1064">
          <cell r="A1064" t="str">
            <v>282595027</v>
          </cell>
          <cell r="B1064" t="str">
            <v>282595027 BONIFICACION DE NAVIDAD</v>
          </cell>
          <cell r="C1064">
            <v>-328218497</v>
          </cell>
        </row>
        <row r="1065">
          <cell r="A1065" t="str">
            <v>282595028</v>
          </cell>
          <cell r="B1065" t="str">
            <v>282595028 INDEMNIZACIONES</v>
          </cell>
          <cell r="C1065">
            <v>0</v>
          </cell>
        </row>
        <row r="1066">
          <cell r="A1066" t="str">
            <v/>
          </cell>
          <cell r="B1066" t="str">
            <v>Total Otras prestaciones</v>
          </cell>
          <cell r="C1066">
            <v>-424104642</v>
          </cell>
        </row>
        <row r="1067">
          <cell r="A1067" t="str">
            <v/>
          </cell>
          <cell r="B1067" t="str">
            <v>Total 2825 Obligaciones laborales</v>
          </cell>
          <cell r="C1067">
            <v>-1024743841</v>
          </cell>
        </row>
        <row r="1068">
          <cell r="A1068" t="str">
            <v/>
          </cell>
          <cell r="B1068" t="str">
            <v>2830. Impuestos</v>
          </cell>
          <cell r="C1068">
            <v>0</v>
          </cell>
        </row>
        <row r="1069">
          <cell r="A1069" t="str">
            <v/>
          </cell>
          <cell r="B1069" t="str">
            <v>283005. Renta Y Complementarios</v>
          </cell>
          <cell r="C1069">
            <v>0</v>
          </cell>
        </row>
        <row r="1070">
          <cell r="A1070" t="str">
            <v>283005000</v>
          </cell>
          <cell r="B1070" t="str">
            <v>283005000 IMPUESTO DE RENTA</v>
          </cell>
          <cell r="C1070">
            <v>0</v>
          </cell>
        </row>
        <row r="1071">
          <cell r="A1071" t="str">
            <v/>
          </cell>
          <cell r="B1071" t="str">
            <v>Total Renta Y Complementarios</v>
          </cell>
          <cell r="C1071">
            <v>0</v>
          </cell>
        </row>
        <row r="1072">
          <cell r="A1072" t="str">
            <v/>
          </cell>
          <cell r="B1072" t="str">
            <v>283010. Industria Comercio</v>
          </cell>
          <cell r="C1072">
            <v>0</v>
          </cell>
        </row>
        <row r="1073">
          <cell r="A1073" t="str">
            <v>283010001</v>
          </cell>
          <cell r="B1073" t="str">
            <v>283010001 INDUSTRIA Y COMERCIO BOGOTA</v>
          </cell>
          <cell r="C1073">
            <v>-186381410</v>
          </cell>
        </row>
        <row r="1074">
          <cell r="A1074" t="str">
            <v>283010002</v>
          </cell>
          <cell r="B1074" t="str">
            <v>283010002 INDUSTRIA Y COMERCIO BARRANQUILLA</v>
          </cell>
          <cell r="C1074">
            <v>-26763422</v>
          </cell>
        </row>
        <row r="1075">
          <cell r="A1075" t="str">
            <v>283010003</v>
          </cell>
          <cell r="B1075" t="str">
            <v>283010003 INDUSTRIA Y COMERCIO YUMBO</v>
          </cell>
          <cell r="C1075">
            <v>-3197249</v>
          </cell>
        </row>
        <row r="1076">
          <cell r="A1076" t="str">
            <v>283010004</v>
          </cell>
          <cell r="B1076" t="str">
            <v>283010004 INDUSTRIA Y COMERCIO LETICIA</v>
          </cell>
          <cell r="C1076">
            <v>-9801316</v>
          </cell>
        </row>
        <row r="1077">
          <cell r="A1077" t="str">
            <v/>
          </cell>
          <cell r="B1077" t="str">
            <v>Total Industria Comercio</v>
          </cell>
          <cell r="C1077">
            <v>-226143397</v>
          </cell>
        </row>
        <row r="1078">
          <cell r="A1078" t="str">
            <v/>
          </cell>
          <cell r="B1078" t="str">
            <v>283015. Predial</v>
          </cell>
          <cell r="C1078">
            <v>0</v>
          </cell>
        </row>
        <row r="1079">
          <cell r="A1079" t="str">
            <v>283015001</v>
          </cell>
          <cell r="B1079" t="str">
            <v>283015001 IMPUESTO PREDIAL BOGOTA</v>
          </cell>
          <cell r="C1079">
            <v>0</v>
          </cell>
        </row>
        <row r="1080">
          <cell r="A1080" t="str">
            <v>283015002</v>
          </cell>
          <cell r="B1080" t="str">
            <v>283015002 PREDIAL BARRANQUILLA</v>
          </cell>
          <cell r="C1080">
            <v>0</v>
          </cell>
        </row>
        <row r="1081">
          <cell r="A1081" t="str">
            <v/>
          </cell>
          <cell r="B1081" t="str">
            <v>Total Predial</v>
          </cell>
          <cell r="C1081">
            <v>0</v>
          </cell>
        </row>
        <row r="1082">
          <cell r="A1082" t="str">
            <v/>
          </cell>
          <cell r="B1082" t="str">
            <v>283095. Otros impuestos</v>
          </cell>
          <cell r="C1082">
            <v>0</v>
          </cell>
        </row>
        <row r="1083">
          <cell r="A1083" t="str">
            <v>283095001</v>
          </cell>
          <cell r="B1083" t="str">
            <v>283095001 OTROS  IMPUESTOS</v>
          </cell>
          <cell r="C1083">
            <v>-13850822</v>
          </cell>
        </row>
        <row r="1084">
          <cell r="A1084" t="str">
            <v>283095002</v>
          </cell>
          <cell r="B1084" t="str">
            <v>283095002 OTROS IMPUESTO AL PATRIMONIO</v>
          </cell>
          <cell r="C1084">
            <v>0</v>
          </cell>
        </row>
        <row r="1085">
          <cell r="A1085" t="str">
            <v/>
          </cell>
          <cell r="B1085" t="str">
            <v>Total Otros impuestos</v>
          </cell>
          <cell r="C1085">
            <v>-13850822</v>
          </cell>
        </row>
        <row r="1086">
          <cell r="A1086" t="str">
            <v/>
          </cell>
          <cell r="B1086" t="str">
            <v>Total 2830 Impuestos</v>
          </cell>
          <cell r="C1086">
            <v>-239994219</v>
          </cell>
        </row>
        <row r="1087">
          <cell r="A1087" t="str">
            <v/>
          </cell>
          <cell r="B1087" t="str">
            <v>2835. Contribuciones y afiliaciones</v>
          </cell>
          <cell r="C1087">
            <v>0</v>
          </cell>
        </row>
        <row r="1088">
          <cell r="A1088" t="str">
            <v/>
          </cell>
          <cell r="B1088" t="str">
            <v>283520. Fondo de garantias de entidades coop.</v>
          </cell>
          <cell r="C1088">
            <v>0</v>
          </cell>
        </row>
        <row r="1089">
          <cell r="A1089" t="str">
            <v>283520001</v>
          </cell>
          <cell r="B1089" t="str">
            <v>283520001 CONTRIBUCCION FOGACOOP</v>
          </cell>
          <cell r="C1089">
            <v>0</v>
          </cell>
        </row>
        <row r="1090">
          <cell r="A1090" t="str">
            <v/>
          </cell>
          <cell r="B1090" t="str">
            <v>Total Fondo de garantias de entidades coop.</v>
          </cell>
          <cell r="C1090">
            <v>0</v>
          </cell>
        </row>
        <row r="1091">
          <cell r="A1091" t="str">
            <v/>
          </cell>
          <cell r="B1091" t="str">
            <v>Total 2835 Contribuciones y afiliaciones</v>
          </cell>
          <cell r="C1091">
            <v>0</v>
          </cell>
        </row>
        <row r="1092">
          <cell r="A1092" t="str">
            <v/>
          </cell>
          <cell r="B1092" t="str">
            <v>2845. Multas y sanciones,litigios,indem.y dem</v>
          </cell>
          <cell r="C1092">
            <v>0</v>
          </cell>
        </row>
        <row r="1093">
          <cell r="A1093" t="str">
            <v/>
          </cell>
          <cell r="B1093" t="str">
            <v>284525. Demandas Laborales</v>
          </cell>
          <cell r="C1093">
            <v>0</v>
          </cell>
        </row>
        <row r="1094">
          <cell r="A1094" t="str">
            <v>284525000</v>
          </cell>
          <cell r="B1094" t="str">
            <v>284525000 DEMANDAS LABORALES</v>
          </cell>
          <cell r="C1094">
            <v>-35000000</v>
          </cell>
        </row>
        <row r="1095">
          <cell r="A1095" t="str">
            <v/>
          </cell>
          <cell r="B1095" t="str">
            <v>Total. Demandas Laborales</v>
          </cell>
          <cell r="C1095">
            <v>-35000000</v>
          </cell>
        </row>
        <row r="1096">
          <cell r="A1096" t="str">
            <v/>
          </cell>
          <cell r="B1096" t="str">
            <v>Total 2845 Multas y sanci,litigios,indem.dem</v>
          </cell>
          <cell r="C1096">
            <v>-35000000</v>
          </cell>
        </row>
        <row r="1097">
          <cell r="A1097" t="str">
            <v/>
          </cell>
          <cell r="B1097" t="str">
            <v>Total 28. Pasivos Estimados Y Provisiones</v>
          </cell>
          <cell r="C1097">
            <v>-8962225795</v>
          </cell>
        </row>
        <row r="1098">
          <cell r="A1098" t="str">
            <v/>
          </cell>
          <cell r="B1098" t="str">
            <v>Total 2 Pasivo</v>
          </cell>
          <cell r="C1098">
            <v>-85856203373</v>
          </cell>
        </row>
        <row r="1099">
          <cell r="A1099" t="str">
            <v/>
          </cell>
          <cell r="B1099" t="str">
            <v>3. Patrimonio</v>
          </cell>
          <cell r="C1099">
            <v>0</v>
          </cell>
        </row>
        <row r="1100">
          <cell r="A1100" t="str">
            <v/>
          </cell>
          <cell r="B1100" t="str">
            <v>31. Capital Social</v>
          </cell>
          <cell r="C1100">
            <v>0</v>
          </cell>
        </row>
        <row r="1101">
          <cell r="A1101" t="str">
            <v/>
          </cell>
          <cell r="B1101" t="str">
            <v>3105. Aportes Sociales</v>
          </cell>
          <cell r="C1101">
            <v>0</v>
          </cell>
        </row>
        <row r="1102">
          <cell r="A1102" t="str">
            <v/>
          </cell>
          <cell r="B1102" t="str">
            <v>310505. Aportes ordinarios</v>
          </cell>
          <cell r="C1102">
            <v>0</v>
          </cell>
        </row>
        <row r="1103">
          <cell r="A1103" t="str">
            <v>310505002</v>
          </cell>
          <cell r="B1103" t="str">
            <v>310505002 RETORNO COOPERATIVO</v>
          </cell>
          <cell r="C1103">
            <v>-546349312</v>
          </cell>
        </row>
        <row r="1104">
          <cell r="A1104" t="str">
            <v>310505003</v>
          </cell>
          <cell r="B1104" t="str">
            <v>310505003 CAPITAL POR DESCUENTO ESP.EN COMPRAS</v>
          </cell>
          <cell r="C1104">
            <v>-13520168814</v>
          </cell>
        </row>
        <row r="1105">
          <cell r="A1105" t="str">
            <v>310505004</v>
          </cell>
          <cell r="B1105" t="str">
            <v>310505004 APORTES A CAPITAL DEL 1%</v>
          </cell>
          <cell r="C1105">
            <v>-5366805112</v>
          </cell>
        </row>
        <row r="1106">
          <cell r="A1106" t="str">
            <v>310505005</v>
          </cell>
          <cell r="B1106" t="str">
            <v>310505005 APORTES ORDINARIOS</v>
          </cell>
          <cell r="C1106">
            <v>-33526805525</v>
          </cell>
        </row>
        <row r="1107">
          <cell r="A1107" t="str">
            <v>310505051</v>
          </cell>
          <cell r="B1107" t="str">
            <v>310505051 CAPITAL PAGADO SECCION AHORRO Y CREDITO</v>
          </cell>
          <cell r="C1107">
            <v>0</v>
          </cell>
        </row>
        <row r="1108">
          <cell r="A1108" t="str">
            <v>310505099</v>
          </cell>
          <cell r="B1108" t="str">
            <v>310505099 CAPITALIZACIÓN POR REVALORIZACION</v>
          </cell>
          <cell r="C1108">
            <v>-4260117324</v>
          </cell>
        </row>
        <row r="1109">
          <cell r="A1109" t="str">
            <v/>
          </cell>
          <cell r="B1109" t="str">
            <v>Total Aportes ordinarios</v>
          </cell>
          <cell r="C1109">
            <v>-57220246087</v>
          </cell>
        </row>
        <row r="1110">
          <cell r="A1110" t="str">
            <v/>
          </cell>
          <cell r="B1110" t="str">
            <v>Total 3105 Aportes Sociales</v>
          </cell>
          <cell r="C1110">
            <v>-57220246087</v>
          </cell>
        </row>
        <row r="1111">
          <cell r="A1111" t="str">
            <v/>
          </cell>
          <cell r="B1111" t="str">
            <v>Total 31. Capital Social</v>
          </cell>
          <cell r="C1111">
            <v>-57220246087</v>
          </cell>
        </row>
        <row r="1112">
          <cell r="A1112" t="str">
            <v/>
          </cell>
          <cell r="B1112" t="str">
            <v>32. Reservas</v>
          </cell>
          <cell r="C1112">
            <v>0</v>
          </cell>
        </row>
        <row r="1113">
          <cell r="A1113" t="str">
            <v/>
          </cell>
          <cell r="B1113" t="str">
            <v>3205. Reserva proteccion de aportes</v>
          </cell>
          <cell r="C1113">
            <v>0</v>
          </cell>
        </row>
        <row r="1114">
          <cell r="A1114" t="str">
            <v/>
          </cell>
          <cell r="B1114" t="str">
            <v>320505. Reserva Proteccion de Aportes</v>
          </cell>
          <cell r="C1114">
            <v>0</v>
          </cell>
        </row>
        <row r="1115">
          <cell r="A1115" t="str">
            <v>320505000</v>
          </cell>
          <cell r="B1115" t="str">
            <v>320505000 PROTECCIÓN DE APORTES SOCIALES</v>
          </cell>
          <cell r="C1115">
            <v>-3112865684</v>
          </cell>
        </row>
        <row r="1116">
          <cell r="A1116" t="str">
            <v/>
          </cell>
          <cell r="B1116" t="str">
            <v>Total Reserva Proteccion de Aportes</v>
          </cell>
          <cell r="C1116">
            <v>-3112865684</v>
          </cell>
        </row>
        <row r="1117">
          <cell r="A1117" t="str">
            <v/>
          </cell>
          <cell r="B1117" t="str">
            <v>Total 3205 Reserva proteccion de aportes</v>
          </cell>
          <cell r="C1117">
            <v>-3112865684</v>
          </cell>
        </row>
        <row r="1118">
          <cell r="A1118" t="str">
            <v/>
          </cell>
          <cell r="B1118" t="str">
            <v>3215. Reserva de Asamblea</v>
          </cell>
          <cell r="C1118">
            <v>0</v>
          </cell>
        </row>
        <row r="1119">
          <cell r="A1119" t="str">
            <v/>
          </cell>
          <cell r="B1119" t="str">
            <v>321505. Reservas de Asamblea</v>
          </cell>
          <cell r="C1119">
            <v>0</v>
          </cell>
        </row>
        <row r="1120">
          <cell r="A1120" t="str">
            <v>321505000</v>
          </cell>
          <cell r="B1120" t="str">
            <v>321505000 RESERVAS DE ASAMBLEA</v>
          </cell>
          <cell r="C1120">
            <v>-850000</v>
          </cell>
        </row>
        <row r="1121">
          <cell r="A1121" t="str">
            <v/>
          </cell>
          <cell r="B1121" t="str">
            <v>Total Reservas de Asamblea</v>
          </cell>
          <cell r="C1121">
            <v>-850000</v>
          </cell>
        </row>
        <row r="1122">
          <cell r="A1122" t="str">
            <v/>
          </cell>
          <cell r="B1122" t="str">
            <v>321510. Reservas especiales</v>
          </cell>
          <cell r="C1122">
            <v>0</v>
          </cell>
        </row>
        <row r="1123">
          <cell r="A1123" t="str">
            <v>321510001</v>
          </cell>
          <cell r="B1123" t="str">
            <v>321510001 RESERVAS ESPECIALES</v>
          </cell>
          <cell r="C1123">
            <v>-240620067</v>
          </cell>
        </row>
        <row r="1124">
          <cell r="A1124" t="str">
            <v/>
          </cell>
          <cell r="B1124" t="str">
            <v>Total Reservas especiales</v>
          </cell>
          <cell r="C1124">
            <v>-240620067</v>
          </cell>
        </row>
        <row r="1125">
          <cell r="A1125" t="str">
            <v/>
          </cell>
          <cell r="B1125" t="str">
            <v>321520. Reserva por exp.a la inflacion.</v>
          </cell>
          <cell r="C1125">
            <v>0</v>
          </cell>
        </row>
        <row r="1126">
          <cell r="A1126" t="str">
            <v>321520000</v>
          </cell>
          <cell r="B1126" t="str">
            <v>321520000 RESERVA POR EXPOSICIÓN A LA INFLACIÓN</v>
          </cell>
          <cell r="C1126">
            <v>-7209574</v>
          </cell>
        </row>
        <row r="1127">
          <cell r="A1127" t="str">
            <v/>
          </cell>
          <cell r="B1127" t="str">
            <v>Total Reserva por exp.a la inflacion.</v>
          </cell>
          <cell r="C1127">
            <v>-7209574</v>
          </cell>
        </row>
        <row r="1128">
          <cell r="A1128" t="str">
            <v/>
          </cell>
          <cell r="B1128" t="str">
            <v>Total 3215 Reserva de Asamblea</v>
          </cell>
          <cell r="C1128">
            <v>-248679641</v>
          </cell>
        </row>
        <row r="1129">
          <cell r="A1129" t="str">
            <v/>
          </cell>
          <cell r="B1129" t="str">
            <v>Total 32. Reservas</v>
          </cell>
          <cell r="C1129">
            <v>-3361545325</v>
          </cell>
        </row>
        <row r="1130">
          <cell r="A1130" t="str">
            <v/>
          </cell>
          <cell r="B1130" t="str">
            <v>33. Fondos de Destinacion especifica</v>
          </cell>
          <cell r="C1130">
            <v>0</v>
          </cell>
        </row>
        <row r="1131">
          <cell r="A1131" t="str">
            <v/>
          </cell>
          <cell r="B1131" t="str">
            <v>3310. Fondo para revalorizacion de aportes</v>
          </cell>
          <cell r="C1131">
            <v>0</v>
          </cell>
        </row>
        <row r="1132">
          <cell r="A1132" t="str">
            <v/>
          </cell>
          <cell r="B1132" t="str">
            <v>331005. Fondo Para revalorizacion de Aportes</v>
          </cell>
          <cell r="C1132">
            <v>0</v>
          </cell>
        </row>
        <row r="1133">
          <cell r="A1133" t="str">
            <v>331005001</v>
          </cell>
          <cell r="B1133" t="str">
            <v>331005001 FONDO REVALORIZACION DE APORTES</v>
          </cell>
          <cell r="C1133">
            <v>-14880353</v>
          </cell>
        </row>
        <row r="1134">
          <cell r="A1134" t="str">
            <v/>
          </cell>
          <cell r="B1134" t="str">
            <v>Total Fondo Para revalorizacion de Aportes</v>
          </cell>
          <cell r="C1134">
            <v>-14880353</v>
          </cell>
        </row>
        <row r="1135">
          <cell r="A1135" t="str">
            <v/>
          </cell>
          <cell r="B1135" t="str">
            <v>Total 3310 Fdo para revalorizacion de aportes</v>
          </cell>
          <cell r="C1135">
            <v>-14880353</v>
          </cell>
        </row>
        <row r="1136">
          <cell r="A1136" t="str">
            <v/>
          </cell>
          <cell r="B1136" t="str">
            <v>3325. Fondo especial</v>
          </cell>
          <cell r="C1136">
            <v>0</v>
          </cell>
        </row>
        <row r="1137">
          <cell r="A1137" t="str">
            <v/>
          </cell>
          <cell r="B1137" t="str">
            <v>332505. Fondo Especial</v>
          </cell>
          <cell r="C1137">
            <v>0</v>
          </cell>
        </row>
        <row r="1138">
          <cell r="A1138" t="str">
            <v>332505000</v>
          </cell>
          <cell r="B1138" t="str">
            <v>332505000 FONDO ESPECIAL</v>
          </cell>
          <cell r="C1138">
            <v>-3108724536</v>
          </cell>
        </row>
        <row r="1139">
          <cell r="A1139" t="str">
            <v/>
          </cell>
          <cell r="B1139" t="str">
            <v>Total Fondo Especial</v>
          </cell>
          <cell r="C1139">
            <v>-3108724536</v>
          </cell>
        </row>
        <row r="1140">
          <cell r="A1140" t="str">
            <v/>
          </cell>
          <cell r="B1140" t="str">
            <v>Total 3325 Fondo especial</v>
          </cell>
          <cell r="C1140">
            <v>-3108724536</v>
          </cell>
        </row>
        <row r="1141">
          <cell r="A1141" t="str">
            <v/>
          </cell>
          <cell r="B1141" t="str">
            <v>3335. Fondos de inversion</v>
          </cell>
          <cell r="C1141">
            <v>0</v>
          </cell>
        </row>
        <row r="1142">
          <cell r="A1142" t="str">
            <v/>
          </cell>
          <cell r="B1142" t="str">
            <v>333505. Fondos de inversion</v>
          </cell>
          <cell r="C1142">
            <v>0</v>
          </cell>
        </row>
        <row r="1143">
          <cell r="A1143" t="str">
            <v>333505000</v>
          </cell>
          <cell r="B1143" t="str">
            <v>333505000 FONDOS DE INVERSIÓN</v>
          </cell>
          <cell r="C1143">
            <v>-57447547</v>
          </cell>
        </row>
        <row r="1144">
          <cell r="A1144" t="str">
            <v/>
          </cell>
          <cell r="B1144" t="str">
            <v>Total Fondos de inversion</v>
          </cell>
          <cell r="C1144">
            <v>-57447547</v>
          </cell>
        </row>
        <row r="1145">
          <cell r="A1145" t="str">
            <v/>
          </cell>
          <cell r="B1145" t="str">
            <v>Total 3335 Fondos de inversion</v>
          </cell>
          <cell r="C1145">
            <v>-57447547</v>
          </cell>
        </row>
        <row r="1146">
          <cell r="A1146" t="str">
            <v/>
          </cell>
          <cell r="B1146" t="str">
            <v>3340. Otros fondos</v>
          </cell>
          <cell r="C1146">
            <v>0</v>
          </cell>
        </row>
        <row r="1147">
          <cell r="A1147" t="str">
            <v/>
          </cell>
          <cell r="B1147" t="str">
            <v>334005. Otros Fondos</v>
          </cell>
          <cell r="C1147">
            <v>0</v>
          </cell>
        </row>
        <row r="1148">
          <cell r="A1148" t="str">
            <v>334005002</v>
          </cell>
          <cell r="B1148" t="str">
            <v>334005002 OTROS FONDOS DE INVERSIÓN</v>
          </cell>
          <cell r="C1148">
            <v>-50017116</v>
          </cell>
        </row>
        <row r="1149">
          <cell r="A1149" t="str">
            <v>334005003</v>
          </cell>
          <cell r="B1149" t="str">
            <v>334005003 FONDO ESPECIAL PUC RES.1017</v>
          </cell>
          <cell r="C1149">
            <v>-49334496</v>
          </cell>
        </row>
        <row r="1150">
          <cell r="A1150" t="str">
            <v/>
          </cell>
          <cell r="B1150" t="str">
            <v>Total Otros Fondos</v>
          </cell>
          <cell r="C1150">
            <v>-99351612</v>
          </cell>
        </row>
        <row r="1151">
          <cell r="A1151" t="str">
            <v/>
          </cell>
          <cell r="B1151" t="str">
            <v>Total 3340 Otros fondos</v>
          </cell>
          <cell r="C1151">
            <v>-99351612</v>
          </cell>
        </row>
        <row r="1152">
          <cell r="A1152" t="str">
            <v/>
          </cell>
          <cell r="B1152" t="str">
            <v>Total 33. Fondos de Destinacion especifica</v>
          </cell>
          <cell r="C1152">
            <v>-3280404048</v>
          </cell>
        </row>
        <row r="1153">
          <cell r="A1153" t="str">
            <v/>
          </cell>
          <cell r="B1153" t="str">
            <v>34. Superavit</v>
          </cell>
          <cell r="C1153">
            <v>0</v>
          </cell>
        </row>
        <row r="1154">
          <cell r="A1154" t="str">
            <v/>
          </cell>
          <cell r="B1154" t="str">
            <v>3405. Auxilios y donaciones</v>
          </cell>
          <cell r="C1154">
            <v>0</v>
          </cell>
        </row>
        <row r="1155">
          <cell r="A1155" t="str">
            <v/>
          </cell>
          <cell r="B1155" t="str">
            <v>340505. Entidades Particulares</v>
          </cell>
          <cell r="C1155">
            <v>0</v>
          </cell>
        </row>
        <row r="1156">
          <cell r="A1156" t="str">
            <v>340505001</v>
          </cell>
          <cell r="B1156" t="str">
            <v>340505001 AUXILIOS Y DONACIONES PERSONALES</v>
          </cell>
          <cell r="C1156">
            <v>-297400</v>
          </cell>
        </row>
        <row r="1157">
          <cell r="A1157" t="str">
            <v/>
          </cell>
          <cell r="B1157" t="str">
            <v>Total Entidades Particulares</v>
          </cell>
          <cell r="C1157">
            <v>-297400</v>
          </cell>
        </row>
        <row r="1158">
          <cell r="A1158" t="str">
            <v/>
          </cell>
          <cell r="B1158" t="str">
            <v>Total 3405 Auxilios y donaciones</v>
          </cell>
          <cell r="C1158">
            <v>-297400</v>
          </cell>
        </row>
        <row r="1159">
          <cell r="A1159" t="str">
            <v/>
          </cell>
          <cell r="B1159" t="str">
            <v>3415. Valorizaciones</v>
          </cell>
          <cell r="C1159">
            <v>0</v>
          </cell>
        </row>
        <row r="1160">
          <cell r="A1160" t="str">
            <v/>
          </cell>
          <cell r="B1160" t="str">
            <v>341510. Propiedades,Planta Y equipo</v>
          </cell>
          <cell r="C1160">
            <v>0</v>
          </cell>
        </row>
        <row r="1161">
          <cell r="A1161" t="str">
            <v>341510001</v>
          </cell>
          <cell r="B1161" t="str">
            <v>341510001 VALORIZACIÓN PROP. PLANTAY EQUIPO</v>
          </cell>
          <cell r="C1161">
            <v>-5954749187</v>
          </cell>
        </row>
        <row r="1162">
          <cell r="A1162" t="str">
            <v/>
          </cell>
          <cell r="B1162" t="str">
            <v>Total Propiedades,Planta Y equipo</v>
          </cell>
          <cell r="C1162">
            <v>-5954749187</v>
          </cell>
        </row>
        <row r="1163">
          <cell r="A1163" t="str">
            <v/>
          </cell>
          <cell r="B1163" t="str">
            <v>Total 3415 Valorizaciones</v>
          </cell>
          <cell r="C1163">
            <v>-5954749187</v>
          </cell>
        </row>
        <row r="1164">
          <cell r="A1164" t="str">
            <v/>
          </cell>
          <cell r="B1164" t="str">
            <v>Total 34. Superavit</v>
          </cell>
          <cell r="C1164">
            <v>-5955046587</v>
          </cell>
        </row>
        <row r="1165">
          <cell r="A1165" t="str">
            <v/>
          </cell>
          <cell r="B1165" t="str">
            <v>35. Resultados del Ejercicio</v>
          </cell>
          <cell r="C1165">
            <v>0</v>
          </cell>
        </row>
        <row r="1166">
          <cell r="A1166" t="str">
            <v/>
          </cell>
          <cell r="B1166" t="str">
            <v>3505. Excedentes y/o perdidas</v>
          </cell>
          <cell r="C1166">
            <v>0</v>
          </cell>
        </row>
        <row r="1167">
          <cell r="A1167" t="str">
            <v/>
          </cell>
          <cell r="B1167" t="str">
            <v>350505. Excedentes</v>
          </cell>
          <cell r="C1167">
            <v>0</v>
          </cell>
        </row>
        <row r="1168">
          <cell r="A1168" t="str">
            <v>350505000</v>
          </cell>
          <cell r="B1168" t="str">
            <v>350505000 EXCEDENTES</v>
          </cell>
          <cell r="C1168">
            <v>0</v>
          </cell>
        </row>
        <row r="1169">
          <cell r="A1169" t="str">
            <v>350505001</v>
          </cell>
          <cell r="B1169" t="str">
            <v>350505001 EXCEDENTES AYC</v>
          </cell>
          <cell r="C1169">
            <v>0</v>
          </cell>
        </row>
        <row r="1170">
          <cell r="A1170" t="str">
            <v/>
          </cell>
          <cell r="B1170" t="str">
            <v>Total Excedentes</v>
          </cell>
          <cell r="C1170">
            <v>0</v>
          </cell>
        </row>
        <row r="1171">
          <cell r="A1171" t="str">
            <v/>
          </cell>
          <cell r="B1171" t="str">
            <v>Total 3505 Excedentes y/o perdidas</v>
          </cell>
          <cell r="C1171">
            <v>0</v>
          </cell>
        </row>
        <row r="1172">
          <cell r="A1172" t="str">
            <v/>
          </cell>
          <cell r="B1172" t="str">
            <v>Total 35. Resultados del Ejercicio</v>
          </cell>
          <cell r="C1172">
            <v>0</v>
          </cell>
        </row>
        <row r="1173">
          <cell r="A1173" t="str">
            <v/>
          </cell>
          <cell r="B1173" t="str">
            <v>36. Resultados de ejercicios anteriores</v>
          </cell>
          <cell r="C1173">
            <v>0</v>
          </cell>
        </row>
        <row r="1174">
          <cell r="A1174" t="str">
            <v/>
          </cell>
          <cell r="B1174" t="str">
            <v>3605. Excedentes y/o perdidas</v>
          </cell>
          <cell r="C1174">
            <v>0</v>
          </cell>
        </row>
        <row r="1175">
          <cell r="A1175" t="str">
            <v/>
          </cell>
          <cell r="B1175" t="str">
            <v>360505. Excedentes</v>
          </cell>
          <cell r="C1175">
            <v>0</v>
          </cell>
        </row>
        <row r="1176">
          <cell r="A1176" t="str">
            <v>360505000</v>
          </cell>
          <cell r="B1176" t="str">
            <v>360505000 EXCEDENTES</v>
          </cell>
          <cell r="C1176">
            <v>0</v>
          </cell>
        </row>
        <row r="1177">
          <cell r="A1177" t="str">
            <v/>
          </cell>
          <cell r="B1177" t="str">
            <v>Total Excedentes</v>
          </cell>
          <cell r="C1177">
            <v>0</v>
          </cell>
        </row>
        <row r="1178">
          <cell r="A1178" t="str">
            <v/>
          </cell>
          <cell r="B1178" t="str">
            <v>Total 3605 Excedentes y/o perdidas</v>
          </cell>
          <cell r="C1178">
            <v>0</v>
          </cell>
        </row>
        <row r="1179">
          <cell r="A1179" t="str">
            <v/>
          </cell>
          <cell r="B1179" t="str">
            <v>Total 36. Resultados de ejercicios anteriores</v>
          </cell>
          <cell r="C1179">
            <v>0</v>
          </cell>
        </row>
        <row r="1180">
          <cell r="A1180" t="str">
            <v/>
          </cell>
          <cell r="B1180" t="str">
            <v>Total 3 Patrimonio</v>
          </cell>
          <cell r="C1180">
            <v>-69817242047</v>
          </cell>
        </row>
        <row r="1181">
          <cell r="A1181" t="str">
            <v/>
          </cell>
          <cell r="B1181" t="str">
            <v>Total Pasivo y Patrimonio</v>
          </cell>
          <cell r="C1181">
            <v>-155673445420</v>
          </cell>
        </row>
        <row r="1182">
          <cell r="A1182" t="str">
            <v/>
          </cell>
          <cell r="B1182" t="str">
            <v>Resultado del balance gananacias</v>
          </cell>
          <cell r="C1182">
            <v>0</v>
          </cell>
        </row>
        <row r="1183">
          <cell r="A1183" t="str">
            <v/>
          </cell>
          <cell r="B1183" t="str">
            <v>Resultado del balance gananacias</v>
          </cell>
          <cell r="C1183">
            <v>-2660673402</v>
          </cell>
        </row>
        <row r="1184">
          <cell r="A1184" t="str">
            <v/>
          </cell>
          <cell r="B1184" t="str">
            <v>4. Ingresos</v>
          </cell>
          <cell r="C1184">
            <v>0</v>
          </cell>
        </row>
        <row r="1185">
          <cell r="A1185" t="str">
            <v/>
          </cell>
          <cell r="B1185" t="str">
            <v>41. Operacionales</v>
          </cell>
          <cell r="C1185">
            <v>0</v>
          </cell>
        </row>
        <row r="1186">
          <cell r="A1186" t="str">
            <v/>
          </cell>
          <cell r="B1186" t="str">
            <v>4135. Comercio al Por mayor y al por menor</v>
          </cell>
          <cell r="C1186">
            <v>0</v>
          </cell>
        </row>
        <row r="1187">
          <cell r="A1187" t="str">
            <v/>
          </cell>
          <cell r="B1187" t="str">
            <v>413538. Venta,product.aseo,farmaceut.medic.to</v>
          </cell>
          <cell r="C1187">
            <v>0</v>
          </cell>
        </row>
        <row r="1188">
          <cell r="A1188" t="str">
            <v>413538001</v>
          </cell>
          <cell r="B1188" t="str">
            <v>413538001 VENTAS MERCANCÍA  EXCLUIDO  ETICOS ASOCIADOS</v>
          </cell>
          <cell r="C1188">
            <v>-284966234581</v>
          </cell>
        </row>
        <row r="1189">
          <cell r="A1189" t="str">
            <v>413538002</v>
          </cell>
          <cell r="B1189" t="str">
            <v>413538002 VENTAS MERCANCÍA  EXCLUIDO POPULARES ASOCIADOS</v>
          </cell>
          <cell r="C1189">
            <v>-41997665071</v>
          </cell>
        </row>
        <row r="1190">
          <cell r="A1190" t="str">
            <v>413538004</v>
          </cell>
          <cell r="B1190" t="str">
            <v>413538004 VENTAS MERCANCÍA  GRAVADA ETICOS ASOCIADOS</v>
          </cell>
          <cell r="C1190">
            <v>-3341891954</v>
          </cell>
        </row>
        <row r="1191">
          <cell r="A1191" t="str">
            <v>413538005</v>
          </cell>
          <cell r="B1191" t="str">
            <v>413538005 VENTAS MERCANCÍA  GRAVADAS POPULARES ASOCIADOS</v>
          </cell>
          <cell r="C1191">
            <v>-125047854411</v>
          </cell>
        </row>
        <row r="1192">
          <cell r="A1192" t="str">
            <v>413538006</v>
          </cell>
          <cell r="B1192" t="str">
            <v>413538006 VENTAS MERCANCÍA  GRAVADAS  CONVENIOS</v>
          </cell>
          <cell r="C1192">
            <v>-1903087884</v>
          </cell>
        </row>
        <row r="1193">
          <cell r="A1193" t="str">
            <v>413538014</v>
          </cell>
          <cell r="B1193" t="str">
            <v>413538014 VENTAS MERCANCÍA  GRAVADAS POPULARES EPS</v>
          </cell>
          <cell r="C1193">
            <v>-248735</v>
          </cell>
        </row>
        <row r="1194">
          <cell r="A1194" t="str">
            <v>413538031</v>
          </cell>
          <cell r="B1194" t="str">
            <v>413538031 VENTAS MERCANCÍA  EXCLUIDA  ETICOS TERCEROS</v>
          </cell>
          <cell r="C1194">
            <v>-310579303</v>
          </cell>
        </row>
        <row r="1195">
          <cell r="A1195" t="str">
            <v>413538032</v>
          </cell>
          <cell r="B1195" t="str">
            <v>413538032 VENTAS MERCANCÍA  EXCLUIDA POPULARES TERCEROS</v>
          </cell>
          <cell r="C1195">
            <v>-48542934</v>
          </cell>
        </row>
        <row r="1196">
          <cell r="A1196" t="str">
            <v>413538034</v>
          </cell>
          <cell r="B1196" t="str">
            <v>413538034 VENTAS MERCANCÍA  GRAVADA ETICOS TERCEROS</v>
          </cell>
          <cell r="C1196">
            <v>-1433736</v>
          </cell>
        </row>
        <row r="1197">
          <cell r="A1197" t="str">
            <v>413538035</v>
          </cell>
          <cell r="B1197" t="str">
            <v>413538035 VENTAS MERCANCÍA  GRAVADA POPULARES TERCEROS</v>
          </cell>
          <cell r="C1197">
            <v>-154259318</v>
          </cell>
        </row>
        <row r="1198">
          <cell r="A1198" t="str">
            <v>413538071</v>
          </cell>
          <cell r="B1198" t="str">
            <v>413538071 DIFERENCIAS EN PRECIOS MERCANCIA EXENTA</v>
          </cell>
          <cell r="C1198">
            <v>16563230</v>
          </cell>
        </row>
        <row r="1199">
          <cell r="A1199" t="str">
            <v>413538072</v>
          </cell>
          <cell r="B1199" t="str">
            <v>413538072 DIFERENCIAS EN PRECIOS MERCANCIA GRAVADA</v>
          </cell>
          <cell r="C1199">
            <v>1442934</v>
          </cell>
        </row>
        <row r="1200">
          <cell r="A1200" t="str">
            <v/>
          </cell>
          <cell r="B1200" t="str">
            <v>Total Venta,product.aseo,farmaceut.medic.toca</v>
          </cell>
          <cell r="C1200">
            <v>-457753791763</v>
          </cell>
        </row>
        <row r="1201">
          <cell r="A1201" t="str">
            <v/>
          </cell>
          <cell r="B1201" t="str">
            <v>Total 4135 Comerc al Por mayor y al por menor</v>
          </cell>
          <cell r="C1201">
            <v>-457753791763</v>
          </cell>
        </row>
        <row r="1202">
          <cell r="A1202" t="str">
            <v/>
          </cell>
          <cell r="B1202" t="str">
            <v>4150. Actividad Financiera</v>
          </cell>
          <cell r="C1202">
            <v>0</v>
          </cell>
        </row>
        <row r="1203">
          <cell r="A1203" t="str">
            <v/>
          </cell>
          <cell r="B1203" t="str">
            <v>415005. Intereses creditos comercial</v>
          </cell>
          <cell r="C1203">
            <v>0</v>
          </cell>
        </row>
        <row r="1204">
          <cell r="A1204" t="str">
            <v>415005001</v>
          </cell>
          <cell r="B1204" t="str">
            <v>415005001 INTER CORRIENTES CREDITOS COMERCIALES AYC</v>
          </cell>
          <cell r="C1204">
            <v>-550676388</v>
          </cell>
        </row>
        <row r="1205">
          <cell r="A1205" t="str">
            <v>415005002</v>
          </cell>
          <cell r="B1205" t="str">
            <v>415005002 INTER MORA CREDITOS COMERCIALES AYC</v>
          </cell>
          <cell r="C1205">
            <v>-2525489</v>
          </cell>
        </row>
        <row r="1206">
          <cell r="A1206" t="str">
            <v/>
          </cell>
          <cell r="B1206" t="str">
            <v>Total Intereses creditos comercial</v>
          </cell>
          <cell r="C1206">
            <v>-553201877</v>
          </cell>
        </row>
        <row r="1207">
          <cell r="A1207" t="str">
            <v/>
          </cell>
          <cell r="B1207" t="str">
            <v>415010. Intereses creditos consumo.</v>
          </cell>
          <cell r="C1207">
            <v>0</v>
          </cell>
        </row>
        <row r="1208">
          <cell r="A1208" t="str">
            <v>415010001</v>
          </cell>
          <cell r="B1208" t="str">
            <v>415010001 INTER CORRIENTES CREDITOS CONSUMO AYC</v>
          </cell>
          <cell r="C1208">
            <v>-2150346631</v>
          </cell>
        </row>
        <row r="1209">
          <cell r="A1209" t="str">
            <v>415010002</v>
          </cell>
          <cell r="B1209" t="str">
            <v>415010002 INTER MORA CREDITOS CONSUMO AYC</v>
          </cell>
          <cell r="C1209">
            <v>-24398435</v>
          </cell>
        </row>
        <row r="1210">
          <cell r="A1210" t="str">
            <v/>
          </cell>
          <cell r="B1210" t="str">
            <v>Total Intereses creditos consumo.</v>
          </cell>
          <cell r="C1210">
            <v>-2174745066</v>
          </cell>
        </row>
        <row r="1211">
          <cell r="A1211" t="str">
            <v/>
          </cell>
          <cell r="B1211" t="str">
            <v>415046. Intereses fondo de liquidez</v>
          </cell>
          <cell r="C1211">
            <v>0</v>
          </cell>
        </row>
        <row r="1212">
          <cell r="A1212" t="str">
            <v>415046001</v>
          </cell>
          <cell r="B1212" t="str">
            <v>415046001 RENDIMIENTOS INVERSIONES FONDO LIQUIDEZ AyC</v>
          </cell>
          <cell r="C1212">
            <v>-104577256</v>
          </cell>
        </row>
        <row r="1213">
          <cell r="A1213" t="str">
            <v/>
          </cell>
          <cell r="B1213" t="str">
            <v>Total Intereses fondo de liquidez</v>
          </cell>
          <cell r="C1213">
            <v>-104577256</v>
          </cell>
        </row>
        <row r="1214">
          <cell r="A1214" t="str">
            <v/>
          </cell>
          <cell r="B1214" t="str">
            <v>415055. Valoracion de inveriones permanentes</v>
          </cell>
          <cell r="C1214">
            <v>0</v>
          </cell>
        </row>
        <row r="1215">
          <cell r="A1215" t="str">
            <v>415055001</v>
          </cell>
          <cell r="B1215" t="str">
            <v>415055001 VALORACION DE  INVERSIONES PERMANENTES</v>
          </cell>
          <cell r="C1215">
            <v>-17167098</v>
          </cell>
        </row>
        <row r="1216">
          <cell r="A1216" t="str">
            <v/>
          </cell>
          <cell r="B1216" t="str">
            <v>Total  Valoracion de inveriones permanentes</v>
          </cell>
          <cell r="C1216">
            <v>-17167098</v>
          </cell>
        </row>
        <row r="1217">
          <cell r="A1217" t="str">
            <v/>
          </cell>
          <cell r="B1217" t="str">
            <v>415098. Otros ingresos Financieros</v>
          </cell>
          <cell r="C1217">
            <v>0</v>
          </cell>
        </row>
        <row r="1218">
          <cell r="A1218" t="str">
            <v>415098001</v>
          </cell>
          <cell r="B1218" t="str">
            <v>415098001 RENDIMIENTOS BANCARIOS AYC</v>
          </cell>
          <cell r="C1218">
            <v>-1285196</v>
          </cell>
        </row>
        <row r="1219">
          <cell r="A1219" t="str">
            <v>415098005</v>
          </cell>
          <cell r="B1219" t="str">
            <v>415098005 OTROS INTERESES RECIBIDOS AYC</v>
          </cell>
          <cell r="C1219">
            <v>-874441</v>
          </cell>
        </row>
        <row r="1220">
          <cell r="A1220" t="str">
            <v>415098011</v>
          </cell>
          <cell r="B1220" t="str">
            <v>415098011 INT MORA FACTURAS DE MERCANCÍA</v>
          </cell>
          <cell r="C1220">
            <v>-100302894</v>
          </cell>
        </row>
        <row r="1221">
          <cell r="A1221" t="str">
            <v/>
          </cell>
          <cell r="B1221" t="str">
            <v>Total Otros ingresos Financieros</v>
          </cell>
          <cell r="C1221">
            <v>-102462531</v>
          </cell>
        </row>
        <row r="1222">
          <cell r="A1222" t="str">
            <v/>
          </cell>
          <cell r="B1222" t="str">
            <v>Total 4150 Actividad Financiera</v>
          </cell>
          <cell r="C1222">
            <v>-2952153828</v>
          </cell>
        </row>
        <row r="1223">
          <cell r="A1223" t="str">
            <v/>
          </cell>
          <cell r="B1223" t="str">
            <v>4151. Utilidad en valoracion de inver.deuda</v>
          </cell>
          <cell r="C1223">
            <v>0</v>
          </cell>
        </row>
        <row r="1224">
          <cell r="A1224" t="str">
            <v/>
          </cell>
          <cell r="B1224" t="str">
            <v>415106. Por increm. en el valor de mercado(cr</v>
          </cell>
          <cell r="C1224">
            <v>0</v>
          </cell>
        </row>
        <row r="1225">
          <cell r="A1225" t="str">
            <v>415106001</v>
          </cell>
          <cell r="B1225" t="str">
            <v>415106001 POR INCREMENTO EN EL VALOR DE MERCADO(CR)</v>
          </cell>
          <cell r="C1225">
            <v>-22941200</v>
          </cell>
        </row>
        <row r="1226">
          <cell r="A1226" t="str">
            <v/>
          </cell>
          <cell r="B1226" t="str">
            <v>Total  Por increm. en el valor de mercado(cr)</v>
          </cell>
          <cell r="C1226">
            <v>-22941200</v>
          </cell>
        </row>
        <row r="1227">
          <cell r="A1227" t="str">
            <v/>
          </cell>
          <cell r="B1227" t="str">
            <v>Total 4151Utilid en valoracion de inver.deuda</v>
          </cell>
          <cell r="C1227">
            <v>-22941200</v>
          </cell>
        </row>
        <row r="1228">
          <cell r="A1228" t="str">
            <v/>
          </cell>
          <cell r="B1228" t="str">
            <v>4152. Util.en valor de inver.neg.en tit.parti</v>
          </cell>
          <cell r="C1228">
            <v>0</v>
          </cell>
        </row>
        <row r="1229">
          <cell r="A1229" t="str">
            <v/>
          </cell>
          <cell r="B1229" t="str">
            <v>415206. Por incremento de valor de mercado(cr</v>
          </cell>
          <cell r="C1229">
            <v>0</v>
          </cell>
        </row>
        <row r="1230">
          <cell r="A1230" t="str">
            <v>415206001</v>
          </cell>
          <cell r="B1230" t="str">
            <v>415206001 POR INCREMENTO EN EL VALOR DE MERCADO(CR)</v>
          </cell>
          <cell r="C1230">
            <v>-87668118</v>
          </cell>
        </row>
        <row r="1231">
          <cell r="A1231" t="str">
            <v/>
          </cell>
          <cell r="B1231" t="str">
            <v>Total Por incremento de valor de mercado(cr)</v>
          </cell>
          <cell r="C1231">
            <v>-87668118</v>
          </cell>
        </row>
        <row r="1232">
          <cell r="A1232" t="str">
            <v/>
          </cell>
          <cell r="B1232" t="str">
            <v>Total 4152 Util.en valor inv.neg.en tit.part</v>
          </cell>
          <cell r="C1232">
            <v>-87668118</v>
          </cell>
        </row>
        <row r="1233">
          <cell r="A1233" t="str">
            <v/>
          </cell>
          <cell r="B1233" t="str">
            <v>4154. Utilidad en valoracion inver.al vencimi</v>
          </cell>
          <cell r="C1233">
            <v>0</v>
          </cell>
        </row>
        <row r="1234">
          <cell r="A1234" t="str">
            <v/>
          </cell>
          <cell r="B1234" t="str">
            <v>415406. Por incremento en el valor presente</v>
          </cell>
          <cell r="C1234">
            <v>0</v>
          </cell>
        </row>
        <row r="1235">
          <cell r="A1235" t="str">
            <v>415406001</v>
          </cell>
          <cell r="B1235" t="str">
            <v>415406001 POR AUMENTO EN EL VALOR PRESENTE(CR)</v>
          </cell>
          <cell r="C1235">
            <v>-322168247</v>
          </cell>
        </row>
        <row r="1236">
          <cell r="A1236" t="str">
            <v/>
          </cell>
          <cell r="B1236" t="str">
            <v>Total Por incremento en el valor presente</v>
          </cell>
          <cell r="C1236">
            <v>-322168247</v>
          </cell>
        </row>
        <row r="1237">
          <cell r="A1237" t="str">
            <v/>
          </cell>
          <cell r="B1237" t="str">
            <v>Total 4154 Utiliden valorac inver.al vencimi</v>
          </cell>
          <cell r="C1237">
            <v>-322168247</v>
          </cell>
        </row>
        <row r="1238">
          <cell r="A1238" t="str">
            <v/>
          </cell>
          <cell r="B1238" t="str">
            <v>4165. Servicios sociales y de salud</v>
          </cell>
          <cell r="C1238">
            <v>0</v>
          </cell>
        </row>
        <row r="1239">
          <cell r="A1239" t="str">
            <v/>
          </cell>
          <cell r="B1239" t="str">
            <v>416535. Cuotas admon y/o asociacion</v>
          </cell>
          <cell r="C1239">
            <v>0</v>
          </cell>
        </row>
        <row r="1240">
          <cell r="A1240" t="str">
            <v>416535001</v>
          </cell>
          <cell r="B1240" t="str">
            <v>416535001 INGRESOS  ADMISIÓN DE ASOCIADOS</v>
          </cell>
          <cell r="C1240">
            <v>-24796700</v>
          </cell>
        </row>
        <row r="1241">
          <cell r="A1241" t="str">
            <v/>
          </cell>
          <cell r="B1241" t="str">
            <v>Total Cuotas admon y/o asociacion</v>
          </cell>
          <cell r="C1241">
            <v>-24796700</v>
          </cell>
        </row>
        <row r="1242">
          <cell r="A1242" t="str">
            <v/>
          </cell>
          <cell r="B1242" t="str">
            <v>416545. Servicios de prev.y seguridad social</v>
          </cell>
          <cell r="C1242">
            <v>0</v>
          </cell>
        </row>
        <row r="1243">
          <cell r="A1243" t="str">
            <v>416545001</v>
          </cell>
          <cell r="B1243" t="str">
            <v>416545001 INGRESOS SERVICIOS OFICINA DE SEGUROS</v>
          </cell>
          <cell r="C1243">
            <v>-316253271</v>
          </cell>
        </row>
        <row r="1244">
          <cell r="A1244" t="str">
            <v>416545002</v>
          </cell>
          <cell r="B1244" t="str">
            <v>416545002 INGRESOS RECUPERACIÓN DE POLIZAS</v>
          </cell>
          <cell r="C1244">
            <v>0</v>
          </cell>
        </row>
        <row r="1245">
          <cell r="A1245" t="str">
            <v/>
          </cell>
          <cell r="B1245" t="str">
            <v>Total  Servicios de prev.y seguridad social</v>
          </cell>
          <cell r="C1245">
            <v>-316253271</v>
          </cell>
        </row>
        <row r="1246">
          <cell r="A1246" t="str">
            <v/>
          </cell>
          <cell r="B1246" t="str">
            <v>416595. Actividades conexas</v>
          </cell>
          <cell r="C1246">
            <v>0</v>
          </cell>
        </row>
        <row r="1247">
          <cell r="A1247" t="str">
            <v>416595002</v>
          </cell>
          <cell r="B1247" t="str">
            <v>416595002 INGRESOS SANCIONES ECONÓMICAS</v>
          </cell>
          <cell r="C1247">
            <v>-16540518</v>
          </cell>
        </row>
        <row r="1248">
          <cell r="A1248" t="str">
            <v>416595003</v>
          </cell>
          <cell r="B1248" t="str">
            <v>416595003 INGRESOS RECARGOS  ECONÓMICOS</v>
          </cell>
          <cell r="C1248">
            <v>-169648646</v>
          </cell>
        </row>
        <row r="1249">
          <cell r="A1249" t="str">
            <v>416595005</v>
          </cell>
          <cell r="B1249" t="str">
            <v>416595005 INGRESOS SANCIÓN INCUMPLIMIENTO VARIOS</v>
          </cell>
          <cell r="C1249">
            <v>-3417950</v>
          </cell>
        </row>
        <row r="1250">
          <cell r="A1250" t="str">
            <v>416595007</v>
          </cell>
          <cell r="B1250" t="str">
            <v>416595007 INGRESOS POR BOLETÍN</v>
          </cell>
          <cell r="C1250">
            <v>-131732900</v>
          </cell>
        </row>
        <row r="1251">
          <cell r="A1251" t="str">
            <v>416595009</v>
          </cell>
          <cell r="B1251" t="str">
            <v>416595009 INGRESOS RECUPERAC.DE GTOS DE INCAP.</v>
          </cell>
          <cell r="C1251">
            <v>-3237110</v>
          </cell>
        </row>
        <row r="1252">
          <cell r="A1252" t="str">
            <v>416595010</v>
          </cell>
          <cell r="B1252" t="str">
            <v>416595010 INGRESOS POR EVENTOS ASOCIADOS</v>
          </cell>
          <cell r="C1252">
            <v>-528380985</v>
          </cell>
        </row>
        <row r="1253">
          <cell r="A1253" t="str">
            <v>416595011</v>
          </cell>
          <cell r="B1253" t="str">
            <v>416595011 INGRESOS SANCIÓN DEPORTIVA              "</v>
          </cell>
          <cell r="C1253">
            <v>-454500</v>
          </cell>
        </row>
        <row r="1254">
          <cell r="A1254" t="str">
            <v>416595012</v>
          </cell>
          <cell r="B1254" t="str">
            <v>416595012 INGRESOS POR LIST,DISKETTE Y OTROS</v>
          </cell>
          <cell r="C1254">
            <v>-313539051</v>
          </cell>
        </row>
        <row r="1255">
          <cell r="A1255" t="str">
            <v>416595013</v>
          </cell>
          <cell r="B1255" t="str">
            <v>416595013 INGRESOS POR OTRAS PUBLICIDADES</v>
          </cell>
          <cell r="C1255">
            <v>-13765000</v>
          </cell>
        </row>
        <row r="1256">
          <cell r="A1256" t="str">
            <v>416595014</v>
          </cell>
          <cell r="B1256" t="str">
            <v>416595014 INGRESOS POR REMESAS</v>
          </cell>
          <cell r="C1256">
            <v>-324041722</v>
          </cell>
        </row>
        <row r="1257">
          <cell r="A1257" t="str">
            <v>416595015</v>
          </cell>
          <cell r="B1257" t="str">
            <v>416595015 INGRESOS POR PLANES PROMOCIONALES</v>
          </cell>
          <cell r="C1257">
            <v>-317430899</v>
          </cell>
        </row>
        <row r="1258">
          <cell r="A1258" t="str">
            <v>416595016</v>
          </cell>
          <cell r="B1258" t="str">
            <v>416595016 INGRESOS POR PROYECTOS COMERCIALES</v>
          </cell>
          <cell r="C1258">
            <v>-19220000</v>
          </cell>
        </row>
        <row r="1259">
          <cell r="A1259" t="str">
            <v>416595017</v>
          </cell>
          <cell r="B1259" t="str">
            <v>416595017 OTROS APROVECHAMIENTOS AYC</v>
          </cell>
          <cell r="C1259">
            <v>-40161657</v>
          </cell>
        </row>
        <row r="1260">
          <cell r="A1260" t="str">
            <v>416595018</v>
          </cell>
          <cell r="B1260" t="str">
            <v>416595018 OTROS APROVECHAMIENTOS</v>
          </cell>
          <cell r="C1260">
            <v>-79419826</v>
          </cell>
        </row>
        <row r="1261">
          <cell r="A1261" t="str">
            <v>416595020</v>
          </cell>
          <cell r="B1261" t="str">
            <v>416595020 INGRESOS CURSOS Y OTROS A ASOCIADOS</v>
          </cell>
          <cell r="C1261">
            <v>-68977665</v>
          </cell>
        </row>
        <row r="1262">
          <cell r="A1262" t="str">
            <v>416595021</v>
          </cell>
          <cell r="B1262" t="str">
            <v>416595021 OTROS</v>
          </cell>
          <cell r="C1262">
            <v>-9353813</v>
          </cell>
        </row>
        <row r="1263">
          <cell r="A1263" t="str">
            <v>416595025</v>
          </cell>
          <cell r="B1263" t="str">
            <v>416595025 INGRESOS ACTIVIDADES FRANQUICIAS</v>
          </cell>
          <cell r="C1263">
            <v>-12250000</v>
          </cell>
        </row>
        <row r="1264">
          <cell r="A1264" t="str">
            <v/>
          </cell>
          <cell r="B1264" t="str">
            <v>Total Actividades conexas</v>
          </cell>
          <cell r="C1264">
            <v>-2051572242</v>
          </cell>
        </row>
        <row r="1265">
          <cell r="A1265" t="str">
            <v/>
          </cell>
          <cell r="B1265" t="str">
            <v>Total 4165 Servicios sociales y de salud</v>
          </cell>
          <cell r="C1265">
            <v>-2392622213</v>
          </cell>
        </row>
        <row r="1266">
          <cell r="A1266" t="str">
            <v/>
          </cell>
          <cell r="B1266" t="str">
            <v>4175. Dev.rebajas y descuentos en ventas(Db)</v>
          </cell>
          <cell r="C1266">
            <v>0</v>
          </cell>
        </row>
        <row r="1267">
          <cell r="A1267" t="str">
            <v/>
          </cell>
          <cell r="B1267" t="str">
            <v>417505. Devoluciones(Db)</v>
          </cell>
          <cell r="C1267">
            <v>0</v>
          </cell>
        </row>
        <row r="1268">
          <cell r="A1268" t="str">
            <v>417505001</v>
          </cell>
          <cell r="B1268" t="str">
            <v>417505001 DEVOL.EN VENTAS MERCANCÍA  EXCLUID  ETICOS ASOCIAD</v>
          </cell>
          <cell r="C1268">
            <v>4140736816</v>
          </cell>
        </row>
        <row r="1269">
          <cell r="A1269" t="str">
            <v>417505002</v>
          </cell>
          <cell r="B1269" t="str">
            <v>417505002 DEVOL.EN VENTAS MERCANCÍA  EXCL POPULARES ASOCIA</v>
          </cell>
          <cell r="C1269">
            <v>391503845</v>
          </cell>
        </row>
        <row r="1270">
          <cell r="A1270" t="str">
            <v>417505004</v>
          </cell>
          <cell r="B1270" t="str">
            <v>417505004 DEVOL EN VENTAS MERCANCÍA  GRAVADA ETICOS ASOCIADO</v>
          </cell>
          <cell r="C1270">
            <v>63696402</v>
          </cell>
        </row>
        <row r="1271">
          <cell r="A1271" t="str">
            <v>417505005</v>
          </cell>
          <cell r="B1271" t="str">
            <v>417505005 DEVOL EN VENTAS MERCANCÍA  GRAVADAS POPULARES ASOC</v>
          </cell>
          <cell r="C1271">
            <v>612265518</v>
          </cell>
        </row>
        <row r="1272">
          <cell r="A1272" t="str">
            <v>417505006</v>
          </cell>
          <cell r="B1272" t="str">
            <v>417505006 DEVOL EN VENTAS MERCANCÍA  GRAVADAS  CONVENIOS ASO</v>
          </cell>
          <cell r="C1272">
            <v>508090</v>
          </cell>
        </row>
        <row r="1273">
          <cell r="A1273" t="str">
            <v>417505031</v>
          </cell>
          <cell r="B1273" t="str">
            <v>417505031 DEVOL EN VENTAS MERCANCÍA  EXCLUID  ETICOS TERCERO</v>
          </cell>
          <cell r="C1273">
            <v>2830208</v>
          </cell>
        </row>
        <row r="1274">
          <cell r="A1274" t="str">
            <v>417505032</v>
          </cell>
          <cell r="B1274" t="str">
            <v>417505032 DEVOL EN VENTAS MERCANCÍA  EXCL  POPULARES TERCER</v>
          </cell>
          <cell r="C1274">
            <v>583465</v>
          </cell>
        </row>
        <row r="1275">
          <cell r="A1275" t="str">
            <v>417505034</v>
          </cell>
          <cell r="B1275" t="str">
            <v>417505034 DEVOL EN VENTAS MERCANCÍA  GRAVADA ETICOS TERCEROS</v>
          </cell>
          <cell r="C1275">
            <v>9950</v>
          </cell>
        </row>
        <row r="1276">
          <cell r="A1276" t="str">
            <v>417505035</v>
          </cell>
          <cell r="B1276" t="str">
            <v>417505035 DEVOL EN VENTAS MERCANCÍA  GRAVADA POPULARES TERCE</v>
          </cell>
          <cell r="C1276">
            <v>1775881</v>
          </cell>
        </row>
        <row r="1277">
          <cell r="A1277" t="str">
            <v/>
          </cell>
          <cell r="B1277" t="str">
            <v>Total Devoluciones(Db)</v>
          </cell>
          <cell r="C1277">
            <v>5213910175</v>
          </cell>
        </row>
        <row r="1278">
          <cell r="A1278" t="str">
            <v/>
          </cell>
          <cell r="B1278" t="str">
            <v>417510. Descuentos (Db)</v>
          </cell>
          <cell r="C1278">
            <v>0</v>
          </cell>
        </row>
        <row r="1279">
          <cell r="A1279" t="str">
            <v>417510000</v>
          </cell>
          <cell r="B1279" t="str">
            <v>417510000 DTOS POR ALTO COSTO</v>
          </cell>
          <cell r="C1279">
            <v>1388686240</v>
          </cell>
        </row>
        <row r="1280">
          <cell r="A1280" t="str">
            <v>417510001</v>
          </cell>
          <cell r="B1280" t="str">
            <v>417510001 DTOS POR BONOS</v>
          </cell>
          <cell r="C1280">
            <v>488945107</v>
          </cell>
        </row>
        <row r="1281">
          <cell r="A1281" t="str">
            <v>417510002</v>
          </cell>
          <cell r="B1281" t="str">
            <v>417510002 DTOS POR TELEFERIA</v>
          </cell>
          <cell r="C1281">
            <v>1443386714</v>
          </cell>
        </row>
        <row r="1282">
          <cell r="A1282" t="str">
            <v>417510006</v>
          </cell>
          <cell r="B1282" t="str">
            <v>417510006 DESCUENTO ADICIONAL POR VOL.EN VENTAS A ASOCIADOS</v>
          </cell>
          <cell r="C1282">
            <v>4890386000</v>
          </cell>
        </row>
        <row r="1283">
          <cell r="A1283" t="str">
            <v>417510007</v>
          </cell>
          <cell r="B1283" t="str">
            <v>417510007 DESCUENTO PLAN FIDELIDAD ASOCIADOS</v>
          </cell>
          <cell r="C1283">
            <v>279537696</v>
          </cell>
        </row>
        <row r="1284">
          <cell r="A1284" t="str">
            <v>417510008</v>
          </cell>
          <cell r="B1284" t="str">
            <v>417510008 OTROS DESCUENTOS A ASOCIADOS</v>
          </cell>
          <cell r="C1284">
            <v>440781595</v>
          </cell>
        </row>
        <row r="1285">
          <cell r="A1285" t="str">
            <v>417510009</v>
          </cell>
          <cell r="B1285" t="str">
            <v>417510009 DTOS POR PLAN ANOTATE</v>
          </cell>
          <cell r="C1285">
            <v>18358204</v>
          </cell>
        </row>
        <row r="1286">
          <cell r="A1286" t="str">
            <v>417510011</v>
          </cell>
          <cell r="B1286" t="str">
            <v>417510011 DTO ESPECIAL EN ANTICIPOS PARA PAGO DE FACT.BTA</v>
          </cell>
          <cell r="C1286">
            <v>587055</v>
          </cell>
        </row>
        <row r="1287">
          <cell r="A1287" t="str">
            <v>417510012</v>
          </cell>
          <cell r="B1287" t="str">
            <v>417510012 DTO ESPECIAL EN ANTICIPOS PARA PAGO DE FACT.PER</v>
          </cell>
          <cell r="C1287">
            <v>39824</v>
          </cell>
        </row>
        <row r="1288">
          <cell r="A1288" t="str">
            <v>417510013</v>
          </cell>
          <cell r="B1288" t="str">
            <v>417510013 DTO ESPECIAL EN ANTICIPOS PARA PAGO DE FACT.B/QUIL</v>
          </cell>
          <cell r="C1288">
            <v>104082</v>
          </cell>
        </row>
        <row r="1289">
          <cell r="A1289" t="str">
            <v>417510021</v>
          </cell>
          <cell r="B1289" t="str">
            <v>417510021 DTOS CONCEDIDOS POR PRONTO PAGO GRAVADOS</v>
          </cell>
          <cell r="C1289">
            <v>2609403999</v>
          </cell>
        </row>
        <row r="1290">
          <cell r="A1290" t="str">
            <v>417510022</v>
          </cell>
          <cell r="B1290" t="str">
            <v>417510022 DTOS CONCEDIDOS POR PRONTO PAGO EXENTOSS</v>
          </cell>
          <cell r="C1290">
            <v>38873753952</v>
          </cell>
        </row>
        <row r="1291">
          <cell r="A1291" t="str">
            <v>417510050</v>
          </cell>
          <cell r="B1291" t="str">
            <v>417510050 DIFERENCIAS EN PAGOS POR DTOS PERDIDOS</v>
          </cell>
          <cell r="C1291">
            <v>-9806734</v>
          </cell>
        </row>
        <row r="1292">
          <cell r="A1292" t="str">
            <v/>
          </cell>
          <cell r="B1292" t="str">
            <v>Total Descuentos</v>
          </cell>
          <cell r="C1292">
            <v>50424163734</v>
          </cell>
        </row>
        <row r="1293">
          <cell r="A1293" t="str">
            <v/>
          </cell>
          <cell r="B1293" t="str">
            <v>Total 4175 Dev.rebajas y destos en ventas(Db)</v>
          </cell>
          <cell r="C1293">
            <v>55638073909</v>
          </cell>
        </row>
        <row r="1294">
          <cell r="A1294" t="str">
            <v/>
          </cell>
          <cell r="B1294" t="str">
            <v>4180. Recuperaciones</v>
          </cell>
          <cell r="C1294">
            <v>0</v>
          </cell>
        </row>
        <row r="1295">
          <cell r="A1295" t="str">
            <v/>
          </cell>
          <cell r="B1295" t="str">
            <v>418015. Provision de Cartera de credito</v>
          </cell>
          <cell r="C1295">
            <v>0</v>
          </cell>
        </row>
        <row r="1296">
          <cell r="A1296" t="str">
            <v>418015001</v>
          </cell>
          <cell r="B1296" t="str">
            <v>418015001 INGRESOS REINTEGRO DE PROVISIONES AYC</v>
          </cell>
          <cell r="C1296">
            <v>0</v>
          </cell>
        </row>
        <row r="1297">
          <cell r="A1297" t="str">
            <v/>
          </cell>
          <cell r="B1297" t="str">
            <v>Total Provision de Cartera de credito</v>
          </cell>
          <cell r="C1297">
            <v>0</v>
          </cell>
        </row>
        <row r="1298">
          <cell r="A1298" t="str">
            <v/>
          </cell>
          <cell r="B1298" t="str">
            <v>418016. Provision de Cartera de Credito</v>
          </cell>
          <cell r="C1298">
            <v>0</v>
          </cell>
        </row>
        <row r="1299">
          <cell r="A1299" t="str">
            <v>418016001</v>
          </cell>
          <cell r="B1299" t="str">
            <v>418016001 INGRESOS REINTEGRO CARTERA DE CREDITO AYC</v>
          </cell>
          <cell r="C1299">
            <v>-61108903</v>
          </cell>
        </row>
        <row r="1300">
          <cell r="A1300" t="str">
            <v/>
          </cell>
          <cell r="B1300" t="str">
            <v>Total. Provision de Cartera de Credito</v>
          </cell>
          <cell r="C1300">
            <v>-61108903</v>
          </cell>
        </row>
        <row r="1301">
          <cell r="A1301" t="str">
            <v/>
          </cell>
          <cell r="B1301" t="str">
            <v>418020. Provision cartera por venta de bienes</v>
          </cell>
          <cell r="C1301">
            <v>0</v>
          </cell>
        </row>
        <row r="1302">
          <cell r="A1302" t="str">
            <v>418020001</v>
          </cell>
          <cell r="B1302" t="str">
            <v>418020001 INGRESOS RECUPERACIÓN DE CARTERA VENTA DE BIENES</v>
          </cell>
          <cell r="C1302">
            <v>-4240784</v>
          </cell>
        </row>
        <row r="1303">
          <cell r="A1303" t="str">
            <v/>
          </cell>
          <cell r="B1303" t="str">
            <v>Total Provision cartera por venta de bienes</v>
          </cell>
          <cell r="C1303">
            <v>-4240784</v>
          </cell>
        </row>
        <row r="1304">
          <cell r="A1304" t="str">
            <v/>
          </cell>
          <cell r="B1304" t="str">
            <v>418095. Otras Recuperaciones</v>
          </cell>
          <cell r="C1304">
            <v>0</v>
          </cell>
        </row>
        <row r="1305">
          <cell r="A1305" t="str">
            <v>418095001</v>
          </cell>
          <cell r="B1305" t="str">
            <v>418095001 INGRESOS POR TELÉFONO MONEDERO</v>
          </cell>
          <cell r="C1305">
            <v>-82430</v>
          </cell>
        </row>
        <row r="1306">
          <cell r="A1306" t="str">
            <v>418095003</v>
          </cell>
          <cell r="B1306" t="str">
            <v>418095003 INGRESOS COB.POR ROT.DE MCIA A TRASPT.</v>
          </cell>
          <cell r="C1306">
            <v>-31034474</v>
          </cell>
        </row>
        <row r="1307">
          <cell r="A1307" t="str">
            <v/>
          </cell>
          <cell r="B1307" t="str">
            <v>Total Otras Recuperaciones</v>
          </cell>
          <cell r="C1307">
            <v>-31116904</v>
          </cell>
        </row>
        <row r="1308">
          <cell r="A1308" t="str">
            <v/>
          </cell>
          <cell r="B1308" t="str">
            <v>Total 4180 Recuperaciones</v>
          </cell>
          <cell r="C1308">
            <v>-96466591</v>
          </cell>
        </row>
        <row r="1309">
          <cell r="A1309" t="str">
            <v/>
          </cell>
          <cell r="B1309" t="str">
            <v>Total 41. Operacionales</v>
          </cell>
          <cell r="C1309">
            <v>-407989738051</v>
          </cell>
        </row>
        <row r="1310">
          <cell r="A1310" t="str">
            <v/>
          </cell>
          <cell r="B1310" t="str">
            <v>42. No operacionales</v>
          </cell>
          <cell r="C1310">
            <v>0</v>
          </cell>
        </row>
        <row r="1311">
          <cell r="A1311" t="str">
            <v/>
          </cell>
          <cell r="B1311" t="str">
            <v>4210. Financieros</v>
          </cell>
          <cell r="C1311">
            <v>0</v>
          </cell>
        </row>
        <row r="1312">
          <cell r="A1312" t="str">
            <v/>
          </cell>
          <cell r="B1312" t="str">
            <v>421005. Intereses varios</v>
          </cell>
          <cell r="C1312">
            <v>0</v>
          </cell>
        </row>
        <row r="1313">
          <cell r="A1313" t="str">
            <v>421005001</v>
          </cell>
          <cell r="B1313" t="str">
            <v>421005001 INTERESES NO OPERACIONALES</v>
          </cell>
          <cell r="C1313">
            <v>-679000</v>
          </cell>
        </row>
        <row r="1314">
          <cell r="A1314" t="str">
            <v/>
          </cell>
          <cell r="B1314" t="str">
            <v>Total Intereses varios</v>
          </cell>
          <cell r="C1314">
            <v>-679000</v>
          </cell>
        </row>
        <row r="1315">
          <cell r="A1315" t="str">
            <v/>
          </cell>
          <cell r="B1315" t="str">
            <v>421098. Otros</v>
          </cell>
          <cell r="C1315">
            <v>0</v>
          </cell>
        </row>
        <row r="1316">
          <cell r="A1316" t="str">
            <v>421098000</v>
          </cell>
          <cell r="B1316" t="str">
            <v>421098000 RENDIMIENTOS BANCARIOS</v>
          </cell>
          <cell r="C1316">
            <v>-107054831</v>
          </cell>
        </row>
        <row r="1317">
          <cell r="A1317" t="str">
            <v/>
          </cell>
          <cell r="B1317" t="str">
            <v>Total Otros</v>
          </cell>
          <cell r="C1317">
            <v>-107054831</v>
          </cell>
        </row>
        <row r="1318">
          <cell r="A1318" t="str">
            <v/>
          </cell>
          <cell r="B1318" t="str">
            <v>Total 4210 Financieros</v>
          </cell>
          <cell r="C1318">
            <v>-107733831</v>
          </cell>
        </row>
        <row r="1319">
          <cell r="A1319" t="str">
            <v/>
          </cell>
          <cell r="B1319" t="str">
            <v>4245. Util.en ventas de propiedad planta y eq</v>
          </cell>
          <cell r="C1319">
            <v>0</v>
          </cell>
        </row>
        <row r="1320">
          <cell r="A1320" t="str">
            <v/>
          </cell>
          <cell r="B1320" t="str">
            <v>424524. Muebles y equipo de oficina</v>
          </cell>
          <cell r="C1320">
            <v>0</v>
          </cell>
        </row>
        <row r="1321">
          <cell r="A1321" t="str">
            <v>424524001</v>
          </cell>
          <cell r="B1321" t="str">
            <v>424524001 UTILIDAD EN VENTA DE EQUIPOS DE OFICINA</v>
          </cell>
          <cell r="C1321">
            <v>-42247967</v>
          </cell>
        </row>
        <row r="1322">
          <cell r="A1322" t="str">
            <v/>
          </cell>
          <cell r="B1322" t="str">
            <v>Total Muebles y equipo de oficina</v>
          </cell>
          <cell r="C1322">
            <v>-42247967</v>
          </cell>
        </row>
        <row r="1323">
          <cell r="A1323" t="str">
            <v/>
          </cell>
          <cell r="B1323" t="str">
            <v>424532. Vehiculos</v>
          </cell>
          <cell r="C1323">
            <v>0</v>
          </cell>
        </row>
        <row r="1324">
          <cell r="A1324" t="str">
            <v>424532001</v>
          </cell>
          <cell r="B1324" t="str">
            <v>424532001 UTILIDAD EN VENTA DE VEHICULOS</v>
          </cell>
          <cell r="C1324">
            <v>-16500000</v>
          </cell>
        </row>
        <row r="1325">
          <cell r="A1325" t="str">
            <v/>
          </cell>
          <cell r="B1325" t="str">
            <v>Total Vehiculos</v>
          </cell>
          <cell r="C1325">
            <v>-16500000</v>
          </cell>
        </row>
        <row r="1326">
          <cell r="A1326" t="str">
            <v/>
          </cell>
          <cell r="B1326" t="str">
            <v>Total 4242 Util.en ventas de prop planta y eq</v>
          </cell>
          <cell r="C1326">
            <v>-58747967</v>
          </cell>
        </row>
        <row r="1327">
          <cell r="A1327" t="str">
            <v/>
          </cell>
          <cell r="B1327" t="str">
            <v>4250. Recuperaciones</v>
          </cell>
          <cell r="C1327">
            <v>0</v>
          </cell>
        </row>
        <row r="1328">
          <cell r="A1328" t="str">
            <v/>
          </cell>
          <cell r="B1328" t="str">
            <v>425030. Descuentos Concedidos</v>
          </cell>
          <cell r="C1328">
            <v>0</v>
          </cell>
        </row>
        <row r="1329">
          <cell r="A1329" t="str">
            <v>425030001</v>
          </cell>
          <cell r="B1329" t="str">
            <v>425030001 DESCUENTOS FINANCIEROS EN COMPRAS ADMINISTRATIVAS</v>
          </cell>
          <cell r="C1329">
            <v>-28624547</v>
          </cell>
        </row>
        <row r="1330">
          <cell r="A1330" t="str">
            <v/>
          </cell>
          <cell r="B1330" t="str">
            <v>Total Descuentos Concedidos</v>
          </cell>
          <cell r="C1330">
            <v>-28624547</v>
          </cell>
        </row>
        <row r="1331">
          <cell r="A1331" t="str">
            <v/>
          </cell>
          <cell r="B1331" t="str">
            <v>425036. Reintegro Provisiones de cartera</v>
          </cell>
          <cell r="C1331">
            <v>0</v>
          </cell>
        </row>
        <row r="1332">
          <cell r="A1332" t="str">
            <v>425036001</v>
          </cell>
          <cell r="B1332" t="str">
            <v>425036001 RECUPERACION DE CARTER5A GENERAL AYC</v>
          </cell>
          <cell r="C1332">
            <v>-2694857</v>
          </cell>
        </row>
        <row r="1333">
          <cell r="A1333" t="str">
            <v/>
          </cell>
          <cell r="B1333" t="str">
            <v>Total  Reintegro Provisiones de cartera</v>
          </cell>
          <cell r="C1333">
            <v>-2694857</v>
          </cell>
        </row>
        <row r="1334">
          <cell r="A1334" t="str">
            <v/>
          </cell>
          <cell r="B1334" t="str">
            <v>425037. Reintegro Provision cuentas por Cobr.</v>
          </cell>
          <cell r="C1334">
            <v>0</v>
          </cell>
        </row>
        <row r="1335">
          <cell r="A1335" t="str">
            <v>425037001</v>
          </cell>
          <cell r="B1335" t="str">
            <v>425037001 RECUPERACION DE CUENTAS POR COBRAR AYC</v>
          </cell>
          <cell r="C1335">
            <v>-9976070</v>
          </cell>
        </row>
        <row r="1336">
          <cell r="A1336" t="str">
            <v/>
          </cell>
          <cell r="B1336" t="str">
            <v>Total Reintegro Provision cuentas por Cobr.</v>
          </cell>
          <cell r="C1336">
            <v>-9976070</v>
          </cell>
        </row>
        <row r="1337">
          <cell r="A1337" t="str">
            <v/>
          </cell>
          <cell r="B1337" t="str">
            <v>425050. Reintegro de otros Costos y Gastos</v>
          </cell>
          <cell r="C1337">
            <v>0</v>
          </cell>
        </row>
        <row r="1338">
          <cell r="A1338" t="str">
            <v>425050001</v>
          </cell>
          <cell r="B1338" t="str">
            <v>425050001 RECUPERACION DE OTROS COSTOS Y GASTOS</v>
          </cell>
          <cell r="C1338">
            <v>-644727243</v>
          </cell>
        </row>
        <row r="1339">
          <cell r="A1339" t="str">
            <v/>
          </cell>
          <cell r="B1339" t="str">
            <v>Total  Reintegro de otros Costos y Gastos</v>
          </cell>
          <cell r="C1339">
            <v>-644727243</v>
          </cell>
        </row>
        <row r="1340">
          <cell r="A1340" t="str">
            <v/>
          </cell>
          <cell r="B1340" t="str">
            <v>Total 4250. Recuperaciones</v>
          </cell>
          <cell r="C1340">
            <v>-686022717</v>
          </cell>
        </row>
        <row r="1341">
          <cell r="A1341" t="str">
            <v/>
          </cell>
          <cell r="B1341" t="str">
            <v>4295. Diversos</v>
          </cell>
          <cell r="C1341">
            <v>0</v>
          </cell>
        </row>
        <row r="1342">
          <cell r="A1342" t="str">
            <v/>
          </cell>
          <cell r="B1342" t="str">
            <v>Total  Ajuste al peso</v>
          </cell>
          <cell r="C1342">
            <v>0</v>
          </cell>
        </row>
        <row r="1343">
          <cell r="A1343" t="str">
            <v>429581001</v>
          </cell>
          <cell r="B1343" t="str">
            <v>429581001 AJUSTE AL PESO IMPUESTO AYC</v>
          </cell>
          <cell r="C1343">
            <v>-4968</v>
          </cell>
        </row>
        <row r="1344">
          <cell r="A1344" t="str">
            <v/>
          </cell>
          <cell r="B1344" t="str">
            <v>Total  Ajuste al peso</v>
          </cell>
          <cell r="C1344">
            <v>-4968</v>
          </cell>
        </row>
        <row r="1345">
          <cell r="A1345" t="str">
            <v/>
          </cell>
          <cell r="B1345" t="str">
            <v>Total Diversos</v>
          </cell>
          <cell r="C1345">
            <v>0</v>
          </cell>
        </row>
        <row r="1346">
          <cell r="A1346" t="str">
            <v>429585001</v>
          </cell>
          <cell r="B1346" t="str">
            <v>429585001 OTROS INGRESOS IMPUESTOS</v>
          </cell>
          <cell r="C1346">
            <v>-144106</v>
          </cell>
        </row>
        <row r="1347">
          <cell r="A1347" t="str">
            <v/>
          </cell>
          <cell r="B1347" t="str">
            <v>Total Diversos</v>
          </cell>
          <cell r="C1347">
            <v>-144106</v>
          </cell>
        </row>
        <row r="1348">
          <cell r="A1348" t="str">
            <v/>
          </cell>
          <cell r="B1348" t="str">
            <v>Total 4295. Diversos</v>
          </cell>
          <cell r="C1348">
            <v>-149074</v>
          </cell>
        </row>
        <row r="1349">
          <cell r="A1349" t="str">
            <v/>
          </cell>
          <cell r="B1349" t="str">
            <v>Total 42. No operacionales</v>
          </cell>
          <cell r="C1349">
            <v>-852653589</v>
          </cell>
        </row>
        <row r="1350">
          <cell r="A1350" t="str">
            <v/>
          </cell>
          <cell r="B1350" t="str">
            <v>Total  4 Ingresos</v>
          </cell>
          <cell r="C1350">
            <v>-408842391640</v>
          </cell>
        </row>
        <row r="1351">
          <cell r="A1351" t="str">
            <v/>
          </cell>
          <cell r="B1351" t="str">
            <v>5. Gastos</v>
          </cell>
          <cell r="C1351">
            <v>0</v>
          </cell>
        </row>
        <row r="1352">
          <cell r="A1352" t="str">
            <v/>
          </cell>
          <cell r="B1352" t="str">
            <v>51. Gastos de administracion</v>
          </cell>
          <cell r="C1352">
            <v>0</v>
          </cell>
        </row>
        <row r="1353">
          <cell r="A1353" t="str">
            <v/>
          </cell>
          <cell r="B1353" t="str">
            <v>5105. Gastos de Personal</v>
          </cell>
          <cell r="C1353">
            <v>0</v>
          </cell>
        </row>
        <row r="1354">
          <cell r="A1354" t="str">
            <v/>
          </cell>
          <cell r="B1354" t="str">
            <v>510503. Salario integral</v>
          </cell>
          <cell r="C1354">
            <v>0</v>
          </cell>
        </row>
        <row r="1355">
          <cell r="A1355" t="str">
            <v>510503000</v>
          </cell>
          <cell r="B1355" t="str">
            <v>510503000 ADMÓN - SALARIO INTEGRAL</v>
          </cell>
          <cell r="C1355">
            <v>390291034</v>
          </cell>
        </row>
        <row r="1356">
          <cell r="A1356" t="str">
            <v/>
          </cell>
          <cell r="B1356" t="str">
            <v>Total Salario  integral</v>
          </cell>
          <cell r="C1356">
            <v>390291034</v>
          </cell>
        </row>
        <row r="1357">
          <cell r="A1357" t="str">
            <v/>
          </cell>
          <cell r="B1357" t="str">
            <v>510506. Sueldos</v>
          </cell>
          <cell r="C1357">
            <v>0</v>
          </cell>
        </row>
        <row r="1358">
          <cell r="A1358" t="str">
            <v>510506000</v>
          </cell>
          <cell r="B1358" t="str">
            <v>510506000 ADMÓN. - SUELDOS</v>
          </cell>
          <cell r="C1358">
            <v>2524666222</v>
          </cell>
        </row>
        <row r="1359">
          <cell r="A1359" t="str">
            <v>510506001</v>
          </cell>
          <cell r="B1359" t="str">
            <v>510506001 ADMÓN. - SUELDOS AYC</v>
          </cell>
          <cell r="C1359">
            <v>69404684</v>
          </cell>
        </row>
        <row r="1360">
          <cell r="A1360" t="str">
            <v/>
          </cell>
          <cell r="B1360" t="str">
            <v>Total Sueldos</v>
          </cell>
          <cell r="C1360">
            <v>2594070906</v>
          </cell>
        </row>
        <row r="1361">
          <cell r="A1361" t="str">
            <v/>
          </cell>
          <cell r="B1361" t="str">
            <v>510515. Horas extras y Recargos</v>
          </cell>
          <cell r="C1361">
            <v>0</v>
          </cell>
        </row>
        <row r="1362">
          <cell r="A1362" t="str">
            <v>510515000</v>
          </cell>
          <cell r="B1362" t="str">
            <v>510515000 ADMÓN - HORAS EXTRAS Y RECARGOS</v>
          </cell>
          <cell r="C1362">
            <v>217858490</v>
          </cell>
        </row>
        <row r="1363">
          <cell r="A1363" t="str">
            <v>510515001</v>
          </cell>
          <cell r="B1363" t="str">
            <v>510515001 ADMÓN - HORAS EXTRAS Y RECARGOS AYC</v>
          </cell>
          <cell r="C1363">
            <v>1279230</v>
          </cell>
        </row>
        <row r="1364">
          <cell r="A1364" t="str">
            <v/>
          </cell>
          <cell r="B1364" t="str">
            <v>Total Horas extras y Recargos</v>
          </cell>
          <cell r="C1364">
            <v>219137720</v>
          </cell>
        </row>
        <row r="1365">
          <cell r="A1365" t="str">
            <v/>
          </cell>
          <cell r="B1365" t="str">
            <v>510518. Comisiones</v>
          </cell>
          <cell r="C1365">
            <v>0</v>
          </cell>
        </row>
        <row r="1366">
          <cell r="A1366" t="str">
            <v>510518000</v>
          </cell>
          <cell r="B1366" t="str">
            <v>510518000 ADMÓN - COMISIONES</v>
          </cell>
          <cell r="C1366">
            <v>1973004</v>
          </cell>
        </row>
        <row r="1367">
          <cell r="A1367" t="str">
            <v/>
          </cell>
          <cell r="B1367" t="str">
            <v>Total Comisiones</v>
          </cell>
          <cell r="C1367">
            <v>1973004</v>
          </cell>
        </row>
        <row r="1368">
          <cell r="A1368" t="str">
            <v/>
          </cell>
          <cell r="B1368" t="str">
            <v>510524. Incapacidades</v>
          </cell>
          <cell r="C1368">
            <v>0</v>
          </cell>
        </row>
        <row r="1369">
          <cell r="A1369" t="str">
            <v>510524000</v>
          </cell>
          <cell r="B1369" t="str">
            <v>510524000 ADMON - INCAPACIDADES</v>
          </cell>
          <cell r="C1369">
            <v>17368164</v>
          </cell>
        </row>
        <row r="1370">
          <cell r="A1370" t="str">
            <v/>
          </cell>
          <cell r="B1370" t="str">
            <v>Total Incapacidades</v>
          </cell>
          <cell r="C1370">
            <v>17368164</v>
          </cell>
        </row>
        <row r="1371">
          <cell r="A1371" t="str">
            <v/>
          </cell>
          <cell r="B1371" t="str">
            <v>510527. Auxilio de Trasporte</v>
          </cell>
          <cell r="C1371">
            <v>0</v>
          </cell>
        </row>
        <row r="1372">
          <cell r="A1372" t="str">
            <v>510527000</v>
          </cell>
          <cell r="B1372" t="str">
            <v>510527000 ADMON - AUXILIO DE TRANSPORTE</v>
          </cell>
          <cell r="C1372">
            <v>100837674</v>
          </cell>
        </row>
        <row r="1373">
          <cell r="A1373" t="str">
            <v>510527001</v>
          </cell>
          <cell r="B1373" t="str">
            <v>510527001 ADMON - AUXILIO DE TRANSPORTE AYC</v>
          </cell>
          <cell r="C1373">
            <v>1537530</v>
          </cell>
        </row>
        <row r="1374">
          <cell r="A1374" t="str">
            <v/>
          </cell>
          <cell r="B1374" t="str">
            <v>Total Auxilio de Trasporte</v>
          </cell>
          <cell r="C1374">
            <v>102375204</v>
          </cell>
        </row>
        <row r="1375">
          <cell r="A1375" t="str">
            <v/>
          </cell>
          <cell r="B1375" t="str">
            <v>510530. Cesantias</v>
          </cell>
          <cell r="C1375">
            <v>0</v>
          </cell>
        </row>
        <row r="1376">
          <cell r="A1376" t="str">
            <v>510530000</v>
          </cell>
          <cell r="B1376" t="str">
            <v>510530000 ADMON - CESANTIAS</v>
          </cell>
          <cell r="C1376">
            <v>263813038</v>
          </cell>
        </row>
        <row r="1377">
          <cell r="A1377" t="str">
            <v>510530001</v>
          </cell>
          <cell r="B1377" t="str">
            <v>510530001 ADMON - CESANTIAS AYC</v>
          </cell>
          <cell r="C1377">
            <v>6669437</v>
          </cell>
        </row>
        <row r="1378">
          <cell r="A1378" t="str">
            <v/>
          </cell>
          <cell r="B1378" t="str">
            <v>Total Cesantias</v>
          </cell>
          <cell r="C1378">
            <v>270482475</v>
          </cell>
        </row>
        <row r="1379">
          <cell r="A1379" t="str">
            <v/>
          </cell>
          <cell r="B1379" t="str">
            <v>510533. Intereses sobre cesantias</v>
          </cell>
          <cell r="C1379">
            <v>0</v>
          </cell>
        </row>
        <row r="1380">
          <cell r="A1380" t="str">
            <v>510533000</v>
          </cell>
          <cell r="B1380" t="str">
            <v>510533000 ADMON - INT. SOB CESANTÍAS</v>
          </cell>
          <cell r="C1380">
            <v>19313631</v>
          </cell>
        </row>
        <row r="1381">
          <cell r="A1381" t="str">
            <v>510533001</v>
          </cell>
          <cell r="B1381" t="str">
            <v>510533001 ADMON - INT. SOB CESANTÍAS AYC</v>
          </cell>
          <cell r="C1381">
            <v>1468058</v>
          </cell>
        </row>
        <row r="1382">
          <cell r="A1382" t="str">
            <v/>
          </cell>
          <cell r="B1382" t="str">
            <v>Total Intereses sobre cesantias</v>
          </cell>
          <cell r="C1382">
            <v>20781689</v>
          </cell>
        </row>
        <row r="1383">
          <cell r="A1383" t="str">
            <v/>
          </cell>
          <cell r="B1383" t="str">
            <v>510536. Prima de Servicios</v>
          </cell>
          <cell r="C1383">
            <v>0</v>
          </cell>
        </row>
        <row r="1384">
          <cell r="A1384" t="str">
            <v>510536000</v>
          </cell>
          <cell r="B1384" t="str">
            <v>510536000 ADMON - PRIMA DE SERVICIOS</v>
          </cell>
          <cell r="C1384">
            <v>261410777</v>
          </cell>
        </row>
        <row r="1385">
          <cell r="A1385" t="str">
            <v>510536001</v>
          </cell>
          <cell r="B1385" t="str">
            <v>510536001 ADMON - PRIMA DE SERVICIOS AYC</v>
          </cell>
          <cell r="C1385">
            <v>6704531</v>
          </cell>
        </row>
        <row r="1386">
          <cell r="A1386" t="str">
            <v/>
          </cell>
          <cell r="B1386" t="str">
            <v>Total Prima de Servicios</v>
          </cell>
          <cell r="C1386">
            <v>268115308</v>
          </cell>
        </row>
        <row r="1387">
          <cell r="A1387" t="str">
            <v/>
          </cell>
          <cell r="B1387" t="str">
            <v>510539. Vacaciones</v>
          </cell>
          <cell r="C1387">
            <v>0</v>
          </cell>
        </row>
        <row r="1388">
          <cell r="A1388" t="str">
            <v>510539000</v>
          </cell>
          <cell r="B1388" t="str">
            <v>510539000 ADMON - VACACIONES</v>
          </cell>
          <cell r="C1388">
            <v>156112566</v>
          </cell>
        </row>
        <row r="1389">
          <cell r="A1389" t="str">
            <v>510539001</v>
          </cell>
          <cell r="B1389" t="str">
            <v>510539001 ADMON - VACACIONES AYC</v>
          </cell>
          <cell r="C1389">
            <v>4287755</v>
          </cell>
        </row>
        <row r="1390">
          <cell r="A1390" t="str">
            <v/>
          </cell>
          <cell r="B1390" t="str">
            <v>Total Vacaciones</v>
          </cell>
          <cell r="C1390">
            <v>160400321</v>
          </cell>
        </row>
        <row r="1391">
          <cell r="A1391" t="str">
            <v/>
          </cell>
          <cell r="B1391" t="str">
            <v>510545. Auxilios</v>
          </cell>
          <cell r="C1391">
            <v>0</v>
          </cell>
        </row>
        <row r="1392">
          <cell r="A1392" t="str">
            <v>510545000</v>
          </cell>
          <cell r="B1392" t="str">
            <v>510545000 ADMON - AUXILIO DE VACACIONES</v>
          </cell>
          <cell r="C1392">
            <v>94781509</v>
          </cell>
        </row>
        <row r="1393">
          <cell r="A1393" t="str">
            <v>510545001</v>
          </cell>
          <cell r="B1393" t="str">
            <v>510545001 ADMON - AUXILIOS AL PERSONAL AYC</v>
          </cell>
          <cell r="C1393">
            <v>2729496</v>
          </cell>
        </row>
        <row r="1394">
          <cell r="A1394" t="str">
            <v/>
          </cell>
          <cell r="B1394" t="str">
            <v>Total  Auxilios</v>
          </cell>
          <cell r="C1394">
            <v>97511005</v>
          </cell>
        </row>
        <row r="1395">
          <cell r="A1395" t="str">
            <v/>
          </cell>
          <cell r="B1395" t="str">
            <v>510548. Bonificaciones</v>
          </cell>
          <cell r="C1395">
            <v>0</v>
          </cell>
        </row>
        <row r="1396">
          <cell r="A1396" t="str">
            <v>510548000</v>
          </cell>
          <cell r="B1396" t="str">
            <v>510548000 ADMON - BONIFICACIONES</v>
          </cell>
          <cell r="C1396">
            <v>215604408</v>
          </cell>
        </row>
        <row r="1397">
          <cell r="A1397" t="str">
            <v>510548001</v>
          </cell>
          <cell r="B1397" t="str">
            <v>510548001 ADMON - BONIFICACIONES AYC</v>
          </cell>
          <cell r="C1397">
            <v>5245514</v>
          </cell>
        </row>
        <row r="1398">
          <cell r="A1398" t="str">
            <v/>
          </cell>
          <cell r="B1398" t="str">
            <v>Total Bonificaciones</v>
          </cell>
          <cell r="C1398">
            <v>220849922</v>
          </cell>
        </row>
        <row r="1399">
          <cell r="A1399" t="str">
            <v/>
          </cell>
          <cell r="B1399" t="str">
            <v>510551. Dotacion y suministro a trabajajores</v>
          </cell>
          <cell r="C1399">
            <v>0</v>
          </cell>
        </row>
        <row r="1400">
          <cell r="A1400" t="str">
            <v>510551000</v>
          </cell>
          <cell r="B1400" t="str">
            <v>510551000 ADMON - DOTACION Y SUMINISTROS A TRAB.</v>
          </cell>
          <cell r="C1400">
            <v>21783102</v>
          </cell>
        </row>
        <row r="1401">
          <cell r="A1401" t="str">
            <v>510551001</v>
          </cell>
          <cell r="B1401" t="str">
            <v>510551001 ADMON - DOTACION Y SUMINISTROS A TRAB. AYC</v>
          </cell>
          <cell r="C1401">
            <v>2542310</v>
          </cell>
        </row>
        <row r="1402">
          <cell r="A1402" t="str">
            <v>510551011</v>
          </cell>
          <cell r="B1402" t="str">
            <v>510551011 ADMON - DOTACION Y SUMINISTROS A TRAB. BODEGA</v>
          </cell>
          <cell r="C1402">
            <v>42857262</v>
          </cell>
        </row>
        <row r="1403">
          <cell r="A1403" t="str">
            <v/>
          </cell>
          <cell r="B1403" t="str">
            <v>Total Dotacion y suministro a trabajadores</v>
          </cell>
          <cell r="C1403">
            <v>67182674</v>
          </cell>
        </row>
        <row r="1404">
          <cell r="A1404" t="str">
            <v/>
          </cell>
          <cell r="B1404" t="str">
            <v>510554. Seguros</v>
          </cell>
          <cell r="C1404">
            <v>0</v>
          </cell>
        </row>
        <row r="1405">
          <cell r="A1405" t="str">
            <v>510554000</v>
          </cell>
          <cell r="B1405" t="str">
            <v>510554000 ADMON - SEGUROS</v>
          </cell>
          <cell r="C1405">
            <v>0</v>
          </cell>
        </row>
        <row r="1406">
          <cell r="A1406" t="str">
            <v/>
          </cell>
          <cell r="B1406" t="str">
            <v>Total Seguros</v>
          </cell>
          <cell r="C1406">
            <v>0</v>
          </cell>
        </row>
        <row r="1407">
          <cell r="A1407" t="str">
            <v/>
          </cell>
          <cell r="B1407" t="str">
            <v>510560. Indemnizaciones laborales</v>
          </cell>
          <cell r="C1407">
            <v>0</v>
          </cell>
        </row>
        <row r="1408">
          <cell r="A1408" t="str">
            <v>510560000</v>
          </cell>
          <cell r="B1408" t="str">
            <v>510560000 ADMON - INDEMNIZACIONES LABORALES</v>
          </cell>
          <cell r="C1408">
            <v>75254889</v>
          </cell>
        </row>
        <row r="1409">
          <cell r="A1409" t="str">
            <v/>
          </cell>
          <cell r="B1409" t="str">
            <v>Total Indemnizaciones laborales</v>
          </cell>
          <cell r="C1409">
            <v>75254889</v>
          </cell>
        </row>
        <row r="1410">
          <cell r="A1410" t="str">
            <v/>
          </cell>
          <cell r="B1410" t="str">
            <v>510563. Capacitacion al personal</v>
          </cell>
          <cell r="C1410">
            <v>0</v>
          </cell>
        </row>
        <row r="1411">
          <cell r="A1411" t="str">
            <v>510563000</v>
          </cell>
          <cell r="B1411" t="str">
            <v>510563000 ADMON - CAPACITACION AL PERSONAL</v>
          </cell>
          <cell r="C1411">
            <v>32771715</v>
          </cell>
        </row>
        <row r="1412">
          <cell r="A1412" t="str">
            <v>510563001</v>
          </cell>
          <cell r="B1412" t="str">
            <v>510563001 ADMON - CAPACITACION AL PERSONAL AYC</v>
          </cell>
          <cell r="C1412">
            <v>1100000</v>
          </cell>
        </row>
        <row r="1413">
          <cell r="A1413" t="str">
            <v/>
          </cell>
          <cell r="B1413" t="str">
            <v>Total Capacitacion al personal</v>
          </cell>
          <cell r="C1413">
            <v>33871715</v>
          </cell>
        </row>
        <row r="1414">
          <cell r="A1414" t="str">
            <v/>
          </cell>
          <cell r="B1414" t="str">
            <v>510566. Gastos deportivos y de recreacion</v>
          </cell>
          <cell r="C1414">
            <v>0</v>
          </cell>
        </row>
        <row r="1415">
          <cell r="A1415" t="str">
            <v>510566000</v>
          </cell>
          <cell r="B1415" t="str">
            <v>510566000 ADMON - GTOS DEPORTIVOS Y DE RECREACI.</v>
          </cell>
          <cell r="C1415">
            <v>10025396</v>
          </cell>
        </row>
        <row r="1416">
          <cell r="A1416" t="str">
            <v/>
          </cell>
          <cell r="B1416" t="str">
            <v>Total Gastos deportivos y de recreacion</v>
          </cell>
          <cell r="C1416">
            <v>10025396</v>
          </cell>
        </row>
        <row r="1417">
          <cell r="A1417" t="str">
            <v/>
          </cell>
          <cell r="B1417" t="str">
            <v>510569. Aportes a salud</v>
          </cell>
          <cell r="C1417">
            <v>0</v>
          </cell>
        </row>
        <row r="1418">
          <cell r="A1418" t="str">
            <v>510569000</v>
          </cell>
          <cell r="B1418" t="str">
            <v>510569000 ADMON - APORTES SALUD</v>
          </cell>
          <cell r="C1418">
            <v>265868306</v>
          </cell>
        </row>
        <row r="1419">
          <cell r="A1419" t="str">
            <v>510569001</v>
          </cell>
          <cell r="B1419" t="str">
            <v>510569001 ADMON - APORTES SALUD AYC</v>
          </cell>
          <cell r="C1419">
            <v>6237282</v>
          </cell>
        </row>
        <row r="1420">
          <cell r="A1420" t="str">
            <v/>
          </cell>
          <cell r="B1420" t="str">
            <v>Total Aportes a salud</v>
          </cell>
          <cell r="C1420">
            <v>272105588</v>
          </cell>
        </row>
        <row r="1421">
          <cell r="A1421" t="str">
            <v/>
          </cell>
          <cell r="B1421" t="str">
            <v>510570. Aportes Pension</v>
          </cell>
          <cell r="C1421">
            <v>0</v>
          </cell>
        </row>
        <row r="1422">
          <cell r="A1422" t="str">
            <v>510570000</v>
          </cell>
          <cell r="B1422" t="str">
            <v>510570000 ADMON - APORTES A PENSION</v>
          </cell>
          <cell r="C1422">
            <v>371826770</v>
          </cell>
        </row>
        <row r="1423">
          <cell r="A1423" t="str">
            <v>510570001</v>
          </cell>
          <cell r="B1423" t="str">
            <v>510570001 ADMON - APORTES A PENSION AYC</v>
          </cell>
          <cell r="C1423">
            <v>8047181</v>
          </cell>
        </row>
        <row r="1424">
          <cell r="A1424" t="str">
            <v/>
          </cell>
          <cell r="B1424" t="str">
            <v>Total Aportes Pension</v>
          </cell>
          <cell r="C1424">
            <v>379873951</v>
          </cell>
        </row>
        <row r="1425">
          <cell r="A1425" t="str">
            <v/>
          </cell>
          <cell r="B1425" t="str">
            <v>510571. Aportes A.R.P.</v>
          </cell>
          <cell r="C1425">
            <v>0</v>
          </cell>
        </row>
        <row r="1426">
          <cell r="A1426" t="str">
            <v>510571000</v>
          </cell>
          <cell r="B1426" t="str">
            <v>510571000 ADMON - APORTES A A.R.P</v>
          </cell>
          <cell r="C1426">
            <v>24305486</v>
          </cell>
        </row>
        <row r="1427">
          <cell r="A1427" t="str">
            <v>510571001</v>
          </cell>
          <cell r="B1427" t="str">
            <v>510571001 ADMON - APORTES A A.R.P AYC</v>
          </cell>
          <cell r="C1427">
            <v>388743</v>
          </cell>
        </row>
        <row r="1428">
          <cell r="A1428" t="str">
            <v/>
          </cell>
          <cell r="B1428" t="str">
            <v>Total Aportes A.R.P.</v>
          </cell>
          <cell r="C1428">
            <v>24694229</v>
          </cell>
        </row>
        <row r="1429">
          <cell r="A1429" t="str">
            <v/>
          </cell>
          <cell r="B1429" t="str">
            <v>510572. Aportes a caja de compensacion</v>
          </cell>
          <cell r="C1429">
            <v>0</v>
          </cell>
        </row>
        <row r="1430">
          <cell r="A1430" t="str">
            <v>510572000</v>
          </cell>
          <cell r="B1430" t="str">
            <v>510572000 ADMON - APORTES A CAJA DE COMPENSACION</v>
          </cell>
          <cell r="C1430">
            <v>131331568</v>
          </cell>
        </row>
        <row r="1431">
          <cell r="A1431" t="str">
            <v>510572001</v>
          </cell>
          <cell r="B1431" t="str">
            <v>510572001 ADMON - APORTES A CAJA DE COMPENSACION AYC</v>
          </cell>
          <cell r="C1431">
            <v>3056030</v>
          </cell>
        </row>
        <row r="1432">
          <cell r="A1432" t="str">
            <v/>
          </cell>
          <cell r="B1432" t="str">
            <v>Total Aportes a caja de compensacion</v>
          </cell>
          <cell r="C1432">
            <v>134387598</v>
          </cell>
        </row>
        <row r="1433">
          <cell r="A1433" t="str">
            <v/>
          </cell>
          <cell r="B1433" t="str">
            <v>510575. Aportes I.C.B.F.</v>
          </cell>
          <cell r="C1433">
            <v>0</v>
          </cell>
        </row>
        <row r="1434">
          <cell r="A1434" t="str">
            <v>510575000</v>
          </cell>
          <cell r="B1434" t="str">
            <v>510575000 ADMON - APORTES I.C.B.F</v>
          </cell>
          <cell r="C1434">
            <v>98498691</v>
          </cell>
        </row>
        <row r="1435">
          <cell r="A1435" t="str">
            <v>510575001</v>
          </cell>
          <cell r="B1435" t="str">
            <v>510575001 ADMON - APORTES I.C.B.F AYC</v>
          </cell>
          <cell r="C1435">
            <v>2292021</v>
          </cell>
        </row>
        <row r="1436">
          <cell r="A1436" t="str">
            <v/>
          </cell>
          <cell r="B1436" t="str">
            <v>Total Aportes I.C.B.F.</v>
          </cell>
          <cell r="C1436">
            <v>100790712</v>
          </cell>
        </row>
        <row r="1437">
          <cell r="A1437" t="str">
            <v/>
          </cell>
          <cell r="B1437" t="str">
            <v>510578. SENA</v>
          </cell>
          <cell r="C1437">
            <v>0</v>
          </cell>
        </row>
        <row r="1438">
          <cell r="A1438" t="str">
            <v>510578000</v>
          </cell>
          <cell r="B1438" t="str">
            <v>510578000 ADMON - SENA</v>
          </cell>
          <cell r="C1438">
            <v>65665786</v>
          </cell>
        </row>
        <row r="1439">
          <cell r="A1439" t="str">
            <v>510578001</v>
          </cell>
          <cell r="B1439" t="str">
            <v>510578001 ADMON - SENA AYC</v>
          </cell>
          <cell r="C1439">
            <v>2544189</v>
          </cell>
        </row>
        <row r="1440">
          <cell r="A1440" t="str">
            <v/>
          </cell>
          <cell r="B1440" t="str">
            <v>Total  SENA</v>
          </cell>
          <cell r="C1440">
            <v>68209975</v>
          </cell>
        </row>
        <row r="1441">
          <cell r="A1441" t="str">
            <v/>
          </cell>
          <cell r="B1441" t="str">
            <v>510584. Gasto medico y drogas</v>
          </cell>
          <cell r="C1441">
            <v>0</v>
          </cell>
        </row>
        <row r="1442">
          <cell r="A1442" t="str">
            <v>510584000</v>
          </cell>
          <cell r="B1442" t="str">
            <v>510584000 ADMON - GASTO MEDICO Y DROGAS</v>
          </cell>
          <cell r="C1442">
            <v>7191208</v>
          </cell>
        </row>
        <row r="1443">
          <cell r="A1443" t="str">
            <v/>
          </cell>
          <cell r="B1443" t="str">
            <v>Total Gasto medico y drogas</v>
          </cell>
          <cell r="C1443">
            <v>7191208</v>
          </cell>
        </row>
        <row r="1444">
          <cell r="A1444" t="str">
            <v/>
          </cell>
          <cell r="B1444" t="str">
            <v>510595. Otros</v>
          </cell>
          <cell r="C1444">
            <v>0</v>
          </cell>
        </row>
        <row r="1445">
          <cell r="A1445" t="str">
            <v>510595001</v>
          </cell>
          <cell r="B1445" t="str">
            <v>510595001 ADMON - AUXILIO DE ALIMENTACION AYC</v>
          </cell>
          <cell r="C1445">
            <v>2594795</v>
          </cell>
        </row>
        <row r="1446">
          <cell r="A1446" t="str">
            <v>510595002</v>
          </cell>
          <cell r="B1446" t="str">
            <v>510595002 ADMON - AUXILIO DE LENTES AYC</v>
          </cell>
          <cell r="C1446">
            <v>50046</v>
          </cell>
        </row>
        <row r="1447">
          <cell r="A1447" t="str">
            <v>510595005</v>
          </cell>
          <cell r="B1447" t="str">
            <v>510595005 ADMON - ATENCION Y ESTIMULOS AYC</v>
          </cell>
          <cell r="C1447">
            <v>90000</v>
          </cell>
        </row>
        <row r="1448">
          <cell r="A1448" t="str">
            <v>510595011</v>
          </cell>
          <cell r="B1448" t="str">
            <v>510595011 ADMON - AUXILIO DE ALIMENTACION</v>
          </cell>
          <cell r="C1448">
            <v>161328040</v>
          </cell>
        </row>
        <row r="1449">
          <cell r="A1449" t="str">
            <v>510595012</v>
          </cell>
          <cell r="B1449" t="str">
            <v>510595012 ADMON - AUXILIO DE LENTES</v>
          </cell>
          <cell r="C1449">
            <v>1148092</v>
          </cell>
        </row>
        <row r="1450">
          <cell r="A1450" t="str">
            <v>510595013</v>
          </cell>
          <cell r="B1450" t="str">
            <v>510595013 ADMON - AUXILIO DE NACIMIENTO</v>
          </cell>
          <cell r="C1450">
            <v>2889240</v>
          </cell>
        </row>
        <row r="1451">
          <cell r="A1451" t="str">
            <v>510595014</v>
          </cell>
          <cell r="B1451" t="str">
            <v>510595014 ADMON - AUXILIO FUNERARIO</v>
          </cell>
          <cell r="C1451">
            <v>716568</v>
          </cell>
        </row>
        <row r="1452">
          <cell r="A1452" t="str">
            <v>510595015</v>
          </cell>
          <cell r="B1452" t="str">
            <v>510595015 ADMON - ATENCION Y ESTIMULOS</v>
          </cell>
          <cell r="C1452">
            <v>53373765</v>
          </cell>
        </row>
        <row r="1453">
          <cell r="A1453" t="str">
            <v>510595016</v>
          </cell>
          <cell r="B1453" t="str">
            <v>510595016 ADMON - OTROS GASTOS DE PERSONAL</v>
          </cell>
          <cell r="C1453">
            <v>1700972</v>
          </cell>
        </row>
        <row r="1454">
          <cell r="A1454" t="str">
            <v>510595031</v>
          </cell>
          <cell r="B1454" t="str">
            <v>510595031 ADMON - COMPENSACION TEMPORALES SENA</v>
          </cell>
          <cell r="C1454">
            <v>39334600</v>
          </cell>
        </row>
        <row r="1455">
          <cell r="A1455" t="str">
            <v/>
          </cell>
          <cell r="B1455" t="str">
            <v>Total Otros</v>
          </cell>
          <cell r="C1455">
            <v>263226118</v>
          </cell>
        </row>
        <row r="1456">
          <cell r="A1456" t="str">
            <v/>
          </cell>
          <cell r="B1456" t="str">
            <v>Total 5105 Gastos de Personal</v>
          </cell>
          <cell r="C1456">
            <v>5800170805</v>
          </cell>
        </row>
        <row r="1457">
          <cell r="A1457" t="str">
            <v/>
          </cell>
          <cell r="B1457" t="str">
            <v>5110. Gastos generales</v>
          </cell>
          <cell r="C1457">
            <v>0</v>
          </cell>
        </row>
        <row r="1458">
          <cell r="A1458" t="str">
            <v/>
          </cell>
          <cell r="B1458" t="str">
            <v>511001. Honorarios</v>
          </cell>
          <cell r="C1458">
            <v>0</v>
          </cell>
        </row>
        <row r="1459">
          <cell r="A1459" t="str">
            <v>511001000</v>
          </cell>
          <cell r="B1459" t="str">
            <v>511001000 ADMON - HONORARIOS</v>
          </cell>
          <cell r="C1459">
            <v>483471132</v>
          </cell>
        </row>
        <row r="1460">
          <cell r="A1460" t="str">
            <v/>
          </cell>
          <cell r="B1460" t="str">
            <v>Total Honorarios</v>
          </cell>
          <cell r="C1460">
            <v>483471132</v>
          </cell>
        </row>
        <row r="1461">
          <cell r="A1461" t="str">
            <v/>
          </cell>
          <cell r="B1461" t="str">
            <v>511002. Impuestos</v>
          </cell>
          <cell r="C1461">
            <v>0</v>
          </cell>
        </row>
        <row r="1462">
          <cell r="A1462" t="str">
            <v>511002001</v>
          </cell>
          <cell r="B1462" t="str">
            <v>511002001 ADMON - IMPUESTO PREDIAL AYC</v>
          </cell>
          <cell r="C1462">
            <v>40553</v>
          </cell>
        </row>
        <row r="1463">
          <cell r="A1463" t="str">
            <v>511002002</v>
          </cell>
          <cell r="B1463" t="str">
            <v>511002002 ADMON - IMPUESTO INDUSTRIA Y COMERC.AYC</v>
          </cell>
          <cell r="C1463">
            <v>28585311</v>
          </cell>
        </row>
        <row r="1464">
          <cell r="A1464" t="str">
            <v>511002003</v>
          </cell>
          <cell r="B1464" t="str">
            <v>511002003 ADMON - IMPUESTO VEHICULOS</v>
          </cell>
          <cell r="C1464">
            <v>425100</v>
          </cell>
        </row>
        <row r="1465">
          <cell r="A1465" t="str">
            <v>511002011</v>
          </cell>
          <cell r="B1465" t="str">
            <v>511002011 ADMON - IMPUESTO PREDIAL</v>
          </cell>
          <cell r="C1465">
            <v>22680615</v>
          </cell>
        </row>
        <row r="1466">
          <cell r="A1466" t="str">
            <v>511002012</v>
          </cell>
          <cell r="B1466" t="str">
            <v>511002012 ADMON - IMPUESTO INDUSTRIA Y COMERCIO</v>
          </cell>
          <cell r="C1466">
            <v>27650013</v>
          </cell>
        </row>
        <row r="1467">
          <cell r="A1467" t="str">
            <v>511002013</v>
          </cell>
          <cell r="B1467" t="str">
            <v>511002013 ADMON - IMPUESTO DE TIMBRE</v>
          </cell>
          <cell r="C1467">
            <v>18666285</v>
          </cell>
        </row>
        <row r="1468">
          <cell r="A1468" t="str">
            <v>511002014</v>
          </cell>
          <cell r="B1468" t="str">
            <v>511002014 ADMON - IMPUESTO 4  X MIL</v>
          </cell>
          <cell r="C1468">
            <v>40658002</v>
          </cell>
        </row>
        <row r="1469">
          <cell r="A1469" t="str">
            <v>511002015</v>
          </cell>
          <cell r="B1469" t="str">
            <v>511002015 ADMON - IMPUESTO 4  X MIL A Y C</v>
          </cell>
          <cell r="C1469">
            <v>102910909</v>
          </cell>
        </row>
        <row r="1470">
          <cell r="A1470" t="str">
            <v/>
          </cell>
          <cell r="B1470" t="str">
            <v>Total Impuestos</v>
          </cell>
          <cell r="C1470">
            <v>241616788</v>
          </cell>
        </row>
        <row r="1471">
          <cell r="A1471" t="str">
            <v/>
          </cell>
          <cell r="B1471" t="str">
            <v>511004. Arrendamientos</v>
          </cell>
          <cell r="C1471">
            <v>0</v>
          </cell>
        </row>
        <row r="1472">
          <cell r="A1472" t="str">
            <v>511004001</v>
          </cell>
          <cell r="B1472" t="str">
            <v>511004001 ADMON - ARRENDAMIENTOS EDIFICACIONES</v>
          </cell>
          <cell r="C1472">
            <v>22195968</v>
          </cell>
        </row>
        <row r="1473">
          <cell r="A1473" t="str">
            <v>511004002</v>
          </cell>
          <cell r="B1473" t="str">
            <v>511004002 ADMON - ARREND.MAQUINARIA Y EQUIPO</v>
          </cell>
          <cell r="C1473">
            <v>3621380</v>
          </cell>
        </row>
        <row r="1474">
          <cell r="A1474" t="str">
            <v>511004003</v>
          </cell>
          <cell r="B1474" t="str">
            <v>511004003 ADMON - ARREND.MUEBLES Y EQUIPO DE OFIC.</v>
          </cell>
          <cell r="C1474">
            <v>8567653</v>
          </cell>
        </row>
        <row r="1475">
          <cell r="A1475" t="str">
            <v>511004004</v>
          </cell>
          <cell r="B1475" t="str">
            <v>511004004 ADMON - ARREND.EQUIP.DE COMPUT.Y COMUN.</v>
          </cell>
          <cell r="C1475">
            <v>43387994</v>
          </cell>
        </row>
        <row r="1476">
          <cell r="A1476" t="str">
            <v/>
          </cell>
          <cell r="B1476" t="str">
            <v>Total Arrendamientos</v>
          </cell>
          <cell r="C1476">
            <v>77772995</v>
          </cell>
        </row>
        <row r="1477">
          <cell r="A1477" t="str">
            <v/>
          </cell>
          <cell r="B1477" t="str">
            <v>511008. Seguros</v>
          </cell>
          <cell r="C1477">
            <v>0</v>
          </cell>
        </row>
        <row r="1478">
          <cell r="A1478" t="str">
            <v>511008007</v>
          </cell>
          <cell r="B1478" t="str">
            <v>511008007 ADMON - POLIZA CARTERA DEUDORES  AYC</v>
          </cell>
          <cell r="C1478">
            <v>70460958</v>
          </cell>
        </row>
        <row r="1479">
          <cell r="A1479" t="str">
            <v>511008011</v>
          </cell>
          <cell r="B1479" t="str">
            <v>511008011 ADMON - SEGUROS VARIOS ( OTROS Y ASUMIDOS)</v>
          </cell>
          <cell r="C1479">
            <v>7200</v>
          </cell>
        </row>
        <row r="1480">
          <cell r="A1480" t="str">
            <v>511008016</v>
          </cell>
          <cell r="B1480" t="str">
            <v>511008016 ADMON - POLIZA SUBSIDIO 30%  A ASOCIADOS</v>
          </cell>
          <cell r="C1480">
            <v>54359709</v>
          </cell>
        </row>
        <row r="1481">
          <cell r="A1481" t="str">
            <v>511008018</v>
          </cell>
          <cell r="B1481" t="str">
            <v>511008018 ADMON - POLIZA INCENDIO FIJA</v>
          </cell>
          <cell r="C1481">
            <v>13769181</v>
          </cell>
        </row>
        <row r="1482">
          <cell r="A1482" t="str">
            <v>511008019</v>
          </cell>
          <cell r="B1482" t="str">
            <v>511008019 ADMON - POLIZA SUSTRACCION FIJA</v>
          </cell>
          <cell r="C1482">
            <v>498876</v>
          </cell>
        </row>
        <row r="1483">
          <cell r="A1483" t="str">
            <v>511008020</v>
          </cell>
          <cell r="B1483" t="str">
            <v>511008020 ADMON - POLIZA DE EQUIPO ELECTRONICO</v>
          </cell>
          <cell r="C1483">
            <v>21148236</v>
          </cell>
        </row>
        <row r="1484">
          <cell r="A1484" t="str">
            <v>511008021</v>
          </cell>
          <cell r="B1484" t="str">
            <v>511008021 ADMON - POLIZA DE RESPONSABILIDAD CIVIL</v>
          </cell>
          <cell r="C1484">
            <v>1428498</v>
          </cell>
        </row>
        <row r="1485">
          <cell r="A1485" t="str">
            <v>511008022</v>
          </cell>
          <cell r="B1485" t="str">
            <v>511008022 ADMON - POLIZA ROTURA DE MAQUINARIA</v>
          </cell>
          <cell r="C1485">
            <v>813681</v>
          </cell>
        </row>
        <row r="1486">
          <cell r="A1486" t="str">
            <v>511008023</v>
          </cell>
          <cell r="B1486" t="str">
            <v>511008023 ADMON - POLIZA MANEJO GLOBAL COMERCIAL</v>
          </cell>
          <cell r="C1486">
            <v>29722148</v>
          </cell>
        </row>
        <row r="1487">
          <cell r="A1487" t="str">
            <v>511008024</v>
          </cell>
          <cell r="B1487" t="str">
            <v>511008024 ADMON - POLIZA PARA ROTURA DE VIDRIOS</v>
          </cell>
          <cell r="C1487">
            <v>423605</v>
          </cell>
        </row>
        <row r="1488">
          <cell r="A1488" t="str">
            <v>511008025</v>
          </cell>
          <cell r="B1488" t="str">
            <v>511008025 ADMON - POLIZA DE AUTOS.</v>
          </cell>
          <cell r="C1488">
            <v>204399</v>
          </cell>
        </row>
        <row r="1489">
          <cell r="A1489" t="str">
            <v>511008027</v>
          </cell>
          <cell r="B1489" t="str">
            <v>511008027 ADMON - POLIZAS JUDICIALES</v>
          </cell>
          <cell r="C1489">
            <v>775435</v>
          </cell>
        </row>
        <row r="1490">
          <cell r="A1490" t="str">
            <v/>
          </cell>
          <cell r="B1490" t="str">
            <v>Total Seguros</v>
          </cell>
          <cell r="C1490">
            <v>193611926</v>
          </cell>
        </row>
        <row r="1491">
          <cell r="A1491" t="str">
            <v/>
          </cell>
          <cell r="B1491" t="str">
            <v>511010. Mantenimiento y reparaciones</v>
          </cell>
          <cell r="C1491">
            <v>0</v>
          </cell>
        </row>
        <row r="1492">
          <cell r="A1492" t="str">
            <v>511010001</v>
          </cell>
          <cell r="B1492" t="str">
            <v>511010001 ADMON - MANTEN.EDIFICAC.E INSTALACIONES</v>
          </cell>
          <cell r="C1492">
            <v>143542893</v>
          </cell>
        </row>
        <row r="1493">
          <cell r="A1493" t="str">
            <v>511010002</v>
          </cell>
          <cell r="B1493" t="str">
            <v>511010002 ADMON - MANTEN.MAQUINARIA Y EQUIPO</v>
          </cell>
          <cell r="C1493">
            <v>88029540</v>
          </cell>
        </row>
        <row r="1494">
          <cell r="A1494" t="str">
            <v>511010011</v>
          </cell>
          <cell r="B1494" t="str">
            <v>511010011 ADMON - MANTENIMIENTO EN PROPIEDADES ARRENDADAS</v>
          </cell>
          <cell r="C1494">
            <v>9738554</v>
          </cell>
        </row>
        <row r="1495">
          <cell r="A1495" t="str">
            <v>511010013</v>
          </cell>
          <cell r="B1495" t="str">
            <v>511010013 ADMON - MANTENIMIENTO MUEBLES</v>
          </cell>
          <cell r="C1495">
            <v>3624050</v>
          </cell>
        </row>
        <row r="1496">
          <cell r="A1496" t="str">
            <v>511010014</v>
          </cell>
          <cell r="B1496" t="str">
            <v>511010014 ADMON - MANTENIMIENTO EQUIPO DE OFICINA</v>
          </cell>
          <cell r="C1496">
            <v>651100</v>
          </cell>
        </row>
        <row r="1497">
          <cell r="A1497" t="str">
            <v>511010015</v>
          </cell>
          <cell r="B1497" t="str">
            <v>511010015 ADMON - MANTENIMIENTO EQUIP. DE COMPUTO</v>
          </cell>
          <cell r="C1497">
            <v>108886099</v>
          </cell>
        </row>
        <row r="1498">
          <cell r="A1498" t="str">
            <v>511010016</v>
          </cell>
          <cell r="B1498" t="str">
            <v>511010016 ADMON - MANTENIM.EQUIPO DE COMUNICACION</v>
          </cell>
          <cell r="C1498">
            <v>13779134</v>
          </cell>
        </row>
        <row r="1499">
          <cell r="A1499" t="str">
            <v>511010017</v>
          </cell>
          <cell r="B1499" t="str">
            <v>511010017 ADMON - MANTENIM.SOFTWARE EQ.COMPUTO</v>
          </cell>
          <cell r="C1499">
            <v>25590791</v>
          </cell>
        </row>
        <row r="1500">
          <cell r="A1500" t="str">
            <v>511010018</v>
          </cell>
          <cell r="B1500" t="str">
            <v>511010018 ADMON - MANTENIM.SOFTWARE EQ.COMPUTO AYC</v>
          </cell>
          <cell r="C1500">
            <v>13064000</v>
          </cell>
        </row>
        <row r="1501">
          <cell r="A1501" t="str">
            <v/>
          </cell>
          <cell r="B1501" t="str">
            <v>Total Mantenimiento y reparaciones</v>
          </cell>
          <cell r="C1501">
            <v>406906161</v>
          </cell>
        </row>
        <row r="1502">
          <cell r="A1502" t="str">
            <v/>
          </cell>
          <cell r="B1502" t="str">
            <v>511014. Cuotas de Administracion</v>
          </cell>
          <cell r="C1502">
            <v>0</v>
          </cell>
        </row>
        <row r="1503">
          <cell r="A1503" t="str">
            <v>511014001</v>
          </cell>
          <cell r="B1503" t="str">
            <v>511014001 ADMON - CUOTAS DE ADMINISTRACION</v>
          </cell>
          <cell r="C1503">
            <v>19165945</v>
          </cell>
        </row>
        <row r="1504">
          <cell r="A1504" t="str">
            <v/>
          </cell>
          <cell r="B1504" t="str">
            <v>Total Cuotas de Administracion</v>
          </cell>
          <cell r="C1504">
            <v>19165945</v>
          </cell>
        </row>
        <row r="1505">
          <cell r="A1505" t="str">
            <v/>
          </cell>
          <cell r="B1505" t="str">
            <v>511016. Reparaciones Locativas</v>
          </cell>
          <cell r="C1505">
            <v>0</v>
          </cell>
        </row>
        <row r="1506">
          <cell r="A1506" t="str">
            <v>511016001</v>
          </cell>
          <cell r="B1506" t="str">
            <v>511016001 ADMON - SUMINIST. Y ARREGLOS LOCATIVOS AYC</v>
          </cell>
          <cell r="C1506">
            <v>14400</v>
          </cell>
        </row>
        <row r="1507">
          <cell r="A1507" t="str">
            <v>511016011</v>
          </cell>
          <cell r="B1507" t="str">
            <v>511016011 ADMON - SUMINIST. Y ARREGLOS LOCATIVOS</v>
          </cell>
          <cell r="C1507">
            <v>48351391</v>
          </cell>
        </row>
        <row r="1508">
          <cell r="A1508" t="str">
            <v/>
          </cell>
          <cell r="B1508" t="str">
            <v>Total Reparaciones Locativas</v>
          </cell>
          <cell r="C1508">
            <v>48365791</v>
          </cell>
        </row>
        <row r="1509">
          <cell r="A1509" t="str">
            <v/>
          </cell>
          <cell r="B1509" t="str">
            <v>511018. Aseo Y elementos</v>
          </cell>
          <cell r="C1509">
            <v>0</v>
          </cell>
        </row>
        <row r="1510">
          <cell r="A1510" t="str">
            <v>511018001</v>
          </cell>
          <cell r="B1510" t="str">
            <v>511018001 ADMON - IMPLEMENTOS DE ASEO AYC</v>
          </cell>
          <cell r="C1510">
            <v>373926</v>
          </cell>
        </row>
        <row r="1511">
          <cell r="A1511" t="str">
            <v>511018011</v>
          </cell>
          <cell r="B1511" t="str">
            <v>511018011 ADMON - IMPLEMENTOS DE ASEO</v>
          </cell>
          <cell r="C1511">
            <v>57405432</v>
          </cell>
        </row>
        <row r="1512">
          <cell r="A1512" t="str">
            <v>511018012</v>
          </cell>
          <cell r="B1512" t="str">
            <v>511018012 ADMON - ASEO GENERAL</v>
          </cell>
          <cell r="C1512">
            <v>10354263</v>
          </cell>
        </row>
        <row r="1513">
          <cell r="A1513" t="str">
            <v/>
          </cell>
          <cell r="B1513" t="str">
            <v>Total Aseo Y elementos</v>
          </cell>
          <cell r="C1513">
            <v>68133621</v>
          </cell>
        </row>
        <row r="1514">
          <cell r="A1514" t="str">
            <v/>
          </cell>
          <cell r="B1514" t="str">
            <v>511020. Cafeteria</v>
          </cell>
          <cell r="C1514">
            <v>0</v>
          </cell>
        </row>
        <row r="1515">
          <cell r="A1515" t="str">
            <v>511020001</v>
          </cell>
          <cell r="B1515" t="str">
            <v>511020001 ADMON - SUMINISTROS CAFETERIA AYC</v>
          </cell>
          <cell r="C1515">
            <v>286869</v>
          </cell>
        </row>
        <row r="1516">
          <cell r="A1516" t="str">
            <v>511020011</v>
          </cell>
          <cell r="B1516" t="str">
            <v>511020011 ADMON - SUMINISTROS CAFETERIA</v>
          </cell>
          <cell r="C1516">
            <v>159528342</v>
          </cell>
        </row>
        <row r="1517">
          <cell r="A1517" t="str">
            <v>511020012</v>
          </cell>
          <cell r="B1517" t="str">
            <v>511020012 ADMON - ELEMENTOS CAFETERIA</v>
          </cell>
          <cell r="C1517">
            <v>2947919</v>
          </cell>
        </row>
        <row r="1518">
          <cell r="A1518" t="str">
            <v/>
          </cell>
          <cell r="B1518" t="str">
            <v>Total Cafeteria</v>
          </cell>
          <cell r="C1518">
            <v>162763130</v>
          </cell>
        </row>
        <row r="1519">
          <cell r="A1519" t="str">
            <v/>
          </cell>
          <cell r="B1519" t="str">
            <v>511022. Servicios publicos</v>
          </cell>
          <cell r="C1519">
            <v>0</v>
          </cell>
        </row>
        <row r="1520">
          <cell r="A1520" t="str">
            <v>511022001</v>
          </cell>
          <cell r="B1520" t="str">
            <v>511022001 ADMON - ACUEDUCTO AYC</v>
          </cell>
          <cell r="C1520">
            <v>128167</v>
          </cell>
        </row>
        <row r="1521">
          <cell r="A1521" t="str">
            <v>511022002</v>
          </cell>
          <cell r="B1521" t="str">
            <v>511022002 ADMON - ALCANTARILLADO AYC</v>
          </cell>
          <cell r="C1521">
            <v>82133</v>
          </cell>
        </row>
        <row r="1522">
          <cell r="A1522" t="str">
            <v>511022003</v>
          </cell>
          <cell r="B1522" t="str">
            <v>511022003 ADMON - ENERGIA AYC</v>
          </cell>
          <cell r="C1522">
            <v>794960</v>
          </cell>
        </row>
        <row r="1523">
          <cell r="A1523" t="str">
            <v>511022004</v>
          </cell>
          <cell r="B1523" t="str">
            <v>511022004 ADMON - TELEFONO AYC</v>
          </cell>
          <cell r="C1523">
            <v>3718131</v>
          </cell>
        </row>
        <row r="1524">
          <cell r="A1524" t="str">
            <v>511022005</v>
          </cell>
          <cell r="B1524" t="str">
            <v>511022005 ADMON - ASEO DISTRITAL  AYC</v>
          </cell>
          <cell r="C1524">
            <v>75375</v>
          </cell>
        </row>
        <row r="1525">
          <cell r="A1525" t="str">
            <v>511022006</v>
          </cell>
          <cell r="B1525" t="str">
            <v>511022006 ADMON - GASNATURAL  AYC</v>
          </cell>
          <cell r="C1525">
            <v>15170</v>
          </cell>
        </row>
        <row r="1526">
          <cell r="A1526" t="str">
            <v>511022011</v>
          </cell>
          <cell r="B1526" t="str">
            <v>511022011 ADMON - ACUEDUCTO</v>
          </cell>
          <cell r="C1526">
            <v>5309886</v>
          </cell>
        </row>
        <row r="1527">
          <cell r="A1527" t="str">
            <v>511022012</v>
          </cell>
          <cell r="B1527" t="str">
            <v>511022012 ADMON - ALCANTARILLADO</v>
          </cell>
          <cell r="C1527">
            <v>3518465</v>
          </cell>
        </row>
        <row r="1528">
          <cell r="A1528" t="str">
            <v>511022013</v>
          </cell>
          <cell r="B1528" t="str">
            <v>511022013 ADMON - ENERGIA</v>
          </cell>
          <cell r="C1528">
            <v>88968411</v>
          </cell>
        </row>
        <row r="1529">
          <cell r="A1529" t="str">
            <v>511022015</v>
          </cell>
          <cell r="B1529" t="str">
            <v>511022015 ADMON - ASEO DISTRITAL</v>
          </cell>
          <cell r="C1529">
            <v>3666668</v>
          </cell>
        </row>
        <row r="1530">
          <cell r="A1530" t="str">
            <v>511022016</v>
          </cell>
          <cell r="B1530" t="str">
            <v>511022016 ADMON - GAS</v>
          </cell>
          <cell r="C1530">
            <v>578410</v>
          </cell>
        </row>
        <row r="1531">
          <cell r="A1531" t="str">
            <v>511022020</v>
          </cell>
          <cell r="B1531" t="str">
            <v>511022020 ADMON - TELEFONO  LINEAS DIRECTAS</v>
          </cell>
          <cell r="C1531">
            <v>25826078</v>
          </cell>
        </row>
        <row r="1532">
          <cell r="A1532" t="str">
            <v>511022021</v>
          </cell>
          <cell r="B1532" t="str">
            <v>511022021 ADMON - TELEFONO  PBX</v>
          </cell>
          <cell r="C1532">
            <v>59005199</v>
          </cell>
        </row>
        <row r="1533">
          <cell r="A1533" t="str">
            <v>511022022</v>
          </cell>
          <cell r="B1533" t="str">
            <v>511022022 ADMON - TELEFONO  LINEA 9800</v>
          </cell>
          <cell r="C1533">
            <v>-885492</v>
          </cell>
        </row>
        <row r="1534">
          <cell r="A1534" t="str">
            <v/>
          </cell>
          <cell r="B1534" t="str">
            <v>Total Servicios publicos</v>
          </cell>
          <cell r="C1534">
            <v>190801561</v>
          </cell>
        </row>
        <row r="1535">
          <cell r="A1535" t="str">
            <v/>
          </cell>
          <cell r="B1535" t="str">
            <v>511024. Portes,cables, fax y telex</v>
          </cell>
          <cell r="C1535">
            <v>0</v>
          </cell>
        </row>
        <row r="1536">
          <cell r="A1536" t="str">
            <v>511024001</v>
          </cell>
          <cell r="B1536" t="str">
            <v>511024001 ADMON - FAX Y TELEX</v>
          </cell>
          <cell r="C1536">
            <v>137400</v>
          </cell>
        </row>
        <row r="1537">
          <cell r="A1537" t="str">
            <v/>
          </cell>
          <cell r="B1537" t="str">
            <v>Total Portes,cables, fax y telex</v>
          </cell>
          <cell r="C1537">
            <v>137400</v>
          </cell>
        </row>
        <row r="1538">
          <cell r="A1538" t="str">
            <v/>
          </cell>
          <cell r="B1538" t="str">
            <v>511026. Trasporte,fletes y acarreos</v>
          </cell>
          <cell r="C1538">
            <v>0</v>
          </cell>
        </row>
        <row r="1539">
          <cell r="A1539" t="str">
            <v>511026001</v>
          </cell>
          <cell r="B1539" t="str">
            <v>511026001 ADMON - OTROS GTOS DE TRANSPORTE</v>
          </cell>
          <cell r="C1539">
            <v>3736431</v>
          </cell>
        </row>
        <row r="1540">
          <cell r="A1540" t="str">
            <v>511026002</v>
          </cell>
          <cell r="B1540" t="str">
            <v>511026002 ADMON - ACARREOS</v>
          </cell>
          <cell r="C1540">
            <v>6050886</v>
          </cell>
        </row>
        <row r="1541">
          <cell r="A1541" t="str">
            <v/>
          </cell>
          <cell r="B1541" t="str">
            <v>Total Trasporte,fletes y acarreos</v>
          </cell>
          <cell r="C1541">
            <v>9787317</v>
          </cell>
        </row>
        <row r="1542">
          <cell r="A1542" t="str">
            <v/>
          </cell>
          <cell r="B1542" t="str">
            <v>511028. Papeleria y utiles de oficina</v>
          </cell>
          <cell r="C1542">
            <v>0</v>
          </cell>
        </row>
        <row r="1543">
          <cell r="A1543" t="str">
            <v>511028001</v>
          </cell>
          <cell r="B1543" t="str">
            <v>511028001 ADMON - PAPELERIA - UTILES DE OFICINA AYC</v>
          </cell>
          <cell r="C1543">
            <v>20811455</v>
          </cell>
        </row>
        <row r="1544">
          <cell r="A1544" t="str">
            <v>511028011</v>
          </cell>
          <cell r="B1544" t="str">
            <v>511028011 ADMON - PAPELERIA - UTILES DE OFICNA</v>
          </cell>
          <cell r="C1544">
            <v>355520562</v>
          </cell>
        </row>
        <row r="1545">
          <cell r="A1545" t="str">
            <v>511028013</v>
          </cell>
          <cell r="B1545" t="str">
            <v>511028013 ADMON - REVELADOS ROLLOS Y DEMAS</v>
          </cell>
          <cell r="C1545">
            <v>1854330</v>
          </cell>
        </row>
        <row r="1546">
          <cell r="A1546" t="str">
            <v/>
          </cell>
          <cell r="B1546" t="str">
            <v>Total Papeleria y utiles de oficina</v>
          </cell>
          <cell r="C1546">
            <v>378186347</v>
          </cell>
        </row>
        <row r="1547">
          <cell r="A1547" t="str">
            <v/>
          </cell>
          <cell r="B1547" t="str">
            <v>511030. Fotocopias</v>
          </cell>
          <cell r="C1547">
            <v>0</v>
          </cell>
        </row>
        <row r="1548">
          <cell r="A1548" t="str">
            <v>511030002</v>
          </cell>
          <cell r="B1548" t="str">
            <v>511030002 ADMON - FOTOCOPIAS  AYC</v>
          </cell>
          <cell r="C1548">
            <v>1778563</v>
          </cell>
        </row>
        <row r="1549">
          <cell r="A1549" t="str">
            <v>511030012</v>
          </cell>
          <cell r="B1549" t="str">
            <v>511030012 ADMON - FOTOCOPIAS</v>
          </cell>
          <cell r="C1549">
            <v>23442051</v>
          </cell>
        </row>
        <row r="1550">
          <cell r="A1550" t="str">
            <v>511030013</v>
          </cell>
          <cell r="B1550" t="str">
            <v>511030013 ADMON - ENCUADERNACION</v>
          </cell>
          <cell r="C1550">
            <v>8556020</v>
          </cell>
        </row>
        <row r="1551">
          <cell r="A1551" t="str">
            <v>511030014</v>
          </cell>
          <cell r="B1551" t="str">
            <v>511030014 ADMON - ACETATOS</v>
          </cell>
          <cell r="C1551">
            <v>30750</v>
          </cell>
        </row>
        <row r="1552">
          <cell r="A1552" t="str">
            <v/>
          </cell>
          <cell r="B1552" t="str">
            <v>Total Fotocopias</v>
          </cell>
          <cell r="C1552">
            <v>33807384</v>
          </cell>
        </row>
        <row r="1553">
          <cell r="A1553" t="str">
            <v/>
          </cell>
          <cell r="B1553" t="str">
            <v>511032. Suministros</v>
          </cell>
          <cell r="C1553">
            <v>0</v>
          </cell>
        </row>
        <row r="1554">
          <cell r="A1554" t="str">
            <v>511032001</v>
          </cell>
          <cell r="B1554" t="str">
            <v>511032001 ADMON - SUMINISTROS</v>
          </cell>
          <cell r="C1554">
            <v>47326191</v>
          </cell>
        </row>
        <row r="1555">
          <cell r="A1555" t="str">
            <v/>
          </cell>
          <cell r="B1555" t="str">
            <v>Total Suministros</v>
          </cell>
          <cell r="C1555">
            <v>47326191</v>
          </cell>
        </row>
        <row r="1556">
          <cell r="A1556" t="str">
            <v/>
          </cell>
          <cell r="B1556" t="str">
            <v>511034. Publicidad y Propaganda</v>
          </cell>
          <cell r="C1556">
            <v>0</v>
          </cell>
        </row>
        <row r="1557">
          <cell r="A1557" t="str">
            <v>511034001</v>
          </cell>
          <cell r="B1557" t="str">
            <v>511034001 ADMON - ELEMENTOS PUBLICITARIOS AYC</v>
          </cell>
          <cell r="C1557">
            <v>0</v>
          </cell>
        </row>
        <row r="1558">
          <cell r="A1558" t="str">
            <v>511034002</v>
          </cell>
          <cell r="B1558" t="str">
            <v>511034002 ADMON - PUBLICACIONES</v>
          </cell>
          <cell r="C1558">
            <v>21468215</v>
          </cell>
        </row>
        <row r="1559">
          <cell r="A1559" t="str">
            <v>511034003</v>
          </cell>
          <cell r="B1559" t="str">
            <v>511034003 ADMON - SEPARATAS-VOLANTES-AFICHES</v>
          </cell>
          <cell r="C1559">
            <v>0</v>
          </cell>
        </row>
        <row r="1560">
          <cell r="A1560" t="str">
            <v>511034004</v>
          </cell>
          <cell r="B1560" t="str">
            <v>511034004 ADMON - CATALOGOS - PLEGABLES</v>
          </cell>
          <cell r="C1560">
            <v>0</v>
          </cell>
        </row>
        <row r="1561">
          <cell r="A1561" t="str">
            <v>511034005</v>
          </cell>
          <cell r="B1561" t="str">
            <v>511034005 ADMON - PUBLICIDAD Y PRPAGANDA</v>
          </cell>
          <cell r="C1561">
            <v>13846104</v>
          </cell>
        </row>
        <row r="1562">
          <cell r="A1562" t="str">
            <v>511034011</v>
          </cell>
          <cell r="B1562" t="str">
            <v>511034011 ADMON - ELEMENTOS PUBLICITARIOS</v>
          </cell>
          <cell r="C1562">
            <v>827200</v>
          </cell>
        </row>
        <row r="1563">
          <cell r="A1563" t="str">
            <v/>
          </cell>
          <cell r="B1563" t="str">
            <v>Total Publicidad y Propaganda</v>
          </cell>
          <cell r="C1563">
            <v>36141519</v>
          </cell>
        </row>
        <row r="1564">
          <cell r="A1564" t="str">
            <v/>
          </cell>
          <cell r="B1564" t="str">
            <v>511036. Contribuciones y afiliaciones</v>
          </cell>
          <cell r="C1564">
            <v>0</v>
          </cell>
        </row>
        <row r="1565">
          <cell r="A1565" t="str">
            <v>511036001</v>
          </cell>
          <cell r="B1565" t="str">
            <v>511036001 ADMON - CONTRIBUCION SUPERSOLIDARIA AYC</v>
          </cell>
          <cell r="C1565">
            <v>12854592</v>
          </cell>
        </row>
        <row r="1566">
          <cell r="A1566" t="str">
            <v>511036011</v>
          </cell>
          <cell r="B1566" t="str">
            <v>511036011 ADMON - CONTRIBUCION SUPERSOLIDARIA</v>
          </cell>
          <cell r="C1566">
            <v>78625846</v>
          </cell>
        </row>
        <row r="1567">
          <cell r="A1567" t="str">
            <v>511036013</v>
          </cell>
          <cell r="B1567" t="str">
            <v>511036013 ADMON - AFILIACIONES</v>
          </cell>
          <cell r="C1567">
            <v>234000</v>
          </cell>
        </row>
        <row r="1568">
          <cell r="A1568" t="str">
            <v/>
          </cell>
          <cell r="B1568" t="str">
            <v>Total Contribuciones y afiliaciones</v>
          </cell>
          <cell r="C1568">
            <v>91714438</v>
          </cell>
        </row>
        <row r="1569">
          <cell r="A1569" t="str">
            <v/>
          </cell>
          <cell r="B1569" t="str">
            <v>511040. Gastos de Directivos</v>
          </cell>
          <cell r="C1569">
            <v>0</v>
          </cell>
        </row>
        <row r="1570">
          <cell r="A1570" t="str">
            <v>511040001</v>
          </cell>
          <cell r="B1570" t="str">
            <v>511040001 ADMON -CONSUMOS INTERNOS</v>
          </cell>
          <cell r="C1570">
            <v>0</v>
          </cell>
        </row>
        <row r="1571">
          <cell r="A1571" t="str">
            <v>511040002</v>
          </cell>
          <cell r="B1571" t="str">
            <v>511040002 ADMON - JUNTA DE VIGILANCIA</v>
          </cell>
          <cell r="C1571">
            <v>341000</v>
          </cell>
        </row>
        <row r="1572">
          <cell r="A1572" t="str">
            <v>511040004</v>
          </cell>
          <cell r="B1572" t="str">
            <v>511040004 ADMON - CASINO Y RESTAURANTE</v>
          </cell>
          <cell r="C1572">
            <v>220196926</v>
          </cell>
        </row>
        <row r="1573">
          <cell r="A1573" t="str">
            <v/>
          </cell>
          <cell r="B1573" t="str">
            <v>Total Gastos de Directivos</v>
          </cell>
          <cell r="C1573">
            <v>220537926</v>
          </cell>
        </row>
        <row r="1574">
          <cell r="A1574" t="str">
            <v/>
          </cell>
          <cell r="B1574" t="str">
            <v>511042. Gastos de comites</v>
          </cell>
          <cell r="C1574">
            <v>0</v>
          </cell>
        </row>
        <row r="1575">
          <cell r="A1575" t="str">
            <v>511042001</v>
          </cell>
          <cell r="B1575" t="str">
            <v>511042001 ADMON - GTOS DE TRANSPORTE</v>
          </cell>
          <cell r="C1575">
            <v>10223243</v>
          </cell>
        </row>
        <row r="1576">
          <cell r="A1576" t="str">
            <v>511042002</v>
          </cell>
          <cell r="B1576" t="str">
            <v>511042002 ADMON - GTOS CAFETERIA COMITES</v>
          </cell>
          <cell r="C1576">
            <v>1018350</v>
          </cell>
        </row>
        <row r="1577">
          <cell r="A1577" t="str">
            <v/>
          </cell>
          <cell r="B1577" t="str">
            <v>Total Gastos de comites</v>
          </cell>
          <cell r="C1577">
            <v>11241593</v>
          </cell>
        </row>
        <row r="1578">
          <cell r="A1578" t="str">
            <v/>
          </cell>
          <cell r="B1578" t="str">
            <v>511044. Reuniones y conferencias</v>
          </cell>
          <cell r="C1578">
            <v>0</v>
          </cell>
        </row>
        <row r="1579">
          <cell r="A1579" t="str">
            <v>511044002</v>
          </cell>
          <cell r="B1579" t="str">
            <v>511044002 ADMON - GTOS CONFERENCIAS-TALLER-SEMINARIOS</v>
          </cell>
          <cell r="C1579">
            <v>1272993</v>
          </cell>
        </row>
        <row r="1580">
          <cell r="A1580" t="str">
            <v/>
          </cell>
          <cell r="B1580" t="str">
            <v>Total Reuniones y conferencias</v>
          </cell>
          <cell r="C1580">
            <v>1272993</v>
          </cell>
        </row>
        <row r="1581">
          <cell r="A1581" t="str">
            <v/>
          </cell>
          <cell r="B1581" t="str">
            <v>511046. Gastos Legales</v>
          </cell>
          <cell r="C1581">
            <v>0</v>
          </cell>
        </row>
        <row r="1582">
          <cell r="A1582" t="str">
            <v>511046000</v>
          </cell>
          <cell r="B1582" t="str">
            <v>511046000 ADMON - GTOS LEGALES ADUANEROS</v>
          </cell>
          <cell r="C1582">
            <v>6779223</v>
          </cell>
        </row>
        <row r="1583">
          <cell r="A1583" t="str">
            <v>511046001</v>
          </cell>
          <cell r="B1583" t="str">
            <v>511046001 ADMON - GTOS JUDICIALES</v>
          </cell>
          <cell r="C1583">
            <v>6224200</v>
          </cell>
        </row>
        <row r="1584">
          <cell r="A1584" t="str">
            <v>511046002</v>
          </cell>
          <cell r="B1584" t="str">
            <v>511046002 ADMON - GTOS NOTARIALES  Y LAGALES</v>
          </cell>
          <cell r="C1584">
            <v>26178616</v>
          </cell>
        </row>
        <row r="1585">
          <cell r="A1585" t="str">
            <v>511046003</v>
          </cell>
          <cell r="B1585" t="str">
            <v>511046003 ADMON - GTOS VIATICOS ABOGADOS AYC</v>
          </cell>
          <cell r="C1585">
            <v>500000</v>
          </cell>
        </row>
        <row r="1586">
          <cell r="A1586" t="str">
            <v/>
          </cell>
          <cell r="B1586" t="str">
            <v>Total Gastos Legales</v>
          </cell>
          <cell r="C1586">
            <v>39682039</v>
          </cell>
        </row>
        <row r="1587">
          <cell r="A1587" t="str">
            <v/>
          </cell>
          <cell r="B1587" t="str">
            <v>511050. Gastos de representacion.</v>
          </cell>
          <cell r="C1587">
            <v>0</v>
          </cell>
        </row>
        <row r="1588">
          <cell r="A1588" t="str">
            <v>511050001</v>
          </cell>
          <cell r="B1588" t="str">
            <v>511050001 ADMON - GTOS REPRESENTACION</v>
          </cell>
          <cell r="C1588">
            <v>365060</v>
          </cell>
        </row>
        <row r="1589">
          <cell r="A1589" t="str">
            <v/>
          </cell>
          <cell r="B1589" t="str">
            <v>Total Gastos de representacion.</v>
          </cell>
          <cell r="C1589">
            <v>365060</v>
          </cell>
        </row>
        <row r="1590">
          <cell r="A1590" t="str">
            <v/>
          </cell>
          <cell r="B1590" t="str">
            <v>511052. Gastos de Viaje</v>
          </cell>
          <cell r="C1590">
            <v>0</v>
          </cell>
        </row>
        <row r="1591">
          <cell r="A1591" t="str">
            <v>511052001</v>
          </cell>
          <cell r="B1591" t="str">
            <v>511052001 ADMON - ALOJAMIENTO Y MANUTENCION</v>
          </cell>
          <cell r="C1591">
            <v>158650949</v>
          </cell>
        </row>
        <row r="1592">
          <cell r="A1592" t="str">
            <v>511052002</v>
          </cell>
          <cell r="B1592" t="str">
            <v>511052002 ADMON - PASAJES AEREOS</v>
          </cell>
          <cell r="C1592">
            <v>122753816</v>
          </cell>
        </row>
        <row r="1593">
          <cell r="A1593" t="str">
            <v>511052003</v>
          </cell>
          <cell r="B1593" t="str">
            <v>511052003 ADMON - PASAJES TERRESTRES</v>
          </cell>
          <cell r="C1593">
            <v>10664763</v>
          </cell>
        </row>
        <row r="1594">
          <cell r="A1594" t="str">
            <v>511052004</v>
          </cell>
          <cell r="B1594" t="str">
            <v>511052004 ADMON - OTROS GTOS DE VIAJE</v>
          </cell>
          <cell r="C1594">
            <v>25990685</v>
          </cell>
        </row>
        <row r="1595">
          <cell r="A1595" t="str">
            <v/>
          </cell>
          <cell r="B1595" t="str">
            <v>Total Gastos de Viaje</v>
          </cell>
          <cell r="C1595">
            <v>318060213</v>
          </cell>
        </row>
        <row r="1596">
          <cell r="A1596" t="str">
            <v/>
          </cell>
          <cell r="B1596" t="str">
            <v>511054. Servicios temporales</v>
          </cell>
          <cell r="C1596">
            <v>0</v>
          </cell>
        </row>
        <row r="1597">
          <cell r="A1597" t="str">
            <v>511054001</v>
          </cell>
          <cell r="B1597" t="str">
            <v>511054001 ADMON - SERVICIOS TEMPORALES</v>
          </cell>
          <cell r="C1597">
            <v>848019681</v>
          </cell>
        </row>
        <row r="1598">
          <cell r="A1598" t="str">
            <v>511054002</v>
          </cell>
          <cell r="B1598" t="str">
            <v>511054002 ADMON - SERVICIOS DE LAVANDERIA</v>
          </cell>
          <cell r="C1598">
            <v>401000</v>
          </cell>
        </row>
        <row r="1599">
          <cell r="A1599" t="str">
            <v/>
          </cell>
          <cell r="B1599" t="str">
            <v>Total Servicios temporales</v>
          </cell>
          <cell r="C1599">
            <v>848420681</v>
          </cell>
        </row>
        <row r="1600">
          <cell r="A1600" t="str">
            <v/>
          </cell>
          <cell r="B1600" t="str">
            <v>511056. Vigilancia privada</v>
          </cell>
          <cell r="C1600">
            <v>0</v>
          </cell>
        </row>
        <row r="1601">
          <cell r="A1601" t="str">
            <v>511056001</v>
          </cell>
          <cell r="B1601" t="str">
            <v>511056001 ADMON - VIGILANCIA PRIVADA</v>
          </cell>
          <cell r="C1601">
            <v>195381581</v>
          </cell>
        </row>
        <row r="1602">
          <cell r="A1602" t="str">
            <v>511056002</v>
          </cell>
          <cell r="B1602" t="str">
            <v>511056002 ADMON - MONITOREO</v>
          </cell>
          <cell r="C1602">
            <v>10218221</v>
          </cell>
        </row>
        <row r="1603">
          <cell r="A1603" t="str">
            <v/>
          </cell>
          <cell r="B1603" t="str">
            <v>Total Vigilancia privada</v>
          </cell>
          <cell r="C1603">
            <v>205599802</v>
          </cell>
        </row>
        <row r="1604">
          <cell r="A1604" t="str">
            <v/>
          </cell>
          <cell r="B1604" t="str">
            <v>511060. Cuotas de Sostenimiento</v>
          </cell>
          <cell r="C1604">
            <v>0</v>
          </cell>
        </row>
        <row r="1605">
          <cell r="A1605" t="str">
            <v>511060001</v>
          </cell>
          <cell r="B1605" t="str">
            <v>511060001 ADMON - CUOTA SOSTENIMIENTO</v>
          </cell>
          <cell r="C1605">
            <v>25760600</v>
          </cell>
        </row>
        <row r="1606">
          <cell r="A1606" t="str">
            <v/>
          </cell>
          <cell r="B1606" t="str">
            <v>Total Cuotas de Sostenimiento</v>
          </cell>
          <cell r="C1606">
            <v>25760600</v>
          </cell>
        </row>
        <row r="1607">
          <cell r="A1607" t="str">
            <v/>
          </cell>
          <cell r="B1607" t="str">
            <v>511062. Suscripciones</v>
          </cell>
          <cell r="C1607">
            <v>0</v>
          </cell>
        </row>
        <row r="1608">
          <cell r="A1608" t="str">
            <v>511062001</v>
          </cell>
          <cell r="B1608" t="str">
            <v>511062001 ADMON - LIBROS-SUSCRIPCIONES-REVISTAS</v>
          </cell>
          <cell r="C1608">
            <v>13002144</v>
          </cell>
        </row>
        <row r="1609">
          <cell r="A1609" t="str">
            <v>511062002</v>
          </cell>
          <cell r="B1609" t="str">
            <v>511062002 ADMON - OTRAS CUOTAS</v>
          </cell>
          <cell r="C1609">
            <v>1</v>
          </cell>
        </row>
        <row r="1610">
          <cell r="A1610" t="str">
            <v/>
          </cell>
          <cell r="B1610" t="str">
            <v>Total Suscripciones</v>
          </cell>
          <cell r="C1610">
            <v>13002145</v>
          </cell>
        </row>
        <row r="1611">
          <cell r="A1611" t="str">
            <v/>
          </cell>
          <cell r="B1611" t="str">
            <v>511064. Auxilios y donaciones</v>
          </cell>
          <cell r="C1611">
            <v>0</v>
          </cell>
        </row>
        <row r="1612">
          <cell r="A1612" t="str">
            <v>511064001</v>
          </cell>
          <cell r="B1612" t="str">
            <v>511064001 ADMON - AUXILIOS Y DONACIONES</v>
          </cell>
          <cell r="C1612">
            <v>39000000</v>
          </cell>
        </row>
        <row r="1613">
          <cell r="A1613" t="str">
            <v/>
          </cell>
          <cell r="B1613" t="str">
            <v>Total Auxilios y donaciones</v>
          </cell>
          <cell r="C1613">
            <v>39000000</v>
          </cell>
        </row>
        <row r="1614">
          <cell r="A1614" t="str">
            <v/>
          </cell>
          <cell r="B1614" t="str">
            <v>511066. Adecuacion E instalacion</v>
          </cell>
          <cell r="C1614">
            <v>0</v>
          </cell>
        </row>
        <row r="1615">
          <cell r="A1615" t="str">
            <v>511066011</v>
          </cell>
          <cell r="B1615" t="str">
            <v>511066011 ADMON - ADECUACION DE OFICINAS</v>
          </cell>
          <cell r="C1615">
            <v>23533468</v>
          </cell>
        </row>
        <row r="1616">
          <cell r="A1616" t="str">
            <v>511066012</v>
          </cell>
          <cell r="B1616" t="str">
            <v>511066012 ADMON - INSTALACIONES ELECTRICAS</v>
          </cell>
          <cell r="C1616">
            <v>32850</v>
          </cell>
        </row>
        <row r="1617">
          <cell r="A1617" t="str">
            <v/>
          </cell>
          <cell r="B1617" t="str">
            <v>Total Adecuacion E instalacion</v>
          </cell>
          <cell r="C1617">
            <v>23566318</v>
          </cell>
        </row>
        <row r="1618">
          <cell r="A1618" t="str">
            <v/>
          </cell>
          <cell r="B1618" t="str">
            <v>511070. Gastos de Fondo de educacion.</v>
          </cell>
          <cell r="C1618">
            <v>0</v>
          </cell>
        </row>
        <row r="1619">
          <cell r="A1619" t="str">
            <v>511070001</v>
          </cell>
          <cell r="B1619" t="str">
            <v>511070001 ADMON - FONDO DE EDUCACION</v>
          </cell>
          <cell r="C1619">
            <v>13791146</v>
          </cell>
        </row>
        <row r="1620">
          <cell r="A1620" t="str">
            <v/>
          </cell>
          <cell r="B1620" t="str">
            <v>Total Gastos de Fondo de educacion.</v>
          </cell>
          <cell r="C1620">
            <v>13791146</v>
          </cell>
        </row>
        <row r="1621">
          <cell r="A1621" t="str">
            <v/>
          </cell>
          <cell r="B1621" t="str">
            <v>511072. Gastos de Fondo de solidaridad</v>
          </cell>
          <cell r="C1621">
            <v>0</v>
          </cell>
        </row>
        <row r="1622">
          <cell r="A1622" t="str">
            <v>511072001</v>
          </cell>
          <cell r="B1622" t="str">
            <v>511072001 ADMON - FONDO SOLIDARIDAD</v>
          </cell>
          <cell r="C1622">
            <v>1822661</v>
          </cell>
        </row>
        <row r="1623">
          <cell r="A1623" t="str">
            <v/>
          </cell>
          <cell r="B1623" t="str">
            <v>Total Gastos de Fondo de solidaridad</v>
          </cell>
          <cell r="C1623">
            <v>1822661</v>
          </cell>
        </row>
        <row r="1624">
          <cell r="A1624" t="str">
            <v/>
          </cell>
          <cell r="B1624" t="str">
            <v>511080. Gastos otros fondos</v>
          </cell>
          <cell r="C1624">
            <v>0</v>
          </cell>
        </row>
        <row r="1625">
          <cell r="A1625" t="str">
            <v>511080001</v>
          </cell>
          <cell r="B1625" t="str">
            <v>511080001 ADMON - FOND.BIENESTAR RECREAC.DEPORT.</v>
          </cell>
          <cell r="C1625">
            <v>37920798</v>
          </cell>
        </row>
        <row r="1626">
          <cell r="A1626" t="str">
            <v/>
          </cell>
          <cell r="B1626" t="str">
            <v>Total Gastos otros fondos</v>
          </cell>
          <cell r="C1626">
            <v>37920798</v>
          </cell>
        </row>
        <row r="1627">
          <cell r="A1627" t="str">
            <v/>
          </cell>
          <cell r="B1627" t="str">
            <v>511095. Gastos Varios</v>
          </cell>
          <cell r="C1627">
            <v>0</v>
          </cell>
        </row>
        <row r="1628">
          <cell r="A1628" t="str">
            <v>511095001</v>
          </cell>
          <cell r="B1628" t="str">
            <v>511095001 ADMON - SOFTWARE - LICENCIAS</v>
          </cell>
          <cell r="C1628">
            <v>6035254</v>
          </cell>
        </row>
        <row r="1629">
          <cell r="A1629" t="str">
            <v>511095002</v>
          </cell>
          <cell r="B1629" t="str">
            <v>511095002 ADMON - TAXIS Y BUSES  AYC</v>
          </cell>
          <cell r="C1629">
            <v>0</v>
          </cell>
        </row>
        <row r="1630">
          <cell r="A1630" t="str">
            <v>511095009</v>
          </cell>
          <cell r="B1630" t="str">
            <v>511095009 ADMON - COMUNICACION ELECTRONICA DATOS AYC</v>
          </cell>
          <cell r="C1630">
            <v>6760632</v>
          </cell>
        </row>
        <row r="1631">
          <cell r="A1631" t="str">
            <v>511095011</v>
          </cell>
          <cell r="B1631" t="str">
            <v>511095011 ADMON - BEEPER</v>
          </cell>
          <cell r="C1631">
            <v>1195256</v>
          </cell>
        </row>
        <row r="1632">
          <cell r="A1632" t="str">
            <v>511095012</v>
          </cell>
          <cell r="B1632" t="str">
            <v>511095012 ADMON - TAXIS Y BUSES</v>
          </cell>
          <cell r="C1632">
            <v>150758807</v>
          </cell>
        </row>
        <row r="1633">
          <cell r="A1633" t="str">
            <v>511095013</v>
          </cell>
          <cell r="B1633" t="str">
            <v>511095013 ADMON - COMBUSTIBLES Y LUBRICANTES</v>
          </cell>
          <cell r="C1633">
            <v>4654104</v>
          </cell>
        </row>
        <row r="1634">
          <cell r="A1634" t="str">
            <v>511095014</v>
          </cell>
          <cell r="B1634" t="str">
            <v>511095014 ADMON - PARQUEADEROS</v>
          </cell>
          <cell r="C1634">
            <v>6866643</v>
          </cell>
        </row>
        <row r="1635">
          <cell r="A1635" t="str">
            <v>511095015</v>
          </cell>
          <cell r="B1635" t="str">
            <v>511095015 ADMON - TIMBRES Y REGISTROS</v>
          </cell>
          <cell r="C1635">
            <v>175560</v>
          </cell>
        </row>
        <row r="1636">
          <cell r="A1636" t="str">
            <v>511095016</v>
          </cell>
          <cell r="B1636" t="str">
            <v>511095016 ADMON - ATENCION ASOCIADOS</v>
          </cell>
          <cell r="C1636">
            <v>26421794</v>
          </cell>
        </row>
        <row r="1637">
          <cell r="A1637" t="str">
            <v>511095017</v>
          </cell>
          <cell r="B1637" t="str">
            <v>511095017 ADMON - SERVICIO DE INTERNET</v>
          </cell>
          <cell r="C1637">
            <v>22331790</v>
          </cell>
        </row>
        <row r="1638">
          <cell r="A1638" t="str">
            <v>511095018</v>
          </cell>
          <cell r="B1638" t="str">
            <v>511095018 ADMON - MUSICA AMBIENTAL</v>
          </cell>
          <cell r="C1638">
            <v>1124181</v>
          </cell>
        </row>
        <row r="1639">
          <cell r="A1639" t="str">
            <v>511095019</v>
          </cell>
          <cell r="B1639" t="str">
            <v>511095019 ADMON - COMUNICACION ELECTRONICA DATOS</v>
          </cell>
          <cell r="C1639">
            <v>1384431</v>
          </cell>
        </row>
        <row r="1640">
          <cell r="A1640" t="str">
            <v>511095020</v>
          </cell>
          <cell r="B1640" t="str">
            <v>511095020 ADMON - CAPACITACION ASOCIADOS</v>
          </cell>
          <cell r="C1640">
            <v>21302863</v>
          </cell>
        </row>
        <row r="1641">
          <cell r="A1641" t="str">
            <v>511095021</v>
          </cell>
          <cell r="B1641" t="str">
            <v>511095021 ADMON - SERVICIO SATELITAL</v>
          </cell>
          <cell r="C1641">
            <v>73216500</v>
          </cell>
        </row>
        <row r="1642">
          <cell r="A1642" t="str">
            <v>511095022</v>
          </cell>
          <cell r="B1642" t="str">
            <v>511095022 ADMON - SERVICIOS ORNAMENTALES</v>
          </cell>
          <cell r="C1642">
            <v>20000</v>
          </cell>
        </row>
        <row r="1643">
          <cell r="A1643" t="str">
            <v>511095026</v>
          </cell>
          <cell r="B1643" t="str">
            <v>511095026 ADMON - LAVANDERIA</v>
          </cell>
          <cell r="C1643">
            <v>1544380</v>
          </cell>
        </row>
        <row r="1644">
          <cell r="A1644" t="str">
            <v>511095090</v>
          </cell>
          <cell r="B1644" t="str">
            <v>511095090 ADMON - OTROS SERVICIOS</v>
          </cell>
          <cell r="C1644">
            <v>18160007</v>
          </cell>
        </row>
        <row r="1645">
          <cell r="A1645" t="str">
            <v>511095099</v>
          </cell>
          <cell r="B1645" t="str">
            <v>511095099 ADMON - OTROS GASTOS GENERALES DE ADMON</v>
          </cell>
          <cell r="C1645">
            <v>157378319</v>
          </cell>
        </row>
        <row r="1646">
          <cell r="A1646" t="str">
            <v>511095199</v>
          </cell>
          <cell r="B1646" t="str">
            <v>511095199 ADMON -  GASTOS DE PARTICIPACION DE AYC</v>
          </cell>
          <cell r="C1646">
            <v>0</v>
          </cell>
        </row>
        <row r="1647">
          <cell r="A1647" t="str">
            <v/>
          </cell>
          <cell r="B1647" t="str">
            <v>Total Gastos Varios</v>
          </cell>
          <cell r="C1647">
            <v>499330521</v>
          </cell>
        </row>
        <row r="1648">
          <cell r="A1648" t="str">
            <v/>
          </cell>
          <cell r="B1648" t="str">
            <v>Total 5110 Gastos generales</v>
          </cell>
          <cell r="C1648">
            <v>4789084142</v>
          </cell>
        </row>
        <row r="1649">
          <cell r="A1649" t="str">
            <v/>
          </cell>
          <cell r="B1649" t="str">
            <v>5115. Provisiones</v>
          </cell>
          <cell r="C1649">
            <v>0</v>
          </cell>
        </row>
        <row r="1650">
          <cell r="A1650" t="str">
            <v/>
          </cell>
          <cell r="B1650" t="str">
            <v>511510. Creditos Comerciales</v>
          </cell>
          <cell r="C1650">
            <v>0</v>
          </cell>
        </row>
        <row r="1651">
          <cell r="A1651" t="str">
            <v>511510001</v>
          </cell>
          <cell r="B1651" t="str">
            <v>511510001 ADMON - PROVISION CREDITOS DE CARTERA</v>
          </cell>
          <cell r="C1651">
            <v>10002019</v>
          </cell>
        </row>
        <row r="1652">
          <cell r="A1652" t="str">
            <v/>
          </cell>
          <cell r="B1652" t="str">
            <v>Total Creditos Comerciales</v>
          </cell>
          <cell r="C1652">
            <v>10002019</v>
          </cell>
        </row>
        <row r="1653">
          <cell r="A1653" t="str">
            <v/>
          </cell>
          <cell r="B1653" t="str">
            <v>511515. Creditos de Consumo</v>
          </cell>
          <cell r="C1653">
            <v>0</v>
          </cell>
        </row>
        <row r="1654">
          <cell r="A1654" t="str">
            <v>511515001</v>
          </cell>
          <cell r="B1654" t="str">
            <v>511515001 ADMON - PROVISION CREDITOS DE CONSUMO AYC</v>
          </cell>
          <cell r="C1654">
            <v>10475412</v>
          </cell>
        </row>
        <row r="1655">
          <cell r="A1655" t="str">
            <v/>
          </cell>
          <cell r="B1655" t="str">
            <v>Total Creditos de Consumo</v>
          </cell>
          <cell r="C1655">
            <v>10475412</v>
          </cell>
        </row>
        <row r="1656">
          <cell r="A1656" t="str">
            <v/>
          </cell>
          <cell r="B1656" t="str">
            <v>511524. Provision general de cartera</v>
          </cell>
          <cell r="C1656">
            <v>0</v>
          </cell>
        </row>
        <row r="1657">
          <cell r="A1657" t="str">
            <v>511524001</v>
          </cell>
          <cell r="B1657" t="str">
            <v>511524001 ADMON - PROVISION GENERAL DE CARTERA AYC</v>
          </cell>
          <cell r="C1657">
            <v>56281035</v>
          </cell>
        </row>
        <row r="1658">
          <cell r="A1658" t="str">
            <v/>
          </cell>
          <cell r="B1658" t="str">
            <v>Total Provision general de cartera</v>
          </cell>
          <cell r="C1658">
            <v>56281035</v>
          </cell>
        </row>
        <row r="1659">
          <cell r="A1659" t="str">
            <v/>
          </cell>
          <cell r="B1659" t="str">
            <v>511525. Cartera Por venta bienes</v>
          </cell>
          <cell r="C1659">
            <v>0</v>
          </cell>
        </row>
        <row r="1660">
          <cell r="A1660" t="str">
            <v>511525001</v>
          </cell>
          <cell r="B1660" t="str">
            <v>511525001 ADMON - PROVISION CART.POR VTA DE BIENES</v>
          </cell>
          <cell r="C1660">
            <v>16935605</v>
          </cell>
        </row>
        <row r="1661">
          <cell r="A1661" t="str">
            <v/>
          </cell>
          <cell r="B1661" t="str">
            <v>Total Cartera Por venta bienes</v>
          </cell>
          <cell r="C1661">
            <v>16935605</v>
          </cell>
        </row>
        <row r="1662">
          <cell r="A1662" t="str">
            <v/>
          </cell>
          <cell r="B1662" t="str">
            <v>511530. Cuentas Por cobrar</v>
          </cell>
          <cell r="C1662">
            <v>0</v>
          </cell>
        </row>
        <row r="1663">
          <cell r="A1663" t="str">
            <v>511530001</v>
          </cell>
          <cell r="B1663" t="str">
            <v>511530001 ADMON - PROVISION CUENTAS POR COBRAR AYC</v>
          </cell>
          <cell r="C1663">
            <v>972798</v>
          </cell>
        </row>
        <row r="1664">
          <cell r="A1664" t="str">
            <v/>
          </cell>
          <cell r="B1664" t="str">
            <v>Total Cuentas Por cobrar</v>
          </cell>
          <cell r="C1664">
            <v>972798</v>
          </cell>
        </row>
        <row r="1665">
          <cell r="A1665" t="str">
            <v/>
          </cell>
          <cell r="B1665" t="str">
            <v>511535. Inventarios</v>
          </cell>
          <cell r="C1665">
            <v>0</v>
          </cell>
        </row>
        <row r="1666">
          <cell r="A1666" t="str">
            <v>511535002</v>
          </cell>
          <cell r="B1666" t="str">
            <v>511535002 ADMON - PROVISION PARA INVENTARIOS PARA DESGUASE</v>
          </cell>
          <cell r="C1666">
            <v>11500000</v>
          </cell>
        </row>
        <row r="1667">
          <cell r="A1667" t="str">
            <v/>
          </cell>
          <cell r="B1667" t="str">
            <v>Total Inventarios</v>
          </cell>
          <cell r="C1667">
            <v>11500000</v>
          </cell>
        </row>
        <row r="1668">
          <cell r="A1668" t="str">
            <v/>
          </cell>
          <cell r="B1668" t="str">
            <v>Total 5115 Provisiones</v>
          </cell>
          <cell r="C1668">
            <v>106166869</v>
          </cell>
        </row>
        <row r="1669">
          <cell r="A1669" t="str">
            <v/>
          </cell>
          <cell r="B1669" t="str">
            <v>5120. Amortizacion y agotamiento</v>
          </cell>
          <cell r="C1669">
            <v>0</v>
          </cell>
        </row>
        <row r="1670">
          <cell r="A1670" t="str">
            <v/>
          </cell>
          <cell r="B1670" t="str">
            <v>512010. Cargos Diferidos</v>
          </cell>
          <cell r="C1670">
            <v>0</v>
          </cell>
        </row>
        <row r="1671">
          <cell r="A1671" t="str">
            <v>512010004</v>
          </cell>
          <cell r="B1671" t="str">
            <v>512010004 ADMON - DIFER.PROGR. PARA COMPUTADOR</v>
          </cell>
          <cell r="C1671">
            <v>850684000</v>
          </cell>
        </row>
        <row r="1672">
          <cell r="A1672" t="str">
            <v>512010008</v>
          </cell>
          <cell r="B1672" t="str">
            <v>512010008 ADMON - MEJORA PROPIED.TOMADA ARRIENDO</v>
          </cell>
          <cell r="C1672">
            <v>0</v>
          </cell>
        </row>
        <row r="1673">
          <cell r="A1673" t="str">
            <v/>
          </cell>
          <cell r="B1673" t="str">
            <v>Total Cargos Diferidos</v>
          </cell>
          <cell r="C1673">
            <v>850684000</v>
          </cell>
        </row>
        <row r="1674">
          <cell r="A1674" t="str">
            <v/>
          </cell>
          <cell r="B1674" t="str">
            <v>512095. Otras</v>
          </cell>
          <cell r="C1674">
            <v>0</v>
          </cell>
        </row>
        <row r="1675">
          <cell r="A1675" t="str">
            <v>512095000</v>
          </cell>
          <cell r="B1675" t="str">
            <v>512095000 ADMON - AMORT. MUEBLES Y ENSERES COMODATO</v>
          </cell>
          <cell r="C1675">
            <v>4382454</v>
          </cell>
        </row>
        <row r="1676">
          <cell r="A1676" t="str">
            <v>512095010</v>
          </cell>
          <cell r="B1676" t="str">
            <v>512095010 ADMON - AMORT. EQ. COMPUTO COMODATO</v>
          </cell>
          <cell r="C1676">
            <v>344520</v>
          </cell>
        </row>
        <row r="1677">
          <cell r="A1677" t="str">
            <v/>
          </cell>
          <cell r="B1677" t="str">
            <v>Total Otras</v>
          </cell>
          <cell r="C1677">
            <v>4726974</v>
          </cell>
        </row>
        <row r="1678">
          <cell r="A1678" t="str">
            <v/>
          </cell>
          <cell r="B1678" t="str">
            <v>Total 5120 Amortizacion y agotamiento</v>
          </cell>
          <cell r="C1678">
            <v>855410974</v>
          </cell>
        </row>
        <row r="1679">
          <cell r="A1679" t="str">
            <v/>
          </cell>
          <cell r="B1679" t="str">
            <v>5125. Depreciaciones</v>
          </cell>
          <cell r="C1679">
            <v>0</v>
          </cell>
        </row>
        <row r="1680">
          <cell r="A1680" t="str">
            <v/>
          </cell>
          <cell r="B1680" t="str">
            <v>512515. Edificaciones</v>
          </cell>
          <cell r="C1680">
            <v>0</v>
          </cell>
        </row>
        <row r="1681">
          <cell r="A1681" t="str">
            <v>512515001</v>
          </cell>
          <cell r="B1681" t="str">
            <v>512515001 ADMON - DEPRECIACION EDIFICIOS BOGOTA</v>
          </cell>
          <cell r="C1681">
            <v>175214391</v>
          </cell>
        </row>
        <row r="1682">
          <cell r="A1682" t="str">
            <v/>
          </cell>
          <cell r="B1682" t="str">
            <v>Total Edificaciones</v>
          </cell>
          <cell r="C1682">
            <v>175214391</v>
          </cell>
        </row>
        <row r="1683">
          <cell r="A1683" t="str">
            <v/>
          </cell>
          <cell r="B1683" t="str">
            <v>512520. Muebles y equipo de Oficina</v>
          </cell>
          <cell r="C1683">
            <v>0</v>
          </cell>
        </row>
        <row r="1684">
          <cell r="A1684" t="str">
            <v>512520001</v>
          </cell>
          <cell r="B1684" t="str">
            <v>512520001 ADMON - DEPRECIACION EQUIPO.DE OFICINA</v>
          </cell>
          <cell r="C1684">
            <v>14462723</v>
          </cell>
        </row>
        <row r="1685">
          <cell r="A1685" t="str">
            <v>512520002</v>
          </cell>
          <cell r="B1685" t="str">
            <v>512520002 ADMON - DEPRE.EQUIPO DE OFICINA 100% ANO</v>
          </cell>
          <cell r="C1685">
            <v>57805</v>
          </cell>
        </row>
        <row r="1686">
          <cell r="A1686" t="str">
            <v>512520003</v>
          </cell>
          <cell r="B1686" t="str">
            <v>512520003 ADMON - DEPRECIACION  MUEBLES</v>
          </cell>
          <cell r="C1686">
            <v>38430508</v>
          </cell>
        </row>
        <row r="1687">
          <cell r="A1687" t="str">
            <v>512520004</v>
          </cell>
          <cell r="B1687" t="str">
            <v>512520004 ADMON - DEPRE.MUEBLES.100% MISMO ANO</v>
          </cell>
          <cell r="C1687">
            <v>375483</v>
          </cell>
        </row>
        <row r="1688">
          <cell r="A1688" t="str">
            <v/>
          </cell>
          <cell r="B1688" t="str">
            <v>Total Muebles y equipo de Oficina</v>
          </cell>
          <cell r="C1688">
            <v>53326519</v>
          </cell>
        </row>
        <row r="1689">
          <cell r="A1689" t="str">
            <v/>
          </cell>
          <cell r="B1689" t="str">
            <v>512525. Equipo de computo y Comunicaciones</v>
          </cell>
          <cell r="C1689">
            <v>0</v>
          </cell>
        </row>
        <row r="1690">
          <cell r="A1690" t="str">
            <v>512525001</v>
          </cell>
          <cell r="B1690" t="str">
            <v>512525001 ADMON - DEPRE. EQUIPO DE COMPUTO AYC</v>
          </cell>
          <cell r="C1690">
            <v>4744132</v>
          </cell>
        </row>
        <row r="1691">
          <cell r="A1691" t="str">
            <v>512525011</v>
          </cell>
          <cell r="B1691" t="str">
            <v>512525011 ADMON - DEPRE. EQUIPO DE COMPUTO</v>
          </cell>
          <cell r="C1691">
            <v>383467371</v>
          </cell>
        </row>
        <row r="1692">
          <cell r="A1692" t="str">
            <v>512525013</v>
          </cell>
          <cell r="B1692" t="str">
            <v>512525013 ADMON - DEPRE. EQUIPO COMUNICACION</v>
          </cell>
          <cell r="C1692">
            <v>45157088</v>
          </cell>
        </row>
        <row r="1693">
          <cell r="A1693" t="str">
            <v>512525014</v>
          </cell>
          <cell r="B1693" t="str">
            <v>512525014 ADMON - DEPRE. LINEAS TELEFONICAS</v>
          </cell>
          <cell r="C1693">
            <v>65114</v>
          </cell>
        </row>
        <row r="1694">
          <cell r="A1694" t="str">
            <v/>
          </cell>
          <cell r="B1694" t="str">
            <v>Total Equipo de computo y Comunicaciones</v>
          </cell>
          <cell r="C1694">
            <v>433433705</v>
          </cell>
        </row>
        <row r="1695">
          <cell r="A1695" t="str">
            <v/>
          </cell>
          <cell r="B1695" t="str">
            <v>512532.  Envases y Empaques</v>
          </cell>
          <cell r="C1695">
            <v>0</v>
          </cell>
        </row>
        <row r="1696">
          <cell r="A1696" t="str">
            <v>512532002</v>
          </cell>
          <cell r="B1696" t="str">
            <v>512532002 ADMON - DEPRE. ENVASES Y EMPAQUES (CANASTAS)</v>
          </cell>
          <cell r="C1696">
            <v>82985173</v>
          </cell>
        </row>
        <row r="1697">
          <cell r="A1697" t="str">
            <v/>
          </cell>
          <cell r="B1697" t="str">
            <v>Total  Envases y Empaques</v>
          </cell>
          <cell r="C1697">
            <v>82985173</v>
          </cell>
        </row>
        <row r="1698">
          <cell r="A1698" t="str">
            <v/>
          </cell>
          <cell r="B1698" t="str">
            <v>512545. Maquinaria Y equipo</v>
          </cell>
          <cell r="C1698">
            <v>0</v>
          </cell>
        </row>
        <row r="1699">
          <cell r="A1699" t="str">
            <v>512545001</v>
          </cell>
          <cell r="B1699" t="str">
            <v>512545001 ADMON - DEPRE.EQUIPO</v>
          </cell>
          <cell r="C1699">
            <v>23691473</v>
          </cell>
        </row>
        <row r="1700">
          <cell r="A1700" t="str">
            <v>512545006</v>
          </cell>
          <cell r="B1700" t="str">
            <v>512545006 ADMON - DEPRE. MAQUINARIA</v>
          </cell>
          <cell r="C1700">
            <v>172742219</v>
          </cell>
        </row>
        <row r="1701">
          <cell r="A1701" t="str">
            <v/>
          </cell>
          <cell r="B1701" t="str">
            <v>Total Maquinaria Y equipo</v>
          </cell>
          <cell r="C1701">
            <v>196433692</v>
          </cell>
        </row>
        <row r="1702">
          <cell r="A1702" t="str">
            <v/>
          </cell>
          <cell r="B1702" t="str">
            <v>Total 5125 Depreciaciones</v>
          </cell>
          <cell r="C1702">
            <v>941393480</v>
          </cell>
        </row>
        <row r="1703">
          <cell r="A1703" t="str">
            <v/>
          </cell>
          <cell r="B1703" t="str">
            <v>5140. Gastos Financieros</v>
          </cell>
          <cell r="C1703">
            <v>0</v>
          </cell>
        </row>
        <row r="1704">
          <cell r="A1704" t="str">
            <v/>
          </cell>
          <cell r="B1704" t="str">
            <v>514005. Gastos Bancarios</v>
          </cell>
          <cell r="C1704">
            <v>0</v>
          </cell>
        </row>
        <row r="1705">
          <cell r="A1705" t="str">
            <v>514005001</v>
          </cell>
          <cell r="B1705" t="str">
            <v>514005001 ADMON - INT.,CHEQUERAS,SOBGIROS</v>
          </cell>
          <cell r="C1705">
            <v>364815</v>
          </cell>
        </row>
        <row r="1706">
          <cell r="A1706" t="str">
            <v>514005006</v>
          </cell>
          <cell r="B1706" t="str">
            <v>514005006 ADMON - INT.,CHEQUERAS,SOBGIROS AYC</v>
          </cell>
          <cell r="C1706">
            <v>4042801</v>
          </cell>
        </row>
        <row r="1707">
          <cell r="A1707" t="str">
            <v/>
          </cell>
          <cell r="B1707" t="str">
            <v>Total Gastos Bancarios</v>
          </cell>
          <cell r="C1707">
            <v>4407616</v>
          </cell>
        </row>
        <row r="1708">
          <cell r="A1708" t="str">
            <v/>
          </cell>
          <cell r="B1708" t="str">
            <v>514015. Comisiones</v>
          </cell>
          <cell r="C1708">
            <v>0</v>
          </cell>
        </row>
        <row r="1709">
          <cell r="A1709" t="str">
            <v>514015001</v>
          </cell>
          <cell r="B1709" t="str">
            <v>514015001 ADMON - COMISIONES,PORTES Y OTROS GASTOS BANCARIOS</v>
          </cell>
          <cell r="C1709">
            <v>233761638</v>
          </cell>
        </row>
        <row r="1710">
          <cell r="A1710" t="str">
            <v>514015006</v>
          </cell>
          <cell r="B1710" t="str">
            <v>514015006 ADMON - COMISIONES AYC</v>
          </cell>
          <cell r="C1710">
            <v>55769542</v>
          </cell>
        </row>
        <row r="1711">
          <cell r="A1711" t="str">
            <v/>
          </cell>
          <cell r="B1711" t="str">
            <v>Total Comisiones</v>
          </cell>
          <cell r="C1711">
            <v>289531180</v>
          </cell>
        </row>
        <row r="1712">
          <cell r="A1712" t="str">
            <v/>
          </cell>
          <cell r="B1712" t="str">
            <v>514025. Diferencia en cambio</v>
          </cell>
          <cell r="C1712">
            <v>0</v>
          </cell>
        </row>
        <row r="1713">
          <cell r="A1713" t="str">
            <v>514025001</v>
          </cell>
          <cell r="B1713" t="str">
            <v>514025001 ADMON - DIFERENCIA EN CAMBIO</v>
          </cell>
          <cell r="C1713">
            <v>0</v>
          </cell>
        </row>
        <row r="1714">
          <cell r="A1714" t="str">
            <v>514025002</v>
          </cell>
          <cell r="B1714" t="str">
            <v>514025002 ADMON - DIFERENCIA EN CAMBIO PARA BANCOS</v>
          </cell>
          <cell r="C1714">
            <v>0</v>
          </cell>
        </row>
        <row r="1715">
          <cell r="A1715" t="str">
            <v/>
          </cell>
          <cell r="B1715" t="str">
            <v>Diferencia en cambio</v>
          </cell>
          <cell r="C1715">
            <v>0</v>
          </cell>
        </row>
        <row r="1716">
          <cell r="A1716" t="str">
            <v>514052001</v>
          </cell>
          <cell r="B1716" t="str">
            <v>514052001 ADMON - PERDIDA EN FONDO DE INVERSION A Y C</v>
          </cell>
          <cell r="C1716">
            <v>1456139</v>
          </cell>
        </row>
        <row r="1717">
          <cell r="A1717" t="str">
            <v/>
          </cell>
          <cell r="B1717" t="str">
            <v/>
          </cell>
          <cell r="C1717">
            <v>1456139</v>
          </cell>
        </row>
        <row r="1718">
          <cell r="A1718" t="str">
            <v/>
          </cell>
          <cell r="B1718" t="str">
            <v/>
          </cell>
          <cell r="C1718">
            <v>1456139</v>
          </cell>
        </row>
        <row r="1719">
          <cell r="A1719" t="str">
            <v/>
          </cell>
          <cell r="B1719" t="str">
            <v>514095. Otros</v>
          </cell>
          <cell r="C1719">
            <v>0</v>
          </cell>
        </row>
        <row r="1720">
          <cell r="A1720" t="str">
            <v>514095001</v>
          </cell>
          <cell r="B1720" t="str">
            <v>514095001 ADMON - DTO CONCED.A ASOC. POR INGRESO</v>
          </cell>
          <cell r="C1720">
            <v>52194700</v>
          </cell>
        </row>
        <row r="1721">
          <cell r="A1721" t="str">
            <v/>
          </cell>
          <cell r="B1721" t="str">
            <v>Total Otros</v>
          </cell>
          <cell r="C1721">
            <v>52194700</v>
          </cell>
        </row>
        <row r="1722">
          <cell r="A1722" t="str">
            <v/>
          </cell>
          <cell r="B1722" t="str">
            <v>Total 5140 Gastos Financieros</v>
          </cell>
          <cell r="C1722">
            <v>347589635</v>
          </cell>
        </row>
        <row r="1723">
          <cell r="A1723" t="str">
            <v/>
          </cell>
          <cell r="B1723" t="str">
            <v>Total  51. Gastos de administracion</v>
          </cell>
          <cell r="C1723">
            <v>12839815905</v>
          </cell>
        </row>
        <row r="1724">
          <cell r="A1724" t="str">
            <v/>
          </cell>
          <cell r="B1724" t="str">
            <v>52. Gastos de ventas</v>
          </cell>
          <cell r="C1724">
            <v>0</v>
          </cell>
        </row>
        <row r="1725">
          <cell r="A1725" t="str">
            <v/>
          </cell>
          <cell r="B1725" t="str">
            <v>5205. Gastos Personal</v>
          </cell>
          <cell r="C1725">
            <v>0</v>
          </cell>
        </row>
        <row r="1726">
          <cell r="A1726" t="str">
            <v/>
          </cell>
          <cell r="B1726" t="str">
            <v>520503. Salario Integral</v>
          </cell>
          <cell r="C1726">
            <v>0</v>
          </cell>
        </row>
        <row r="1727">
          <cell r="A1727" t="str">
            <v>520503001</v>
          </cell>
          <cell r="B1727" t="str">
            <v>520503001 VTAS - SALARIO INTEGRAL</v>
          </cell>
          <cell r="C1727">
            <v>340347999</v>
          </cell>
        </row>
        <row r="1728">
          <cell r="A1728" t="str">
            <v/>
          </cell>
          <cell r="B1728" t="str">
            <v>Total Salario Integral</v>
          </cell>
          <cell r="C1728">
            <v>340347999</v>
          </cell>
        </row>
        <row r="1729">
          <cell r="A1729" t="str">
            <v/>
          </cell>
          <cell r="B1729" t="str">
            <v>520506. Sueldos</v>
          </cell>
          <cell r="C1729">
            <v>0</v>
          </cell>
        </row>
        <row r="1730">
          <cell r="A1730" t="str">
            <v>520506001</v>
          </cell>
          <cell r="B1730" t="str">
            <v>520506001 VTAS - SUELDOS</v>
          </cell>
          <cell r="C1730">
            <v>852700571</v>
          </cell>
        </row>
        <row r="1731">
          <cell r="A1731" t="str">
            <v/>
          </cell>
          <cell r="B1731" t="str">
            <v>Total Sueldos</v>
          </cell>
          <cell r="C1731">
            <v>852700571</v>
          </cell>
        </row>
        <row r="1732">
          <cell r="A1732" t="str">
            <v/>
          </cell>
          <cell r="B1732" t="str">
            <v>520515. Horas extras y recargos</v>
          </cell>
          <cell r="C1732">
            <v>0</v>
          </cell>
        </row>
        <row r="1733">
          <cell r="A1733" t="str">
            <v>520515001</v>
          </cell>
          <cell r="B1733" t="str">
            <v>520515001 VTAS - HORAS EXTRAS</v>
          </cell>
          <cell r="C1733">
            <v>35458568</v>
          </cell>
        </row>
        <row r="1734">
          <cell r="A1734" t="str">
            <v/>
          </cell>
          <cell r="B1734" t="str">
            <v>Total Horas extras y recargos</v>
          </cell>
          <cell r="C1734">
            <v>35458568</v>
          </cell>
        </row>
        <row r="1735">
          <cell r="A1735" t="str">
            <v/>
          </cell>
          <cell r="B1735" t="str">
            <v>520518. Comisiones</v>
          </cell>
          <cell r="C1735">
            <v>0</v>
          </cell>
        </row>
        <row r="1736">
          <cell r="A1736" t="str">
            <v>520518001</v>
          </cell>
          <cell r="B1736" t="str">
            <v>520518001 VTAS - COMISIONES</v>
          </cell>
          <cell r="C1736">
            <v>338785817</v>
          </cell>
        </row>
        <row r="1737">
          <cell r="A1737" t="str">
            <v/>
          </cell>
          <cell r="B1737" t="str">
            <v>Total Comisiones</v>
          </cell>
          <cell r="C1737">
            <v>338785817</v>
          </cell>
        </row>
        <row r="1738">
          <cell r="A1738" t="str">
            <v/>
          </cell>
          <cell r="B1738" t="str">
            <v>520524. Incapacidades</v>
          </cell>
          <cell r="C1738">
            <v>0</v>
          </cell>
        </row>
        <row r="1739">
          <cell r="A1739" t="str">
            <v>520524001</v>
          </cell>
          <cell r="B1739" t="str">
            <v>520524001 VTAS - INCAPACIDADES</v>
          </cell>
          <cell r="C1739">
            <v>6549423</v>
          </cell>
        </row>
        <row r="1740">
          <cell r="A1740" t="str">
            <v/>
          </cell>
          <cell r="B1740" t="str">
            <v>Total  Incapacidades</v>
          </cell>
          <cell r="C1740">
            <v>6549423</v>
          </cell>
        </row>
        <row r="1741">
          <cell r="A1741" t="str">
            <v/>
          </cell>
          <cell r="B1741" t="str">
            <v>520527. Auxilio de transporte</v>
          </cell>
          <cell r="C1741">
            <v>0</v>
          </cell>
        </row>
        <row r="1742">
          <cell r="A1742" t="str">
            <v>520527001</v>
          </cell>
          <cell r="B1742" t="str">
            <v>520527001 VTAS - AUXILIO DE TRASPORTE</v>
          </cell>
          <cell r="C1742">
            <v>24257422</v>
          </cell>
        </row>
        <row r="1743">
          <cell r="A1743" t="str">
            <v/>
          </cell>
          <cell r="B1743" t="str">
            <v>Total Auxilio de transporte</v>
          </cell>
          <cell r="C1743">
            <v>24257422</v>
          </cell>
        </row>
        <row r="1744">
          <cell r="A1744" t="str">
            <v/>
          </cell>
          <cell r="B1744" t="str">
            <v>520530. Cesantias</v>
          </cell>
          <cell r="C1744">
            <v>0</v>
          </cell>
        </row>
        <row r="1745">
          <cell r="A1745" t="str">
            <v>520530001</v>
          </cell>
          <cell r="B1745" t="str">
            <v>520530001 VTAS - CESANTIAS</v>
          </cell>
          <cell r="C1745">
            <v>113129780</v>
          </cell>
        </row>
        <row r="1746">
          <cell r="A1746" t="str">
            <v/>
          </cell>
          <cell r="B1746" t="str">
            <v>Total Cesantias</v>
          </cell>
          <cell r="C1746">
            <v>113129780</v>
          </cell>
        </row>
        <row r="1747">
          <cell r="A1747" t="str">
            <v/>
          </cell>
          <cell r="B1747" t="str">
            <v>520533. Intereses sobre cesantias</v>
          </cell>
          <cell r="C1747">
            <v>0</v>
          </cell>
        </row>
        <row r="1748">
          <cell r="A1748" t="str">
            <v>520533001</v>
          </cell>
          <cell r="B1748" t="str">
            <v>520533001 VTAS - INTER/CESANTIAS</v>
          </cell>
          <cell r="C1748">
            <v>10332469</v>
          </cell>
        </row>
        <row r="1749">
          <cell r="A1749" t="str">
            <v/>
          </cell>
          <cell r="B1749" t="str">
            <v>Total Intereses sobre cesantias</v>
          </cell>
          <cell r="C1749">
            <v>10332469</v>
          </cell>
        </row>
        <row r="1750">
          <cell r="A1750" t="str">
            <v/>
          </cell>
          <cell r="B1750" t="str">
            <v>520536. Prima de Servicios</v>
          </cell>
          <cell r="C1750">
            <v>0</v>
          </cell>
        </row>
        <row r="1751">
          <cell r="A1751" t="str">
            <v>520536001</v>
          </cell>
          <cell r="B1751" t="str">
            <v>520536001 VTAS - PRIMA DE SERVICIOS</v>
          </cell>
          <cell r="C1751">
            <v>109888778</v>
          </cell>
        </row>
        <row r="1752">
          <cell r="A1752" t="str">
            <v/>
          </cell>
          <cell r="B1752" t="str">
            <v>Total Prima de Servicios</v>
          </cell>
          <cell r="C1752">
            <v>109888778</v>
          </cell>
        </row>
        <row r="1753">
          <cell r="A1753" t="str">
            <v/>
          </cell>
          <cell r="B1753" t="str">
            <v>520539. Vacaciones</v>
          </cell>
          <cell r="C1753">
            <v>0</v>
          </cell>
        </row>
        <row r="1754">
          <cell r="A1754" t="str">
            <v>520539001</v>
          </cell>
          <cell r="B1754" t="str">
            <v>520539001 VTAS - VACACIONES</v>
          </cell>
          <cell r="C1754">
            <v>75619203</v>
          </cell>
        </row>
        <row r="1755">
          <cell r="A1755" t="str">
            <v/>
          </cell>
          <cell r="B1755" t="str">
            <v>Total Vacaciones</v>
          </cell>
          <cell r="C1755">
            <v>75619203</v>
          </cell>
        </row>
        <row r="1756">
          <cell r="A1756" t="str">
            <v/>
          </cell>
          <cell r="B1756" t="str">
            <v>520545. Auxilios</v>
          </cell>
          <cell r="C1756">
            <v>0</v>
          </cell>
        </row>
        <row r="1757">
          <cell r="A1757" t="str">
            <v>520545001</v>
          </cell>
          <cell r="B1757" t="str">
            <v>520545001 VTAS - AUXILIOS</v>
          </cell>
          <cell r="C1757">
            <v>35347204</v>
          </cell>
        </row>
        <row r="1758">
          <cell r="A1758" t="str">
            <v/>
          </cell>
          <cell r="B1758" t="str">
            <v>Total Auxilios</v>
          </cell>
          <cell r="C1758">
            <v>35347204</v>
          </cell>
        </row>
        <row r="1759">
          <cell r="A1759" t="str">
            <v/>
          </cell>
          <cell r="B1759" t="str">
            <v>520548. Bonificaciones</v>
          </cell>
          <cell r="C1759">
            <v>0</v>
          </cell>
        </row>
        <row r="1760">
          <cell r="A1760" t="str">
            <v>520548001</v>
          </cell>
          <cell r="B1760" t="str">
            <v>520548001 VTAS - BONIFICACIONES</v>
          </cell>
          <cell r="C1760">
            <v>110984575</v>
          </cell>
        </row>
        <row r="1761">
          <cell r="A1761" t="str">
            <v/>
          </cell>
          <cell r="B1761" t="str">
            <v>Total Bonificaciones</v>
          </cell>
          <cell r="C1761">
            <v>110984575</v>
          </cell>
        </row>
        <row r="1762">
          <cell r="A1762" t="str">
            <v/>
          </cell>
          <cell r="B1762" t="str">
            <v>520551. Dotacion y suministro a trabajadores</v>
          </cell>
          <cell r="C1762">
            <v>0</v>
          </cell>
        </row>
        <row r="1763">
          <cell r="A1763" t="str">
            <v>520551001</v>
          </cell>
          <cell r="B1763" t="str">
            <v>520551001 VTAS - DOTACION</v>
          </cell>
          <cell r="C1763">
            <v>13040907</v>
          </cell>
        </row>
        <row r="1764">
          <cell r="A1764" t="str">
            <v/>
          </cell>
          <cell r="B1764" t="str">
            <v>Total Dotacion y suministro a trabajadores</v>
          </cell>
          <cell r="C1764">
            <v>13040907</v>
          </cell>
        </row>
        <row r="1765">
          <cell r="A1765" t="str">
            <v/>
          </cell>
          <cell r="B1765" t="str">
            <v>520563. Capacitacion al personal</v>
          </cell>
          <cell r="C1765">
            <v>0</v>
          </cell>
        </row>
        <row r="1766">
          <cell r="A1766" t="str">
            <v>520563001</v>
          </cell>
          <cell r="B1766" t="str">
            <v>520563001 VTAS - CAPACITACION</v>
          </cell>
          <cell r="C1766">
            <v>2534000</v>
          </cell>
        </row>
        <row r="1767">
          <cell r="A1767" t="str">
            <v/>
          </cell>
          <cell r="B1767" t="str">
            <v>Total Capacitacion al personal</v>
          </cell>
          <cell r="C1767">
            <v>2534000</v>
          </cell>
        </row>
        <row r="1768">
          <cell r="A1768" t="str">
            <v/>
          </cell>
          <cell r="B1768" t="str">
            <v>520569. Aportes A salud</v>
          </cell>
          <cell r="C1768">
            <v>0</v>
          </cell>
        </row>
        <row r="1769">
          <cell r="A1769" t="str">
            <v>520569001</v>
          </cell>
          <cell r="B1769" t="str">
            <v>520569001 VTAS - SALUD</v>
          </cell>
          <cell r="C1769">
            <v>128167024</v>
          </cell>
        </row>
        <row r="1770">
          <cell r="A1770" t="str">
            <v/>
          </cell>
          <cell r="B1770" t="str">
            <v>Total Aportes A salud</v>
          </cell>
          <cell r="C1770">
            <v>128167024</v>
          </cell>
        </row>
        <row r="1771">
          <cell r="A1771" t="str">
            <v/>
          </cell>
          <cell r="B1771" t="str">
            <v>520570. Aportes pension</v>
          </cell>
          <cell r="C1771">
            <v>0</v>
          </cell>
        </row>
        <row r="1772">
          <cell r="A1772" t="str">
            <v>520570001</v>
          </cell>
          <cell r="B1772" t="str">
            <v>520570001 VTAS - PENSION</v>
          </cell>
          <cell r="C1772">
            <v>184370225</v>
          </cell>
        </row>
        <row r="1773">
          <cell r="A1773" t="str">
            <v/>
          </cell>
          <cell r="B1773" t="str">
            <v>Total Aportes a pension</v>
          </cell>
          <cell r="C1773">
            <v>184370225</v>
          </cell>
        </row>
        <row r="1774">
          <cell r="A1774" t="str">
            <v/>
          </cell>
          <cell r="B1774" t="str">
            <v>520571. Aportes A.R.P</v>
          </cell>
          <cell r="C1774">
            <v>0</v>
          </cell>
        </row>
        <row r="1775">
          <cell r="A1775" t="str">
            <v>520571001</v>
          </cell>
          <cell r="B1775" t="str">
            <v>520571001 VTAS - A.R.P</v>
          </cell>
          <cell r="C1775">
            <v>7996099</v>
          </cell>
        </row>
        <row r="1776">
          <cell r="A1776" t="str">
            <v/>
          </cell>
          <cell r="B1776" t="str">
            <v>Total Aportes A.R.P</v>
          </cell>
          <cell r="C1776">
            <v>7996099</v>
          </cell>
        </row>
        <row r="1777">
          <cell r="A1777" t="str">
            <v/>
          </cell>
          <cell r="B1777" t="str">
            <v>520572. Aportes Caja De compensacion Familiar</v>
          </cell>
          <cell r="C1777">
            <v>0</v>
          </cell>
        </row>
        <row r="1778">
          <cell r="A1778" t="str">
            <v>520572001</v>
          </cell>
          <cell r="B1778" t="str">
            <v>520572001 VTAS - COMPENSACION FAMILIAR</v>
          </cell>
          <cell r="C1778">
            <v>62654142</v>
          </cell>
        </row>
        <row r="1779">
          <cell r="A1779" t="str">
            <v/>
          </cell>
          <cell r="B1779" t="str">
            <v>Total Aportes Caja De compensacion Familiar</v>
          </cell>
          <cell r="C1779">
            <v>62654142</v>
          </cell>
        </row>
        <row r="1780">
          <cell r="A1780" t="str">
            <v/>
          </cell>
          <cell r="B1780" t="str">
            <v>520575. Aportes I.C.B.F</v>
          </cell>
          <cell r="C1780">
            <v>0</v>
          </cell>
        </row>
        <row r="1781">
          <cell r="A1781" t="str">
            <v>520575001</v>
          </cell>
          <cell r="B1781" t="str">
            <v>520575001 VTAS - I.C.B.F</v>
          </cell>
          <cell r="C1781">
            <v>46990593</v>
          </cell>
        </row>
        <row r="1782">
          <cell r="A1782" t="str">
            <v/>
          </cell>
          <cell r="B1782" t="str">
            <v>Total Aportes I.C.B.F</v>
          </cell>
          <cell r="C1782">
            <v>46990593</v>
          </cell>
        </row>
        <row r="1783">
          <cell r="A1783" t="str">
            <v/>
          </cell>
          <cell r="B1783" t="str">
            <v>520578. SENA</v>
          </cell>
          <cell r="C1783">
            <v>0</v>
          </cell>
        </row>
        <row r="1784">
          <cell r="A1784" t="str">
            <v>520578001</v>
          </cell>
          <cell r="B1784" t="str">
            <v>520578001 VTAS - SENA</v>
          </cell>
          <cell r="C1784">
            <v>31327071</v>
          </cell>
        </row>
        <row r="1785">
          <cell r="A1785" t="str">
            <v/>
          </cell>
          <cell r="B1785" t="str">
            <v>Total SENA</v>
          </cell>
          <cell r="C1785">
            <v>31327071</v>
          </cell>
        </row>
        <row r="1786">
          <cell r="A1786" t="str">
            <v/>
          </cell>
          <cell r="B1786" t="str">
            <v>520584. Gasto Medico y drogas</v>
          </cell>
          <cell r="C1786">
            <v>0</v>
          </cell>
        </row>
        <row r="1787">
          <cell r="A1787" t="str">
            <v>520584001</v>
          </cell>
          <cell r="B1787" t="str">
            <v>520584001 VTAS - MEDICOS Y DROGAS</v>
          </cell>
          <cell r="C1787">
            <v>6700</v>
          </cell>
        </row>
        <row r="1788">
          <cell r="A1788" t="str">
            <v/>
          </cell>
          <cell r="B1788" t="str">
            <v>Total Gasto Medico y drogas</v>
          </cell>
          <cell r="C1788">
            <v>6700</v>
          </cell>
        </row>
        <row r="1789">
          <cell r="A1789" t="str">
            <v/>
          </cell>
          <cell r="B1789" t="str">
            <v>520595. Otros</v>
          </cell>
          <cell r="C1789">
            <v>0</v>
          </cell>
        </row>
        <row r="1790">
          <cell r="A1790" t="str">
            <v>520595002</v>
          </cell>
          <cell r="B1790" t="str">
            <v>520595002 VTAS - AUXILIO DE ALIMENTACION</v>
          </cell>
          <cell r="C1790">
            <v>59591012</v>
          </cell>
        </row>
        <row r="1791">
          <cell r="A1791" t="str">
            <v>520595004</v>
          </cell>
          <cell r="B1791" t="str">
            <v>520595004 VTAS - ATENCION Y ESTIMULOS</v>
          </cell>
          <cell r="C1791">
            <v>2987000</v>
          </cell>
        </row>
        <row r="1792">
          <cell r="A1792" t="str">
            <v>520595005</v>
          </cell>
          <cell r="B1792" t="str">
            <v>520595005 VTAS - AUXILIO FUNERARIO</v>
          </cell>
          <cell r="C1792">
            <v>1074852</v>
          </cell>
        </row>
        <row r="1793">
          <cell r="A1793" t="str">
            <v>520595006</v>
          </cell>
          <cell r="B1793" t="str">
            <v>520595006 VTAS - AUXILIO NACIMIENTO</v>
          </cell>
          <cell r="C1793">
            <v>866772</v>
          </cell>
        </row>
        <row r="1794">
          <cell r="A1794" t="str">
            <v>520595007</v>
          </cell>
          <cell r="B1794" t="str">
            <v>520595007 VTAS - AUXILIO LENTES</v>
          </cell>
          <cell r="C1794">
            <v>700644</v>
          </cell>
        </row>
        <row r="1795">
          <cell r="A1795" t="str">
            <v/>
          </cell>
          <cell r="B1795" t="str">
            <v>Total Otros</v>
          </cell>
          <cell r="C1795">
            <v>65220280</v>
          </cell>
        </row>
        <row r="1796">
          <cell r="A1796" t="str">
            <v/>
          </cell>
          <cell r="B1796" t="str">
            <v>Total 5205 Gastos Personal</v>
          </cell>
          <cell r="C1796">
            <v>2595708850</v>
          </cell>
        </row>
        <row r="1797">
          <cell r="A1797" t="str">
            <v/>
          </cell>
          <cell r="B1797" t="str">
            <v>5210. Honorarios</v>
          </cell>
          <cell r="C1797">
            <v>0</v>
          </cell>
        </row>
        <row r="1798">
          <cell r="A1798" t="str">
            <v/>
          </cell>
          <cell r="B1798" t="str">
            <v>521095. Otros</v>
          </cell>
          <cell r="C1798">
            <v>0</v>
          </cell>
        </row>
        <row r="1799">
          <cell r="A1799" t="str">
            <v>521095001</v>
          </cell>
          <cell r="B1799" t="str">
            <v>521095001 VTAS - HONORARIOS</v>
          </cell>
          <cell r="C1799">
            <v>3409286</v>
          </cell>
        </row>
        <row r="1800">
          <cell r="A1800" t="str">
            <v/>
          </cell>
          <cell r="B1800" t="str">
            <v>Total Otros</v>
          </cell>
          <cell r="C1800">
            <v>3409286</v>
          </cell>
        </row>
        <row r="1801">
          <cell r="A1801" t="str">
            <v/>
          </cell>
          <cell r="B1801" t="str">
            <v>Total 5210 Honorarios</v>
          </cell>
          <cell r="C1801">
            <v>3409286</v>
          </cell>
        </row>
        <row r="1802">
          <cell r="A1802" t="str">
            <v/>
          </cell>
          <cell r="B1802" t="str">
            <v>5215. Impuestos</v>
          </cell>
          <cell r="C1802">
            <v>0</v>
          </cell>
        </row>
        <row r="1803">
          <cell r="A1803" t="str">
            <v/>
          </cell>
          <cell r="B1803" t="str">
            <v>521505. Industria Y comercio</v>
          </cell>
          <cell r="C1803">
            <v>0</v>
          </cell>
        </row>
        <row r="1804">
          <cell r="A1804" t="str">
            <v>521505001</v>
          </cell>
          <cell r="B1804" t="str">
            <v>521505001 VTAS - IMPUESTOS INDUSTRIA Y COMERCIO</v>
          </cell>
          <cell r="C1804">
            <v>1777927948</v>
          </cell>
        </row>
        <row r="1805">
          <cell r="A1805" t="str">
            <v/>
          </cell>
          <cell r="B1805" t="str">
            <v>Total industria Y comercio</v>
          </cell>
          <cell r="C1805">
            <v>1777927948</v>
          </cell>
        </row>
        <row r="1806">
          <cell r="A1806" t="str">
            <v/>
          </cell>
          <cell r="B1806" t="str">
            <v>521510. De timbres</v>
          </cell>
          <cell r="C1806">
            <v>0</v>
          </cell>
        </row>
        <row r="1807">
          <cell r="A1807" t="str">
            <v>521510001</v>
          </cell>
          <cell r="B1807" t="str">
            <v>521510001 VTAS - IMPUESTOS DE TIMBRES</v>
          </cell>
          <cell r="C1807">
            <v>15231348</v>
          </cell>
        </row>
        <row r="1808">
          <cell r="A1808" t="str">
            <v/>
          </cell>
          <cell r="B1808" t="str">
            <v>Total De timbres</v>
          </cell>
          <cell r="C1808">
            <v>15231348</v>
          </cell>
        </row>
        <row r="1809">
          <cell r="A1809" t="str">
            <v/>
          </cell>
          <cell r="B1809" t="str">
            <v>521515. A la Propiedad Raiz</v>
          </cell>
          <cell r="C1809">
            <v>0</v>
          </cell>
        </row>
        <row r="1810">
          <cell r="A1810" t="str">
            <v>521515001</v>
          </cell>
          <cell r="B1810" t="str">
            <v>521515001 VTAS - IMPUESTOS PROPIEDAD</v>
          </cell>
          <cell r="C1810">
            <v>17234931</v>
          </cell>
        </row>
        <row r="1811">
          <cell r="A1811" t="str">
            <v/>
          </cell>
          <cell r="B1811" t="str">
            <v>Total A la Propiedad Raiz</v>
          </cell>
          <cell r="C1811">
            <v>17234931</v>
          </cell>
        </row>
        <row r="1812">
          <cell r="A1812" t="str">
            <v/>
          </cell>
          <cell r="B1812" t="str">
            <v>521570. IVA descontable</v>
          </cell>
          <cell r="C1812">
            <v>0</v>
          </cell>
        </row>
        <row r="1813">
          <cell r="A1813" t="str">
            <v>521570011</v>
          </cell>
          <cell r="B1813" t="str">
            <v>521570011 VTAS - IMPUESTOS IVA NO DEDUCIBLE</v>
          </cell>
          <cell r="C1813">
            <v>534755528</v>
          </cell>
        </row>
        <row r="1814">
          <cell r="A1814" t="str">
            <v/>
          </cell>
          <cell r="B1814" t="str">
            <v>Total IVA descontable</v>
          </cell>
          <cell r="C1814">
            <v>534755528</v>
          </cell>
        </row>
        <row r="1815">
          <cell r="A1815" t="str">
            <v/>
          </cell>
          <cell r="B1815" t="str">
            <v>521575. 4 X 1000</v>
          </cell>
          <cell r="C1815">
            <v>0</v>
          </cell>
        </row>
        <row r="1816">
          <cell r="A1816" t="str">
            <v>521575001</v>
          </cell>
          <cell r="B1816" t="str">
            <v>521575001 VTAS - IMPUESTOS 4 POR MIL AYC</v>
          </cell>
          <cell r="C1816">
            <v>0</v>
          </cell>
        </row>
        <row r="1817">
          <cell r="A1817" t="str">
            <v>521575011</v>
          </cell>
          <cell r="B1817" t="str">
            <v>521575011 VTAS - IMPUESTOS 4 POR MIL</v>
          </cell>
          <cell r="C1817">
            <v>1710444802</v>
          </cell>
        </row>
        <row r="1818">
          <cell r="A1818" t="str">
            <v/>
          </cell>
          <cell r="B1818" t="str">
            <v>Total 3 X 1000</v>
          </cell>
          <cell r="C1818">
            <v>1710444802</v>
          </cell>
        </row>
        <row r="1819">
          <cell r="A1819" t="str">
            <v/>
          </cell>
          <cell r="B1819" t="str">
            <v>521595. Otro</v>
          </cell>
          <cell r="C1819">
            <v>0</v>
          </cell>
        </row>
        <row r="1820">
          <cell r="A1820" t="str">
            <v>521595001</v>
          </cell>
          <cell r="B1820" t="str">
            <v>521595001 VTAS - OTROS IMPUESTOS</v>
          </cell>
          <cell r="C1820">
            <v>41548645</v>
          </cell>
        </row>
        <row r="1821">
          <cell r="A1821" t="str">
            <v>521595002</v>
          </cell>
          <cell r="B1821" t="str">
            <v>521595002 VTAS - IMPUESTO AVISOS Y TABLEROS</v>
          </cell>
          <cell r="C1821">
            <v>7076781</v>
          </cell>
        </row>
        <row r="1822">
          <cell r="A1822" t="str">
            <v>521595003</v>
          </cell>
          <cell r="B1822" t="str">
            <v>521595003 VTAS - ESTAMPILLA ANCIANATO</v>
          </cell>
          <cell r="C1822">
            <v>20628494</v>
          </cell>
        </row>
        <row r="1823">
          <cell r="A1823" t="str">
            <v/>
          </cell>
          <cell r="B1823" t="str">
            <v>Total Otros</v>
          </cell>
          <cell r="C1823">
            <v>69253920</v>
          </cell>
        </row>
        <row r="1824">
          <cell r="A1824" t="str">
            <v/>
          </cell>
          <cell r="B1824" t="str">
            <v>Total 5215 Impuestos</v>
          </cell>
          <cell r="C1824">
            <v>4124848477</v>
          </cell>
        </row>
        <row r="1825">
          <cell r="A1825" t="str">
            <v/>
          </cell>
          <cell r="B1825" t="str">
            <v>5220. Arrendamientos</v>
          </cell>
          <cell r="C1825">
            <v>0</v>
          </cell>
        </row>
        <row r="1826">
          <cell r="A1826" t="str">
            <v/>
          </cell>
          <cell r="B1826" t="str">
            <v>522010. Edificaciones</v>
          </cell>
          <cell r="C1826">
            <v>0</v>
          </cell>
        </row>
        <row r="1827">
          <cell r="A1827" t="str">
            <v>522010001</v>
          </cell>
          <cell r="B1827" t="str">
            <v>522010001 VTAS - ARRENDAMIENTOS EDIFICACIONES</v>
          </cell>
          <cell r="C1827">
            <v>295297263</v>
          </cell>
        </row>
        <row r="1828">
          <cell r="A1828" t="str">
            <v/>
          </cell>
          <cell r="B1828" t="str">
            <v>Total Edificaciones</v>
          </cell>
          <cell r="C1828">
            <v>295297263</v>
          </cell>
        </row>
        <row r="1829">
          <cell r="A1829" t="str">
            <v/>
          </cell>
          <cell r="B1829" t="str">
            <v>522020. Muebles y equipo de oficina</v>
          </cell>
          <cell r="C1829">
            <v>0</v>
          </cell>
        </row>
        <row r="1830">
          <cell r="A1830" t="str">
            <v>522020001</v>
          </cell>
          <cell r="B1830" t="str">
            <v>522020001 VTAS - ARRIENDO MUEBLES Y EQUIPO DE OFICINA</v>
          </cell>
          <cell r="C1830">
            <v>10591333</v>
          </cell>
        </row>
        <row r="1831">
          <cell r="A1831" t="str">
            <v/>
          </cell>
          <cell r="B1831" t="str">
            <v>Total Muebles y equipo de oficina</v>
          </cell>
          <cell r="C1831">
            <v>10591333</v>
          </cell>
        </row>
        <row r="1832">
          <cell r="A1832" t="str">
            <v/>
          </cell>
          <cell r="B1832" t="str">
            <v>522025. Equipo de Computacion Y comunicacion</v>
          </cell>
          <cell r="C1832">
            <v>0</v>
          </cell>
        </row>
        <row r="1833">
          <cell r="A1833" t="str">
            <v>522025002</v>
          </cell>
          <cell r="B1833" t="str">
            <v>522025002 VTAS - ARREND.EQ.COMPUT.YCOMUNICACION</v>
          </cell>
          <cell r="C1833">
            <v>370688</v>
          </cell>
        </row>
        <row r="1834">
          <cell r="A1834" t="str">
            <v/>
          </cell>
          <cell r="B1834" t="str">
            <v>Total Equipo de Computacion Y comunicacion</v>
          </cell>
          <cell r="C1834">
            <v>370688</v>
          </cell>
        </row>
        <row r="1835">
          <cell r="A1835" t="str">
            <v/>
          </cell>
          <cell r="B1835" t="str">
            <v>Total 5220 Arrendamientos</v>
          </cell>
          <cell r="C1835">
            <v>306259284</v>
          </cell>
        </row>
        <row r="1836">
          <cell r="A1836" t="str">
            <v/>
          </cell>
          <cell r="B1836" t="str">
            <v>5230. Seguros</v>
          </cell>
          <cell r="C1836">
            <v>0</v>
          </cell>
        </row>
        <row r="1837">
          <cell r="A1837" t="str">
            <v/>
          </cell>
          <cell r="B1837" t="str">
            <v>523095. Otros</v>
          </cell>
          <cell r="C1837">
            <v>0</v>
          </cell>
        </row>
        <row r="1838">
          <cell r="A1838" t="str">
            <v>523095001</v>
          </cell>
          <cell r="B1838" t="str">
            <v>523095001 VTAS - SEGUROS,SINIESTROS ASUMIDOS</v>
          </cell>
          <cell r="C1838">
            <v>390920</v>
          </cell>
        </row>
        <row r="1839">
          <cell r="A1839" t="str">
            <v>523095002</v>
          </cell>
          <cell r="B1839" t="str">
            <v>523095002 VTAS - POLIZA INCENDIO, FLOTANTICIPOS</v>
          </cell>
          <cell r="C1839">
            <v>79342697</v>
          </cell>
        </row>
        <row r="1840">
          <cell r="A1840" t="str">
            <v>523095003</v>
          </cell>
          <cell r="B1840" t="str">
            <v>523095003 VTAS - POLIZA DE SUSTRACCION FLOTANTE</v>
          </cell>
          <cell r="C1840">
            <v>79156735</v>
          </cell>
        </row>
        <row r="1841">
          <cell r="A1841" t="str">
            <v>523095004</v>
          </cell>
          <cell r="B1841" t="str">
            <v>523095004 VTAS - POLIZA DE TRANSPORTE DE PROVINCIA.</v>
          </cell>
          <cell r="C1841">
            <v>518136570</v>
          </cell>
        </row>
        <row r="1842">
          <cell r="A1842" t="str">
            <v>523095005</v>
          </cell>
          <cell r="B1842" t="str">
            <v>523095005 VTAS - POLIZA DE VALORES</v>
          </cell>
          <cell r="C1842">
            <v>3042492</v>
          </cell>
        </row>
        <row r="1843">
          <cell r="A1843" t="str">
            <v>523095006</v>
          </cell>
          <cell r="B1843" t="str">
            <v>523095006 VTAS - POLIZA DE SUBSIDIO 30% A ASOCIADOS</v>
          </cell>
          <cell r="C1843">
            <v>198001416</v>
          </cell>
        </row>
        <row r="1844">
          <cell r="A1844" t="str">
            <v>523095007</v>
          </cell>
          <cell r="B1844" t="str">
            <v>523095007 VTAS - POLIZA CARTERA DEUDORES</v>
          </cell>
          <cell r="C1844">
            <v>72532470</v>
          </cell>
        </row>
        <row r="1845">
          <cell r="A1845" t="str">
            <v>523095017</v>
          </cell>
          <cell r="B1845" t="str">
            <v>523095017 VTAS - POLIZAS DE  ACCIDENTES</v>
          </cell>
          <cell r="C1845">
            <v>2430700</v>
          </cell>
        </row>
        <row r="1846">
          <cell r="A1846" t="str">
            <v/>
          </cell>
          <cell r="B1846" t="str">
            <v>Total Otros</v>
          </cell>
          <cell r="C1846">
            <v>953034000</v>
          </cell>
        </row>
        <row r="1847">
          <cell r="A1847" t="str">
            <v/>
          </cell>
          <cell r="B1847" t="str">
            <v>Total 5230 Seguros</v>
          </cell>
          <cell r="C1847">
            <v>953034000</v>
          </cell>
        </row>
        <row r="1848">
          <cell r="A1848" t="str">
            <v/>
          </cell>
          <cell r="B1848" t="str">
            <v>5235. Servicios</v>
          </cell>
          <cell r="C1848">
            <v>0</v>
          </cell>
        </row>
        <row r="1849">
          <cell r="A1849" t="str">
            <v/>
          </cell>
          <cell r="B1849" t="str">
            <v>523510. Temporales</v>
          </cell>
          <cell r="C1849">
            <v>0</v>
          </cell>
        </row>
        <row r="1850">
          <cell r="A1850" t="str">
            <v>523510001</v>
          </cell>
          <cell r="B1850" t="str">
            <v>523510001 VTAS - SERVICIOS TEMPORALES</v>
          </cell>
          <cell r="C1850">
            <v>119050467</v>
          </cell>
        </row>
        <row r="1851">
          <cell r="A1851" t="str">
            <v/>
          </cell>
          <cell r="B1851" t="str">
            <v>Total Temporales</v>
          </cell>
          <cell r="C1851">
            <v>119050467</v>
          </cell>
        </row>
        <row r="1852">
          <cell r="A1852" t="str">
            <v/>
          </cell>
          <cell r="B1852" t="str">
            <v>523525. Acueducto y alcantarillado</v>
          </cell>
          <cell r="C1852">
            <v>0</v>
          </cell>
        </row>
        <row r="1853">
          <cell r="A1853" t="str">
            <v>523525001</v>
          </cell>
          <cell r="B1853" t="str">
            <v>523525001 VTAS - SERVICIO DE ACUEDUCTO</v>
          </cell>
          <cell r="C1853">
            <v>10261480</v>
          </cell>
        </row>
        <row r="1854">
          <cell r="A1854" t="str">
            <v>523525002</v>
          </cell>
          <cell r="B1854" t="str">
            <v>523525002 VTAS - SERVICIO DE ALCANTARILLADO</v>
          </cell>
          <cell r="C1854">
            <v>5838185</v>
          </cell>
        </row>
        <row r="1855">
          <cell r="A1855" t="str">
            <v>523525003</v>
          </cell>
          <cell r="B1855" t="str">
            <v>523525003 VTAS - SERVICIO DE ASEO MUNICIPAL</v>
          </cell>
          <cell r="C1855">
            <v>7263381</v>
          </cell>
        </row>
        <row r="1856">
          <cell r="A1856" t="str">
            <v/>
          </cell>
          <cell r="B1856" t="str">
            <v>Total Acueducto y alcantarillado</v>
          </cell>
          <cell r="C1856">
            <v>23363046</v>
          </cell>
        </row>
        <row r="1857">
          <cell r="A1857" t="str">
            <v/>
          </cell>
          <cell r="B1857" t="str">
            <v>523530. Energia Electrica</v>
          </cell>
          <cell r="C1857">
            <v>0</v>
          </cell>
        </row>
        <row r="1858">
          <cell r="A1858" t="str">
            <v>523530001</v>
          </cell>
          <cell r="B1858" t="str">
            <v>523530001 VTAS - SERVICIO DE ENERGIA</v>
          </cell>
          <cell r="C1858">
            <v>86128477</v>
          </cell>
        </row>
        <row r="1859">
          <cell r="A1859" t="str">
            <v/>
          </cell>
          <cell r="B1859" t="str">
            <v>Total Energia Electrica</v>
          </cell>
          <cell r="C1859">
            <v>86128477</v>
          </cell>
        </row>
        <row r="1860">
          <cell r="A1860" t="str">
            <v/>
          </cell>
          <cell r="B1860" t="str">
            <v>523535. Telefono</v>
          </cell>
          <cell r="C1860">
            <v>0</v>
          </cell>
        </row>
        <row r="1861">
          <cell r="A1861" t="str">
            <v>523535001</v>
          </cell>
          <cell r="B1861" t="str">
            <v>523535001 VTAS - SERVICIO DE TELEFONO LINEAS DIRECTAS</v>
          </cell>
          <cell r="C1861">
            <v>33169288</v>
          </cell>
        </row>
        <row r="1862">
          <cell r="A1862" t="str">
            <v>523535002</v>
          </cell>
          <cell r="B1862" t="str">
            <v>523535002 VTAS - SERVICIO DE TELEFONO PBX</v>
          </cell>
          <cell r="C1862">
            <v>532174843</v>
          </cell>
        </row>
        <row r="1863">
          <cell r="A1863" t="str">
            <v>523535003</v>
          </cell>
          <cell r="B1863" t="str">
            <v>523535003 VTAS - SERVICIO DE TELEFONO 9800</v>
          </cell>
          <cell r="C1863">
            <v>137228381</v>
          </cell>
        </row>
        <row r="1864">
          <cell r="A1864" t="str">
            <v>523535004</v>
          </cell>
          <cell r="B1864" t="str">
            <v>523535004 VTAS - SERVICIO DE FAX T TELEX</v>
          </cell>
          <cell r="C1864">
            <v>183548</v>
          </cell>
        </row>
        <row r="1865">
          <cell r="A1865" t="str">
            <v/>
          </cell>
          <cell r="B1865" t="str">
            <v>Total Telefono</v>
          </cell>
          <cell r="C1865">
            <v>702756060</v>
          </cell>
        </row>
        <row r="1866">
          <cell r="A1866" t="str">
            <v/>
          </cell>
          <cell r="B1866" t="str">
            <v>523540. Correo, portes y telegramas</v>
          </cell>
          <cell r="C1866">
            <v>0</v>
          </cell>
        </row>
        <row r="1867">
          <cell r="A1867" t="str">
            <v>523540001</v>
          </cell>
          <cell r="B1867" t="str">
            <v>523540001 VTAS - SERVICIO DE CORREO PORTES TELEG.</v>
          </cell>
          <cell r="C1867">
            <v>331412313</v>
          </cell>
        </row>
        <row r="1868">
          <cell r="A1868" t="str">
            <v/>
          </cell>
          <cell r="B1868" t="str">
            <v>Total Correo, portes y telegramas</v>
          </cell>
          <cell r="C1868">
            <v>331412313</v>
          </cell>
        </row>
        <row r="1869">
          <cell r="A1869" t="str">
            <v/>
          </cell>
          <cell r="B1869" t="str">
            <v>523550. Trasporte,fletes y acarreos</v>
          </cell>
          <cell r="C1869">
            <v>0</v>
          </cell>
        </row>
        <row r="1870">
          <cell r="A1870" t="str">
            <v>523550001</v>
          </cell>
          <cell r="B1870" t="str">
            <v>523550001 VTAS - REM DE MERCANCIA</v>
          </cell>
          <cell r="C1870">
            <v>582803158</v>
          </cell>
        </row>
        <row r="1871">
          <cell r="A1871" t="str">
            <v>523550002</v>
          </cell>
          <cell r="B1871" t="str">
            <v>523550002 VTAS - ACARREOS</v>
          </cell>
          <cell r="C1871">
            <v>396000</v>
          </cell>
        </row>
        <row r="1872">
          <cell r="A1872" t="str">
            <v>523550003</v>
          </cell>
          <cell r="B1872" t="str">
            <v>523550003 VTAS - FLETES DE MERCANCIAS. (SOLO PARA CARGUE IN)</v>
          </cell>
          <cell r="C1872">
            <v>0</v>
          </cell>
        </row>
        <row r="1873">
          <cell r="A1873" t="str">
            <v>523550004</v>
          </cell>
          <cell r="B1873" t="str">
            <v>523550004 VTAS - OTROS GTS DE TRANSPORTE</v>
          </cell>
          <cell r="C1873">
            <v>8748790</v>
          </cell>
        </row>
        <row r="1874">
          <cell r="A1874" t="str">
            <v>523550005</v>
          </cell>
          <cell r="B1874" t="str">
            <v>523550005 VTAS - FLETE PROVINCIA</v>
          </cell>
          <cell r="C1874">
            <v>2753916531</v>
          </cell>
        </row>
        <row r="1875">
          <cell r="A1875" t="str">
            <v>523550006</v>
          </cell>
          <cell r="B1875" t="str">
            <v>523550006 VTAS - FLETE URBANO</v>
          </cell>
          <cell r="C1875">
            <v>1533326755</v>
          </cell>
        </row>
        <row r="1876">
          <cell r="A1876" t="str">
            <v/>
          </cell>
          <cell r="B1876" t="str">
            <v>Total Transporte,fletes y acarreos</v>
          </cell>
          <cell r="C1876">
            <v>4879191234</v>
          </cell>
        </row>
        <row r="1877">
          <cell r="A1877" t="str">
            <v/>
          </cell>
          <cell r="B1877" t="str">
            <v>523560. Publicidad,Propaganda y promocion</v>
          </cell>
          <cell r="C1877">
            <v>0</v>
          </cell>
        </row>
        <row r="1878">
          <cell r="A1878" t="str">
            <v>523560001</v>
          </cell>
          <cell r="B1878" t="str">
            <v>523560001 VTAS - ELEMENTOS PUBLICITARIOS</v>
          </cell>
          <cell r="C1878">
            <v>6180704</v>
          </cell>
        </row>
        <row r="1879">
          <cell r="A1879" t="str">
            <v>523560002</v>
          </cell>
          <cell r="B1879" t="str">
            <v>523560002 VTAS - PUBLICACIONES</v>
          </cell>
          <cell r="C1879">
            <v>294238463</v>
          </cell>
        </row>
        <row r="1880">
          <cell r="A1880" t="str">
            <v>523560003</v>
          </cell>
          <cell r="B1880" t="str">
            <v>523560003 VTAS - SEPARATAS-VOLANTES-AFICHES</v>
          </cell>
          <cell r="C1880">
            <v>1700000</v>
          </cell>
        </row>
        <row r="1881">
          <cell r="A1881" t="str">
            <v>523560005</v>
          </cell>
          <cell r="B1881" t="str">
            <v>523560005 VTAS - PUBLICIDAD Y PROPAGANDA</v>
          </cell>
          <cell r="C1881">
            <v>112773887</v>
          </cell>
        </row>
        <row r="1882">
          <cell r="A1882" t="str">
            <v/>
          </cell>
          <cell r="B1882" t="str">
            <v>Total Publicidad,Propaganda y promocion</v>
          </cell>
          <cell r="C1882">
            <v>414893054</v>
          </cell>
        </row>
        <row r="1883">
          <cell r="A1883" t="str">
            <v/>
          </cell>
          <cell r="B1883" t="str">
            <v>523595. Otros</v>
          </cell>
          <cell r="C1883">
            <v>0</v>
          </cell>
        </row>
        <row r="1884">
          <cell r="A1884" t="str">
            <v>523595003</v>
          </cell>
          <cell r="B1884" t="str">
            <v>523595003 VTAS - SERVICIO DE INTERNET</v>
          </cell>
          <cell r="C1884">
            <v>257500</v>
          </cell>
        </row>
        <row r="1885">
          <cell r="A1885" t="str">
            <v>523595090</v>
          </cell>
          <cell r="B1885" t="str">
            <v>523595090 VTAS - OTROS SERVICIOS</v>
          </cell>
          <cell r="C1885">
            <v>7409444</v>
          </cell>
        </row>
        <row r="1886">
          <cell r="A1886" t="str">
            <v/>
          </cell>
          <cell r="B1886" t="str">
            <v>Total Otros</v>
          </cell>
          <cell r="C1886">
            <v>7666944</v>
          </cell>
        </row>
        <row r="1887">
          <cell r="A1887" t="str">
            <v/>
          </cell>
          <cell r="B1887" t="str">
            <v>Total 5235 Servicios</v>
          </cell>
          <cell r="C1887">
            <v>6564461595</v>
          </cell>
        </row>
        <row r="1888">
          <cell r="A1888" t="str">
            <v/>
          </cell>
          <cell r="B1888" t="str">
            <v>5240. Gastos Legales</v>
          </cell>
          <cell r="C1888">
            <v>0</v>
          </cell>
        </row>
        <row r="1889">
          <cell r="A1889" t="str">
            <v/>
          </cell>
          <cell r="B1889" t="str">
            <v>524005. Notariales</v>
          </cell>
          <cell r="C1889">
            <v>0</v>
          </cell>
        </row>
        <row r="1890">
          <cell r="A1890" t="str">
            <v>524005001</v>
          </cell>
          <cell r="B1890" t="str">
            <v>524005001 VTAS - NOTARIALES Y LEGALES</v>
          </cell>
          <cell r="C1890">
            <v>333800</v>
          </cell>
        </row>
        <row r="1891">
          <cell r="A1891" t="str">
            <v/>
          </cell>
          <cell r="B1891" t="str">
            <v>Total Notariales</v>
          </cell>
          <cell r="C1891">
            <v>333800</v>
          </cell>
        </row>
        <row r="1892">
          <cell r="A1892" t="str">
            <v/>
          </cell>
          <cell r="B1892" t="str">
            <v>524095. Otros</v>
          </cell>
          <cell r="C1892">
            <v>0</v>
          </cell>
        </row>
        <row r="1893">
          <cell r="A1893" t="str">
            <v>524095001</v>
          </cell>
          <cell r="B1893" t="str">
            <v>524095001 VTAS - OTROS GTOS LEGALES</v>
          </cell>
          <cell r="C1893">
            <v>143700</v>
          </cell>
        </row>
        <row r="1894">
          <cell r="A1894" t="str">
            <v/>
          </cell>
          <cell r="B1894" t="str">
            <v>Total Otros</v>
          </cell>
          <cell r="C1894">
            <v>143700</v>
          </cell>
        </row>
        <row r="1895">
          <cell r="A1895" t="str">
            <v/>
          </cell>
          <cell r="B1895" t="str">
            <v>Total 5240 Gastos Legales</v>
          </cell>
          <cell r="C1895">
            <v>477500</v>
          </cell>
        </row>
        <row r="1896">
          <cell r="A1896" t="str">
            <v/>
          </cell>
          <cell r="B1896" t="str">
            <v>5245. Mantenimiento y reparaciones</v>
          </cell>
          <cell r="C1896">
            <v>0</v>
          </cell>
        </row>
        <row r="1897">
          <cell r="A1897" t="str">
            <v/>
          </cell>
          <cell r="B1897" t="str">
            <v>524515. Maquinaria Y equipo</v>
          </cell>
          <cell r="C1897">
            <v>0</v>
          </cell>
        </row>
        <row r="1898">
          <cell r="A1898" t="str">
            <v>524515001</v>
          </cell>
          <cell r="B1898" t="str">
            <v>524515001 VTAS - MANTENIMIENTO MAQUINARIA Y EQUIPO</v>
          </cell>
          <cell r="C1898">
            <v>297500</v>
          </cell>
        </row>
        <row r="1899">
          <cell r="A1899" t="str">
            <v>524515012</v>
          </cell>
          <cell r="B1899" t="str">
            <v>524515012 VTAS - REPUESTOS  MAQUINARIA Y EQUIPO KNAPP</v>
          </cell>
          <cell r="C1899">
            <v>0</v>
          </cell>
        </row>
        <row r="1900">
          <cell r="A1900" t="str">
            <v/>
          </cell>
          <cell r="B1900" t="str">
            <v>Total Maquinaria Y equipo</v>
          </cell>
          <cell r="C1900">
            <v>297500</v>
          </cell>
        </row>
        <row r="1901">
          <cell r="A1901" t="str">
            <v/>
          </cell>
          <cell r="B1901" t="str">
            <v>524520. Muebles Y equipo de Oficina</v>
          </cell>
          <cell r="C1901">
            <v>0</v>
          </cell>
        </row>
        <row r="1902">
          <cell r="A1902" t="str">
            <v>524520002</v>
          </cell>
          <cell r="B1902" t="str">
            <v>524520002 VTAS - MANTENIMIENTO  DE EQUIPO DE OFICINA</v>
          </cell>
          <cell r="C1902">
            <v>265000</v>
          </cell>
        </row>
        <row r="1903">
          <cell r="A1903" t="str">
            <v>524520003</v>
          </cell>
          <cell r="B1903" t="str">
            <v>524520003 VTAS - MANTENIMIENTO  DE EQUIPO DE COMPUTO</v>
          </cell>
          <cell r="C1903">
            <v>693392</v>
          </cell>
        </row>
        <row r="1904">
          <cell r="A1904" t="str">
            <v>524520004</v>
          </cell>
          <cell r="B1904" t="str">
            <v>524520004 VTAS - MANTENIMIENTO  DE SOFTWARE Y PROGRAMAS</v>
          </cell>
          <cell r="C1904">
            <v>0</v>
          </cell>
        </row>
        <row r="1905">
          <cell r="A1905" t="str">
            <v/>
          </cell>
          <cell r="B1905" t="str">
            <v>Total Muebles Y equipo de Oficina</v>
          </cell>
          <cell r="C1905">
            <v>958392</v>
          </cell>
        </row>
        <row r="1906">
          <cell r="A1906" t="str">
            <v/>
          </cell>
          <cell r="B1906" t="str">
            <v>524525. Equipo de computacion y comunicacion</v>
          </cell>
          <cell r="C1906">
            <v>0</v>
          </cell>
        </row>
        <row r="1907">
          <cell r="A1907" t="str">
            <v>524525001</v>
          </cell>
          <cell r="B1907" t="str">
            <v>524525001 VTAS - MANTEN EQUIPO DE COMUNICACIONES</v>
          </cell>
          <cell r="C1907">
            <v>159400</v>
          </cell>
        </row>
        <row r="1908">
          <cell r="A1908" t="str">
            <v>524525004</v>
          </cell>
          <cell r="B1908" t="str">
            <v>524525004 VTAS - MANTENIMIENTO  DE SOFTWARE Y PROGRAMAS</v>
          </cell>
          <cell r="C1908">
            <v>25325004</v>
          </cell>
        </row>
        <row r="1909">
          <cell r="A1909" t="str">
            <v/>
          </cell>
          <cell r="B1909" t="str">
            <v>Total Equipo de computacion y comunicacion</v>
          </cell>
          <cell r="C1909">
            <v>25484404</v>
          </cell>
        </row>
        <row r="1910">
          <cell r="A1910" t="str">
            <v/>
          </cell>
          <cell r="B1910" t="str">
            <v>Total 5245 Mantenimiento y reparaciones</v>
          </cell>
          <cell r="C1910">
            <v>26740296</v>
          </cell>
        </row>
        <row r="1911">
          <cell r="A1911" t="str">
            <v/>
          </cell>
          <cell r="B1911" t="str">
            <v>5250. Adecuacion E instalacion</v>
          </cell>
          <cell r="C1911">
            <v>0</v>
          </cell>
        </row>
        <row r="1912">
          <cell r="A1912" t="str">
            <v/>
          </cell>
          <cell r="B1912" t="str">
            <v>525005. Instalaciones electricas</v>
          </cell>
          <cell r="C1912">
            <v>0</v>
          </cell>
        </row>
        <row r="1913">
          <cell r="A1913" t="str">
            <v>525005001</v>
          </cell>
          <cell r="B1913" t="str">
            <v>525005001 VTAS - ADECUACION DE INSTALACIONES</v>
          </cell>
          <cell r="C1913">
            <v>1277997</v>
          </cell>
        </row>
        <row r="1914">
          <cell r="A1914" t="str">
            <v/>
          </cell>
          <cell r="B1914" t="str">
            <v>Total Instalaciones electricas</v>
          </cell>
          <cell r="C1914">
            <v>1277997</v>
          </cell>
        </row>
        <row r="1915">
          <cell r="A1915" t="str">
            <v/>
          </cell>
          <cell r="B1915" t="str">
            <v>Total 5250 Adecuacion E instalacion</v>
          </cell>
          <cell r="C1915">
            <v>1277997</v>
          </cell>
        </row>
        <row r="1916">
          <cell r="A1916" t="str">
            <v/>
          </cell>
          <cell r="B1916" t="str">
            <v>5255. Gastos de Viaje</v>
          </cell>
          <cell r="C1916">
            <v>0</v>
          </cell>
        </row>
        <row r="1917">
          <cell r="A1917" t="str">
            <v/>
          </cell>
          <cell r="B1917" t="str">
            <v>525505. Alojamiento y manutencion</v>
          </cell>
          <cell r="C1917">
            <v>0</v>
          </cell>
        </row>
        <row r="1918">
          <cell r="A1918" t="str">
            <v>525505001</v>
          </cell>
          <cell r="B1918" t="str">
            <v>525505001 VTAS - ALOJAMIENTO Y MANUTENCION</v>
          </cell>
          <cell r="C1918">
            <v>74099064</v>
          </cell>
        </row>
        <row r="1919">
          <cell r="A1919" t="str">
            <v/>
          </cell>
          <cell r="B1919" t="str">
            <v>Total Alojamiento y manutencion</v>
          </cell>
          <cell r="C1919">
            <v>74099064</v>
          </cell>
        </row>
        <row r="1920">
          <cell r="A1920" t="str">
            <v/>
          </cell>
          <cell r="B1920" t="str">
            <v>525515. Pasajes aereos</v>
          </cell>
          <cell r="C1920">
            <v>0</v>
          </cell>
        </row>
        <row r="1921">
          <cell r="A1921" t="str">
            <v>525515001</v>
          </cell>
          <cell r="B1921" t="str">
            <v>525515001 VTAS - PASAJES AEREOS</v>
          </cell>
          <cell r="C1921">
            <v>29234120</v>
          </cell>
        </row>
        <row r="1922">
          <cell r="A1922" t="str">
            <v/>
          </cell>
          <cell r="B1922" t="str">
            <v>Total Pasajes aereos</v>
          </cell>
          <cell r="C1922">
            <v>29234120</v>
          </cell>
        </row>
        <row r="1923">
          <cell r="A1923" t="str">
            <v/>
          </cell>
          <cell r="B1923" t="str">
            <v>525520. Pasajes Terrestres</v>
          </cell>
          <cell r="C1923">
            <v>0</v>
          </cell>
        </row>
        <row r="1924">
          <cell r="A1924" t="str">
            <v>525520001</v>
          </cell>
          <cell r="B1924" t="str">
            <v>525520001 VTAS - PASAJES TERRESTRES</v>
          </cell>
          <cell r="C1924">
            <v>13496330</v>
          </cell>
        </row>
        <row r="1925">
          <cell r="A1925" t="str">
            <v/>
          </cell>
          <cell r="B1925" t="str">
            <v>Total Pasajes Terrestres</v>
          </cell>
          <cell r="C1925">
            <v>13496330</v>
          </cell>
        </row>
        <row r="1926">
          <cell r="A1926" t="str">
            <v/>
          </cell>
          <cell r="B1926" t="str">
            <v>525595. Otros</v>
          </cell>
          <cell r="C1926">
            <v>0</v>
          </cell>
        </row>
        <row r="1927">
          <cell r="A1927" t="str">
            <v>525595001</v>
          </cell>
          <cell r="B1927" t="str">
            <v>525595001 VTAS - OTROS GTOS DE VIAJE</v>
          </cell>
          <cell r="C1927">
            <v>19410885</v>
          </cell>
        </row>
        <row r="1928">
          <cell r="A1928" t="str">
            <v/>
          </cell>
          <cell r="B1928" t="str">
            <v>Total Otros</v>
          </cell>
          <cell r="C1928">
            <v>19410885</v>
          </cell>
        </row>
        <row r="1929">
          <cell r="A1929" t="str">
            <v/>
          </cell>
          <cell r="B1929" t="str">
            <v>Total 5225 Gastos de Viaje</v>
          </cell>
          <cell r="C1929">
            <v>136240399</v>
          </cell>
        </row>
        <row r="1930">
          <cell r="A1930" t="str">
            <v/>
          </cell>
          <cell r="B1930" t="str">
            <v>5265. Amortizaciones y Agotamiento</v>
          </cell>
          <cell r="C1930">
            <v>0</v>
          </cell>
        </row>
        <row r="1931">
          <cell r="A1931" t="str">
            <v/>
          </cell>
          <cell r="B1931" t="str">
            <v>526515. Intangibles</v>
          </cell>
          <cell r="C1931">
            <v>0</v>
          </cell>
        </row>
        <row r="1932">
          <cell r="A1932" t="str">
            <v>526515000</v>
          </cell>
          <cell r="B1932" t="str">
            <v>526515000 VTAS - AMORTIZACION INTANGIBLES - MARCAS</v>
          </cell>
          <cell r="C1932">
            <v>41402098</v>
          </cell>
        </row>
        <row r="1933">
          <cell r="A1933" t="str">
            <v/>
          </cell>
          <cell r="B1933" t="str">
            <v>Total Intangibles</v>
          </cell>
          <cell r="C1933">
            <v>41402098</v>
          </cell>
        </row>
        <row r="1934">
          <cell r="A1934" t="str">
            <v/>
          </cell>
          <cell r="B1934" t="str">
            <v>526520. Cargos Diferidos</v>
          </cell>
          <cell r="C1934">
            <v>0</v>
          </cell>
        </row>
        <row r="1935">
          <cell r="A1935" t="str">
            <v>526520004</v>
          </cell>
          <cell r="B1935" t="str">
            <v>526520004 VTAS - DIFERIDOS PROGR.PARA COMPUTADOR</v>
          </cell>
          <cell r="C1935">
            <v>33110910</v>
          </cell>
        </row>
        <row r="1936">
          <cell r="A1936" t="str">
            <v/>
          </cell>
          <cell r="B1936" t="str">
            <v>Total Cargos Diferidos</v>
          </cell>
          <cell r="C1936">
            <v>33110910</v>
          </cell>
        </row>
        <row r="1937">
          <cell r="A1937" t="str">
            <v/>
          </cell>
          <cell r="B1937" t="str">
            <v>Total 5265 Amortizaciones y Agotamiento</v>
          </cell>
          <cell r="C1937">
            <v>74513008</v>
          </cell>
        </row>
        <row r="1938">
          <cell r="A1938" t="str">
            <v/>
          </cell>
          <cell r="B1938" t="str">
            <v>5295. Diversos</v>
          </cell>
          <cell r="C1938">
            <v>0</v>
          </cell>
        </row>
        <row r="1939">
          <cell r="A1939" t="str">
            <v/>
          </cell>
          <cell r="B1939" t="str">
            <v>529510. Libros Suscripciones,periodicos y rev</v>
          </cell>
          <cell r="C1939">
            <v>0</v>
          </cell>
        </row>
        <row r="1940">
          <cell r="A1940" t="str">
            <v>529510001</v>
          </cell>
          <cell r="B1940" t="str">
            <v>529510001 VTAS - SUSCRIPCIONES Y REVISTAS BOGOTA</v>
          </cell>
          <cell r="C1940">
            <v>1409096</v>
          </cell>
        </row>
        <row r="1941">
          <cell r="A1941" t="str">
            <v/>
          </cell>
          <cell r="B1941" t="str">
            <v>Total Libros Suscripciones,periodicos y rev</v>
          </cell>
          <cell r="C1941">
            <v>1409096</v>
          </cell>
        </row>
        <row r="1942">
          <cell r="A1942" t="str">
            <v/>
          </cell>
          <cell r="B1942" t="str">
            <v>529525. Elementos de aseo y cafeteria</v>
          </cell>
          <cell r="C1942">
            <v>0</v>
          </cell>
        </row>
        <row r="1943">
          <cell r="A1943" t="str">
            <v>529525002</v>
          </cell>
          <cell r="B1943" t="str">
            <v>529525002 VTAS - SUMINISTROS DE CAFETERIA</v>
          </cell>
          <cell r="C1943">
            <v>1280805</v>
          </cell>
        </row>
        <row r="1944">
          <cell r="A1944" t="str">
            <v/>
          </cell>
          <cell r="B1944" t="str">
            <v>Total Elementos de aseo y cafeteria</v>
          </cell>
          <cell r="C1944">
            <v>1280805</v>
          </cell>
        </row>
        <row r="1945">
          <cell r="A1945" t="str">
            <v/>
          </cell>
          <cell r="B1945" t="str">
            <v>529530. Utiles,pepeleria y fotocopias</v>
          </cell>
          <cell r="C1945">
            <v>0</v>
          </cell>
        </row>
        <row r="1946">
          <cell r="A1946" t="str">
            <v>529530001</v>
          </cell>
          <cell r="B1946" t="str">
            <v>529530001 VTAS - FOTOCOPIAS Y HELIOGRAFO</v>
          </cell>
          <cell r="C1946">
            <v>4543626</v>
          </cell>
        </row>
        <row r="1947">
          <cell r="A1947" t="str">
            <v>529530002</v>
          </cell>
          <cell r="B1947" t="str">
            <v>529530002 VTAS - PAPELERIA - UTILES DE OFICINA</v>
          </cell>
          <cell r="C1947">
            <v>934878</v>
          </cell>
        </row>
        <row r="1948">
          <cell r="A1948" t="str">
            <v>529530004</v>
          </cell>
          <cell r="B1948" t="str">
            <v>529530004 VTAS - REVELADOS ROLLOS Y OTROS</v>
          </cell>
          <cell r="C1948">
            <v>418000</v>
          </cell>
        </row>
        <row r="1949">
          <cell r="A1949" t="str">
            <v>529530005</v>
          </cell>
          <cell r="B1949" t="str">
            <v>529530005 VTAS - ENCUADERNACION</v>
          </cell>
          <cell r="C1949">
            <v>11500</v>
          </cell>
        </row>
        <row r="1950">
          <cell r="A1950" t="str">
            <v/>
          </cell>
          <cell r="B1950" t="str">
            <v>Total Utiles,pepeleria y fotocopias</v>
          </cell>
          <cell r="C1950">
            <v>5908004</v>
          </cell>
        </row>
        <row r="1951">
          <cell r="A1951" t="str">
            <v/>
          </cell>
          <cell r="B1951" t="str">
            <v>529535. Combustibles y lubricantes</v>
          </cell>
          <cell r="C1951">
            <v>0</v>
          </cell>
        </row>
        <row r="1952">
          <cell r="A1952" t="str">
            <v>529535001</v>
          </cell>
          <cell r="B1952" t="str">
            <v>529535001 VTAS - GASTOS DE COMBUSTIBLES Y LUBIRCANTES</v>
          </cell>
          <cell r="C1952">
            <v>243000</v>
          </cell>
        </row>
        <row r="1953">
          <cell r="A1953" t="str">
            <v/>
          </cell>
          <cell r="B1953" t="str">
            <v>Total Combustibles y lubricantes</v>
          </cell>
          <cell r="C1953">
            <v>243000</v>
          </cell>
        </row>
        <row r="1954">
          <cell r="A1954" t="str">
            <v/>
          </cell>
          <cell r="B1954" t="str">
            <v>529540. Envases y empaques</v>
          </cell>
          <cell r="C1954">
            <v>0</v>
          </cell>
        </row>
        <row r="1955">
          <cell r="A1955" t="str">
            <v>529540001</v>
          </cell>
          <cell r="B1955" t="str">
            <v>529540001 VTAS - EMPAQUES</v>
          </cell>
          <cell r="C1955">
            <v>382661670</v>
          </cell>
        </row>
        <row r="1956">
          <cell r="A1956" t="str">
            <v/>
          </cell>
          <cell r="B1956" t="str">
            <v>Total Envases y empaques</v>
          </cell>
          <cell r="C1956">
            <v>382661670</v>
          </cell>
        </row>
        <row r="1957">
          <cell r="A1957" t="str">
            <v/>
          </cell>
          <cell r="B1957" t="str">
            <v>529545. Taxis y buses</v>
          </cell>
          <cell r="C1957">
            <v>0</v>
          </cell>
        </row>
        <row r="1958">
          <cell r="A1958" t="str">
            <v>529545001</v>
          </cell>
          <cell r="B1958" t="str">
            <v>529545001 VTAS - TRASPORTE URBANO,TAXIS Y BUSES</v>
          </cell>
          <cell r="C1958">
            <v>15347211</v>
          </cell>
        </row>
        <row r="1959">
          <cell r="A1959" t="str">
            <v/>
          </cell>
          <cell r="B1959" t="str">
            <v>Total Taxis y buses</v>
          </cell>
          <cell r="C1959">
            <v>15347211</v>
          </cell>
        </row>
        <row r="1960">
          <cell r="A1960" t="str">
            <v/>
          </cell>
          <cell r="B1960" t="str">
            <v>529560. Casino y restaurante</v>
          </cell>
          <cell r="C1960">
            <v>0</v>
          </cell>
        </row>
        <row r="1961">
          <cell r="A1961" t="str">
            <v>529560001</v>
          </cell>
          <cell r="B1961" t="str">
            <v>529560001 VTAS - CASINO Y RESTAURANTE</v>
          </cell>
          <cell r="C1961">
            <v>40955379</v>
          </cell>
        </row>
        <row r="1962">
          <cell r="A1962" t="str">
            <v/>
          </cell>
          <cell r="B1962" t="str">
            <v>Total Casino y restaurante</v>
          </cell>
          <cell r="C1962">
            <v>40955379</v>
          </cell>
        </row>
        <row r="1963">
          <cell r="A1963" t="str">
            <v/>
          </cell>
          <cell r="B1963" t="str">
            <v>529562. Gastos reuniones y conferencias</v>
          </cell>
          <cell r="C1963">
            <v>0</v>
          </cell>
        </row>
        <row r="1964">
          <cell r="A1964" t="str">
            <v>529562002</v>
          </cell>
          <cell r="B1964" t="str">
            <v>529562002 VTAS - CONFERENCIAS SEMINAR-TALLER</v>
          </cell>
          <cell r="C1964">
            <v>2700000</v>
          </cell>
        </row>
        <row r="1965">
          <cell r="A1965" t="str">
            <v/>
          </cell>
          <cell r="B1965" t="str">
            <v>Total Gastos reuniones y conferencias</v>
          </cell>
          <cell r="C1965">
            <v>2700000</v>
          </cell>
        </row>
        <row r="1966">
          <cell r="A1966" t="str">
            <v/>
          </cell>
          <cell r="B1966" t="str">
            <v>529565. Parqueaderos</v>
          </cell>
          <cell r="C1966">
            <v>0</v>
          </cell>
        </row>
        <row r="1967">
          <cell r="A1967" t="str">
            <v>529565001</v>
          </cell>
          <cell r="B1967" t="str">
            <v>529565001 VTAS - PARQUEADEROS</v>
          </cell>
          <cell r="C1967">
            <v>1029400</v>
          </cell>
        </row>
        <row r="1968">
          <cell r="A1968" t="str">
            <v/>
          </cell>
          <cell r="B1968" t="str">
            <v>Total Parqueaderos</v>
          </cell>
          <cell r="C1968">
            <v>1029400</v>
          </cell>
        </row>
        <row r="1969">
          <cell r="A1969" t="str">
            <v/>
          </cell>
          <cell r="B1969" t="str">
            <v>529595. Otros</v>
          </cell>
          <cell r="C1969">
            <v>0</v>
          </cell>
        </row>
        <row r="1970">
          <cell r="A1970" t="str">
            <v>529595002</v>
          </cell>
          <cell r="B1970" t="str">
            <v>529595002 VTAS - RIFAS PREMIOS OBSEQUIOS</v>
          </cell>
          <cell r="C1970">
            <v>507240651</v>
          </cell>
        </row>
        <row r="1971">
          <cell r="A1971" t="str">
            <v>529595006</v>
          </cell>
          <cell r="B1971" t="str">
            <v>529595006 VTAS - ATENCION A ASOCIADOS</v>
          </cell>
          <cell r="C1971">
            <v>4432959</v>
          </cell>
        </row>
        <row r="1972">
          <cell r="A1972" t="str">
            <v>529595009</v>
          </cell>
          <cell r="B1972" t="str">
            <v>529595009 VTAS - ROTURAS - DESGUASE DE MERCANCIA</v>
          </cell>
          <cell r="C1972">
            <v>12235073</v>
          </cell>
        </row>
        <row r="1973">
          <cell r="A1973" t="str">
            <v>529595010</v>
          </cell>
          <cell r="B1973" t="str">
            <v>529595010 VTAS - OTROS SUMINISTROS</v>
          </cell>
          <cell r="C1973">
            <v>35181712</v>
          </cell>
        </row>
        <row r="1974">
          <cell r="A1974" t="str">
            <v>529595011</v>
          </cell>
          <cell r="B1974" t="str">
            <v>529595011 VTAS - IMPLEMENTACION SISTEMAS</v>
          </cell>
          <cell r="C1974">
            <v>62000</v>
          </cell>
        </row>
        <row r="1975">
          <cell r="A1975" t="str">
            <v>529595016</v>
          </cell>
          <cell r="B1975" t="str">
            <v>529595016 VTAS - EVENTOS VARIOS</v>
          </cell>
          <cell r="C1975">
            <v>208781895</v>
          </cell>
        </row>
        <row r="1976">
          <cell r="A1976" t="str">
            <v>529595020</v>
          </cell>
          <cell r="B1976" t="str">
            <v>529595020 VTAS - COMUNICACION ELECTRON.DE DATOS</v>
          </cell>
          <cell r="C1976">
            <v>4982622</v>
          </cell>
        </row>
        <row r="1977">
          <cell r="A1977" t="str">
            <v>529595024</v>
          </cell>
          <cell r="B1977" t="str">
            <v>529595024 VTAS - OTROS GTOS GENERALES</v>
          </cell>
          <cell r="C1977">
            <v>51220537</v>
          </cell>
        </row>
        <row r="1978">
          <cell r="A1978" t="str">
            <v>529595101</v>
          </cell>
          <cell r="B1978" t="str">
            <v>529595101 VTAS - DIFERENCIAS MAYORES MCÍA  ETICOS GRAVADA</v>
          </cell>
          <cell r="C1978">
            <v>0</v>
          </cell>
        </row>
        <row r="1979">
          <cell r="A1979" t="str">
            <v>529595102</v>
          </cell>
          <cell r="B1979" t="str">
            <v>529595102 VTAS - DIFERENCIAS MAYORES MCÍA  ETICOS EXENTA</v>
          </cell>
          <cell r="C1979">
            <v>0</v>
          </cell>
        </row>
        <row r="1980">
          <cell r="A1980" t="str">
            <v>529595111</v>
          </cell>
          <cell r="B1980" t="str">
            <v>529595111 VTAS - DIFERENCIAS MAYORES MCÍA  POPULARES GRAV.</v>
          </cell>
          <cell r="C1980">
            <v>2</v>
          </cell>
        </row>
        <row r="1981">
          <cell r="A1981" t="str">
            <v>529595112</v>
          </cell>
          <cell r="B1981" t="str">
            <v>529595112 VTAS - DIFERENCIAS MAYORES MCÍA  POPULARES  EXENTA</v>
          </cell>
          <cell r="C1981">
            <v>0</v>
          </cell>
        </row>
        <row r="1982">
          <cell r="A1982" t="str">
            <v>529595193</v>
          </cell>
          <cell r="B1982" t="str">
            <v>529595193 VTAS - DIFERENCIAS MENORES EN COMPRAS</v>
          </cell>
          <cell r="C1982">
            <v>29105</v>
          </cell>
        </row>
        <row r="1983">
          <cell r="A1983" t="str">
            <v/>
          </cell>
          <cell r="B1983" t="str">
            <v>Total Otros</v>
          </cell>
          <cell r="C1983">
            <v>824166556</v>
          </cell>
        </row>
        <row r="1984">
          <cell r="A1984" t="str">
            <v/>
          </cell>
          <cell r="B1984" t="str">
            <v>Total 5295 Diversos</v>
          </cell>
          <cell r="C1984">
            <v>1275701121</v>
          </cell>
        </row>
        <row r="1985">
          <cell r="A1985" t="str">
            <v/>
          </cell>
          <cell r="B1985" t="str">
            <v>Total 52. Gastos de ventas</v>
          </cell>
          <cell r="C1985">
            <v>16062671813</v>
          </cell>
        </row>
        <row r="1986">
          <cell r="A1986" t="str">
            <v/>
          </cell>
          <cell r="B1986" t="str">
            <v>53. Gastos no operacionales</v>
          </cell>
          <cell r="C1986">
            <v>0</v>
          </cell>
        </row>
        <row r="1987">
          <cell r="A1987" t="str">
            <v/>
          </cell>
          <cell r="B1987" t="str">
            <v>5310. Perdida en venta y retiro de bienes</v>
          </cell>
          <cell r="C1987">
            <v>0</v>
          </cell>
        </row>
        <row r="1988">
          <cell r="A1988" t="str">
            <v/>
          </cell>
          <cell r="B1988" t="str">
            <v>531040. Perdida por siniestros</v>
          </cell>
          <cell r="C1988">
            <v>0</v>
          </cell>
        </row>
        <row r="1989">
          <cell r="A1989" t="str">
            <v>531040001</v>
          </cell>
          <cell r="B1989" t="str">
            <v>531040001 VTAS - (DEDUCIBLE) ROBO MERCANCIA</v>
          </cell>
          <cell r="C1989">
            <v>3236646</v>
          </cell>
        </row>
        <row r="1990">
          <cell r="A1990" t="str">
            <v/>
          </cell>
          <cell r="B1990" t="str">
            <v>Perdida por siniestros</v>
          </cell>
          <cell r="C1990">
            <v>3236646</v>
          </cell>
        </row>
        <row r="1991">
          <cell r="A1991" t="str">
            <v/>
          </cell>
          <cell r="B1991" t="str">
            <v>Total 5310 Perdida en venta y retiro de biene</v>
          </cell>
          <cell r="C1991">
            <v>3236646</v>
          </cell>
        </row>
        <row r="1992">
          <cell r="A1992" t="str">
            <v/>
          </cell>
          <cell r="B1992" t="str">
            <v>5395. Gastos Diversos</v>
          </cell>
          <cell r="C1992">
            <v>0</v>
          </cell>
        </row>
        <row r="1993">
          <cell r="A1993" t="str">
            <v/>
          </cell>
          <cell r="B1993" t="str">
            <v>539520. Multas sanciones y litigios</v>
          </cell>
          <cell r="C1993">
            <v>0</v>
          </cell>
        </row>
        <row r="1994">
          <cell r="A1994" t="str">
            <v>539520000</v>
          </cell>
          <cell r="B1994" t="str">
            <v>539520000  MULTAS, SANCIONES Y LITIGIOS</v>
          </cell>
          <cell r="C1994">
            <v>2585347</v>
          </cell>
        </row>
        <row r="1995">
          <cell r="A1995" t="str">
            <v/>
          </cell>
          <cell r="B1995" t="str">
            <v>Total Multas sanciones y litigios</v>
          </cell>
          <cell r="C1995">
            <v>2585347</v>
          </cell>
        </row>
        <row r="1996">
          <cell r="A1996" t="str">
            <v/>
          </cell>
          <cell r="B1996" t="str">
            <v>539595. Otros</v>
          </cell>
          <cell r="C1996">
            <v>0</v>
          </cell>
        </row>
        <row r="1997">
          <cell r="A1997" t="str">
            <v>539595003</v>
          </cell>
          <cell r="B1997" t="str">
            <v>539595003 PERDIDA EN VENTAS DE ACTIVOS FIJOS</v>
          </cell>
          <cell r="C1997">
            <v>-6438848</v>
          </cell>
        </row>
        <row r="1998">
          <cell r="A1998" t="str">
            <v>539595005</v>
          </cell>
          <cell r="B1998" t="str">
            <v>539595005 VTAS - GASTOS LANZAMIENTO FRANQUICIAS Y MARCAS PRO</v>
          </cell>
          <cell r="C1998">
            <v>6628200</v>
          </cell>
        </row>
        <row r="1999">
          <cell r="A1999" t="str">
            <v>539595006</v>
          </cell>
          <cell r="B1999" t="str">
            <v>539595006 VTAS - IMPUESTO AL PATRIMONIO</v>
          </cell>
          <cell r="C1999">
            <v>177192000</v>
          </cell>
        </row>
        <row r="2000">
          <cell r="A2000" t="str">
            <v/>
          </cell>
          <cell r="B2000" t="str">
            <v>Total Otros</v>
          </cell>
          <cell r="C2000">
            <v>177381352</v>
          </cell>
        </row>
        <row r="2001">
          <cell r="A2001" t="str">
            <v/>
          </cell>
          <cell r="B2001" t="str">
            <v>Total 5395 Gastos Diversos</v>
          </cell>
          <cell r="C2001">
            <v>179966699</v>
          </cell>
        </row>
        <row r="2002">
          <cell r="A2002" t="str">
            <v/>
          </cell>
          <cell r="B2002" t="str">
            <v>Total 53. Gastos no operacionales</v>
          </cell>
          <cell r="C2002">
            <v>183203345</v>
          </cell>
        </row>
        <row r="2003">
          <cell r="A2003" t="str">
            <v/>
          </cell>
          <cell r="B2003" t="str">
            <v>Total  5 Gastos</v>
          </cell>
          <cell r="C2003">
            <v>29085691063</v>
          </cell>
        </row>
        <row r="2004">
          <cell r="A2004" t="str">
            <v/>
          </cell>
          <cell r="B2004" t="str">
            <v>6. Costos</v>
          </cell>
          <cell r="C2004">
            <v>0</v>
          </cell>
        </row>
        <row r="2005">
          <cell r="A2005" t="str">
            <v/>
          </cell>
          <cell r="B2005" t="str">
            <v>61. Costo de ventas y de prestacion de servi.</v>
          </cell>
          <cell r="C2005">
            <v>0</v>
          </cell>
        </row>
        <row r="2006">
          <cell r="A2006" t="str">
            <v/>
          </cell>
          <cell r="B2006" t="str">
            <v>6135. Comercio al por mayor y al por menor</v>
          </cell>
          <cell r="C2006">
            <v>0</v>
          </cell>
        </row>
        <row r="2007">
          <cell r="A2007" t="str">
            <v/>
          </cell>
          <cell r="B2007" t="str">
            <v>613538. Venta,product.aseo,farmac.medici.y ar</v>
          </cell>
          <cell r="C2007">
            <v>0</v>
          </cell>
        </row>
        <row r="2008">
          <cell r="A2008" t="str">
            <v>613538001</v>
          </cell>
          <cell r="B2008" t="str">
            <v>613538001 COSTO DE VENTAS MCÍA  EXCLUIDA  ETICOS ASOCIADOS</v>
          </cell>
          <cell r="C2008">
            <v>248061611771</v>
          </cell>
        </row>
        <row r="2009">
          <cell r="A2009" t="str">
            <v>613538002</v>
          </cell>
          <cell r="B2009" t="str">
            <v>613538002 COSTO DE VENTAS MCÍA  EXCLUUID POPULARES ASOCIADOS</v>
          </cell>
          <cell r="C2009">
            <v>36081099270</v>
          </cell>
        </row>
        <row r="2010">
          <cell r="A2010" t="str">
            <v>613538004</v>
          </cell>
          <cell r="B2010" t="str">
            <v>613538004 COSTO DE VENTAS MCÍA  GRAVADA ETICOS ASOCIADOS</v>
          </cell>
          <cell r="C2010">
            <v>3124907724</v>
          </cell>
        </row>
        <row r="2011">
          <cell r="A2011" t="str">
            <v>613538005</v>
          </cell>
          <cell r="B2011" t="str">
            <v>613538005 COSTO DE VENTAS MCÍA  GRAVADAS POPULARES ASOCIADOS</v>
          </cell>
          <cell r="C2011">
            <v>119142690805</v>
          </cell>
        </row>
        <row r="2012">
          <cell r="A2012" t="str">
            <v>613538006</v>
          </cell>
          <cell r="B2012" t="str">
            <v>613538006 COSTO DE VENTAS MCÍA  GRAVADAS  CONVENIOS ASOCIADO</v>
          </cell>
          <cell r="C2012">
            <v>14218</v>
          </cell>
        </row>
        <row r="2013">
          <cell r="A2013" t="str">
            <v>613538061</v>
          </cell>
          <cell r="B2013" t="str">
            <v>613538061 COSTO DE VENTAS CONVENIOS (FI)</v>
          </cell>
          <cell r="C2013">
            <v>-12585886</v>
          </cell>
        </row>
        <row r="2014">
          <cell r="A2014" t="str">
            <v>613538069</v>
          </cell>
          <cell r="B2014" t="str">
            <v>613538069 COSTO DE VENTAS MCÍA   CONVENIOS ASOCIADOS</v>
          </cell>
          <cell r="C2014">
            <v>1878907773</v>
          </cell>
        </row>
        <row r="2015">
          <cell r="A2015" t="str">
            <v>613538071</v>
          </cell>
          <cell r="B2015" t="str">
            <v>613538071 COSTO DE VENTAS EXCLUIDA ETICOS SINIESTROS</v>
          </cell>
          <cell r="C2015">
            <v>-114352689</v>
          </cell>
        </row>
        <row r="2016">
          <cell r="A2016" t="str">
            <v>613538072</v>
          </cell>
          <cell r="B2016" t="str">
            <v>613538072 COSTO DE VENTAS EXCLUIDA POPULARES SINIESTROS</v>
          </cell>
          <cell r="C2016">
            <v>-11601907</v>
          </cell>
        </row>
        <row r="2017">
          <cell r="A2017" t="str">
            <v>613538074</v>
          </cell>
          <cell r="B2017" t="str">
            <v>613538074 COSTO DE VENTAS GRAVADA ETICOS SINIESTROS</v>
          </cell>
          <cell r="C2017">
            <v>-641474</v>
          </cell>
        </row>
        <row r="2018">
          <cell r="A2018" t="str">
            <v>613538075</v>
          </cell>
          <cell r="B2018" t="str">
            <v>613538075 COSTO DE VENTAS GRAVADA POPULARES SINIESTROS</v>
          </cell>
          <cell r="C2018">
            <v>-31574930</v>
          </cell>
        </row>
        <row r="2019">
          <cell r="A2019" t="str">
            <v>613538081</v>
          </cell>
          <cell r="B2019" t="str">
            <v>613538081 DIFERENCIA EN COSTO MCIA EXCLUIDA ETICOS (FI)</v>
          </cell>
          <cell r="C2019">
            <v>-2047757212</v>
          </cell>
        </row>
        <row r="2020">
          <cell r="A2020" t="str">
            <v>613538082</v>
          </cell>
          <cell r="B2020" t="str">
            <v>613538082 DIFERENCIA EN COSTO MCIA EXCLUIDA POPULARES (FI)</v>
          </cell>
          <cell r="C2020">
            <v>-4228738</v>
          </cell>
        </row>
        <row r="2021">
          <cell r="A2021" t="str">
            <v>613538084</v>
          </cell>
          <cell r="B2021" t="str">
            <v>613538084 DIFERENCIA EN COSTO MCIA GRAVADA ETICOS (FI)</v>
          </cell>
          <cell r="C2021">
            <v>-1559056</v>
          </cell>
        </row>
        <row r="2022">
          <cell r="A2022" t="str">
            <v>613538085</v>
          </cell>
          <cell r="B2022" t="str">
            <v>613538085 DIFERENCIA EN COSTO MCIA GRAVADA POPULARES (FI)</v>
          </cell>
          <cell r="C2022">
            <v>-41867342</v>
          </cell>
        </row>
        <row r="2023">
          <cell r="A2023" t="str">
            <v>613538091</v>
          </cell>
          <cell r="B2023" t="str">
            <v>613538091 VARIACIONES EN PRECIOS Y LOTES DE INVENTARIO</v>
          </cell>
          <cell r="C2023">
            <v>-3670026</v>
          </cell>
        </row>
        <row r="2024">
          <cell r="A2024" t="str">
            <v>613538092</v>
          </cell>
          <cell r="B2024" t="str">
            <v>613538092 COSTO POR DIFERENCIA EN PRECIOS(VARIACIONES)</v>
          </cell>
          <cell r="C2024">
            <v>-75045375</v>
          </cell>
        </row>
        <row r="2025">
          <cell r="A2025" t="str">
            <v/>
          </cell>
          <cell r="B2025" t="str">
            <v>Total Venta,product.aseo,farmac.medici.y ar</v>
          </cell>
          <cell r="C2025">
            <v>405944346926</v>
          </cell>
        </row>
        <row r="2026">
          <cell r="A2026" t="str">
            <v/>
          </cell>
          <cell r="B2026" t="str">
            <v>Total 6135 Ccio al por mayor y al por menor</v>
          </cell>
          <cell r="C2026">
            <v>405944346926</v>
          </cell>
        </row>
        <row r="2027">
          <cell r="A2027" t="str">
            <v/>
          </cell>
          <cell r="B2027" t="str">
            <v>6150. Actividad Financiera</v>
          </cell>
          <cell r="C2027">
            <v>0</v>
          </cell>
        </row>
        <row r="2028">
          <cell r="A2028" t="str">
            <v/>
          </cell>
          <cell r="B2028" t="str">
            <v>615010. Intereses sobre depositos de ahorro</v>
          </cell>
          <cell r="C2028">
            <v>0</v>
          </cell>
        </row>
        <row r="2029">
          <cell r="A2029" t="str">
            <v>615010001</v>
          </cell>
          <cell r="B2029" t="str">
            <v>615010001 INT. SOBRE DEPOSITOS  DE  AHORRO A TERMAYC</v>
          </cell>
          <cell r="C2029">
            <v>273363193</v>
          </cell>
        </row>
        <row r="2030">
          <cell r="A2030" t="str">
            <v/>
          </cell>
          <cell r="B2030" t="str">
            <v>Total Intereses sobre depositos de ahorro</v>
          </cell>
          <cell r="C2030">
            <v>273363193</v>
          </cell>
        </row>
        <row r="2031">
          <cell r="A2031" t="str">
            <v/>
          </cell>
          <cell r="B2031" t="str">
            <v>615015. Intereses ahorro contractual</v>
          </cell>
          <cell r="C2031">
            <v>0</v>
          </cell>
        </row>
        <row r="2032">
          <cell r="A2032" t="str">
            <v>615015001</v>
          </cell>
          <cell r="B2032" t="str">
            <v>615015001 INT. SOBRE DEPOSITOS AYC</v>
          </cell>
          <cell r="C2032">
            <v>821175727</v>
          </cell>
        </row>
        <row r="2033">
          <cell r="A2033" t="str">
            <v>615015002</v>
          </cell>
          <cell r="B2033" t="str">
            <v>615015002 INT. CUBRIMIENTO CESANTIAS AYC</v>
          </cell>
          <cell r="C2033">
            <v>48712251</v>
          </cell>
        </row>
        <row r="2034">
          <cell r="A2034" t="str">
            <v>615015004</v>
          </cell>
          <cell r="B2034" t="str">
            <v>615015004 INT. SOBRE AHORRO TURISMO  AYC</v>
          </cell>
          <cell r="C2034">
            <v>5514829</v>
          </cell>
        </row>
        <row r="2035">
          <cell r="A2035" t="str">
            <v/>
          </cell>
          <cell r="B2035" t="str">
            <v>Total Intereses ahorro contractual</v>
          </cell>
          <cell r="C2035">
            <v>875402807</v>
          </cell>
        </row>
        <row r="2036">
          <cell r="A2036" t="str">
            <v/>
          </cell>
          <cell r="B2036" t="str">
            <v>Total 6150 Actividad Financiera</v>
          </cell>
          <cell r="C2036">
            <v>1148766000</v>
          </cell>
        </row>
        <row r="2037">
          <cell r="A2037" t="str">
            <v/>
          </cell>
          <cell r="B2037" t="str">
            <v>Total 61. Cto de Vtas y de prestacion de ser.</v>
          </cell>
          <cell r="C2037">
            <v>407093112926</v>
          </cell>
        </row>
        <row r="2038">
          <cell r="A2038" t="str">
            <v/>
          </cell>
          <cell r="B2038" t="str">
            <v>62. Compras</v>
          </cell>
          <cell r="C2038">
            <v>0</v>
          </cell>
        </row>
        <row r="2039">
          <cell r="A2039" t="str">
            <v/>
          </cell>
          <cell r="B2039" t="str">
            <v>6225. Devol,rebajas y descuentos en compras</v>
          </cell>
          <cell r="C2039">
            <v>0</v>
          </cell>
        </row>
        <row r="2040">
          <cell r="A2040" t="str">
            <v/>
          </cell>
          <cell r="B2040" t="str">
            <v>622505. Devol,rebajas y descuentos en compras</v>
          </cell>
          <cell r="C2040">
            <v>0</v>
          </cell>
        </row>
        <row r="2041">
          <cell r="A2041" t="str">
            <v>622505001</v>
          </cell>
          <cell r="B2041" t="str">
            <v>622505001 DEVOLUCIONES EN COSTO MCÍA  EXCLUID  ETICOS ASOCIA</v>
          </cell>
          <cell r="C2041">
            <v>-4682110778</v>
          </cell>
        </row>
        <row r="2042">
          <cell r="A2042" t="str">
            <v>622505002</v>
          </cell>
          <cell r="B2042" t="str">
            <v>622505002 DEVOLUCIONES EN COSTO MCÍA  EXCL POPULARES ASOCI</v>
          </cell>
          <cell r="C2042">
            <v>-367596265</v>
          </cell>
        </row>
        <row r="2043">
          <cell r="A2043" t="str">
            <v>622505004</v>
          </cell>
          <cell r="B2043" t="str">
            <v>622505004 DEVOLUCIONES EN COSTO MCÍA  GRAVADA ETICOS ASOCIAD</v>
          </cell>
          <cell r="C2043">
            <v>-77851974</v>
          </cell>
        </row>
        <row r="2044">
          <cell r="A2044" t="str">
            <v>622505005</v>
          </cell>
          <cell r="B2044" t="str">
            <v>622505005 DEVOLUCIONES EN COSTO MCÍA  GRAVADAS POPULARES ASO</v>
          </cell>
          <cell r="C2044">
            <v>-1124470922</v>
          </cell>
        </row>
        <row r="2045">
          <cell r="A2045" t="str">
            <v>622505006</v>
          </cell>
          <cell r="B2045" t="str">
            <v>622505006 DEVOLUCIONES EN COSTO MCÍA  GRAVADAS  CONVENIOS AS</v>
          </cell>
          <cell r="C2045">
            <v>-3</v>
          </cell>
        </row>
        <row r="2046">
          <cell r="A2046" t="str">
            <v>622505041</v>
          </cell>
          <cell r="B2046" t="str">
            <v>622505041 DEVOLUCIONES EN COSTO MCÍA  EXCLUIDA POPULARES EPS</v>
          </cell>
          <cell r="C2046">
            <v>-358120</v>
          </cell>
        </row>
        <row r="2047">
          <cell r="A2047" t="str">
            <v>622505092</v>
          </cell>
          <cell r="B2047" t="str">
            <v>622505092 DEVOLUCIONES DIFERENCIA EN PRECIOS(VARIACIONES)</v>
          </cell>
          <cell r="C2047">
            <v>358652826</v>
          </cell>
        </row>
        <row r="2048">
          <cell r="A2048" t="str">
            <v/>
          </cell>
          <cell r="B2048" t="str">
            <v>Total Devol,rebajas y descuentos en compras</v>
          </cell>
          <cell r="C2048">
            <v>-5893735236</v>
          </cell>
        </row>
        <row r="2049">
          <cell r="A2049" t="str">
            <v/>
          </cell>
          <cell r="B2049" t="str">
            <v>622510.Descuentos en compras</v>
          </cell>
          <cell r="C2049">
            <v>0</v>
          </cell>
        </row>
        <row r="2050">
          <cell r="A2050" t="str">
            <v>622510001</v>
          </cell>
          <cell r="B2050" t="str">
            <v>622510001 DTOS POR PAGO ANTICIPADO(G.FINANCIERA)</v>
          </cell>
          <cell r="C2050">
            <v>-1781705658</v>
          </cell>
        </row>
        <row r="2051">
          <cell r="A2051" t="str">
            <v>622510002</v>
          </cell>
          <cell r="B2051" t="str">
            <v>622510002 DTOS POR V/MEN  PERIODICO (MENSUAL,BIMESTRAL,TRIM)</v>
          </cell>
          <cell r="C2051">
            <v>-2504701928</v>
          </cell>
        </row>
        <row r="2052">
          <cell r="A2052" t="str">
            <v>622510003</v>
          </cell>
          <cell r="B2052" t="str">
            <v>622510003 DESCUENTOS CONFIDENCIALES (G. COMERCIAL)</v>
          </cell>
          <cell r="C2052">
            <v>-1043501262</v>
          </cell>
        </row>
        <row r="2053">
          <cell r="A2053" t="str">
            <v>622510004</v>
          </cell>
          <cell r="B2053" t="str">
            <v>622510004 DTOS POR TELEFERIA</v>
          </cell>
          <cell r="C2053">
            <v>-1443386714</v>
          </cell>
        </row>
        <row r="2054">
          <cell r="A2054" t="str">
            <v>622510005</v>
          </cell>
          <cell r="B2054" t="str">
            <v>622510005 DTOS POR PAGO OPORTUNO (GESTION COMERCIAL)</v>
          </cell>
          <cell r="C2054">
            <v>-16006118790</v>
          </cell>
        </row>
        <row r="2055">
          <cell r="A2055" t="str">
            <v>622510006</v>
          </cell>
          <cell r="B2055" t="str">
            <v>622510006 OTROS DTOS  ACTIVIDADES COMERCIALES</v>
          </cell>
          <cell r="C2055">
            <v>-371998495</v>
          </cell>
        </row>
        <row r="2056">
          <cell r="A2056" t="str">
            <v>622510007</v>
          </cell>
          <cell r="B2056" t="str">
            <v>622510007 APROVECHAMIENTOS DTOS Y OTROS</v>
          </cell>
          <cell r="C2056">
            <v>-123740759</v>
          </cell>
        </row>
        <row r="2057">
          <cell r="A2057" t="str">
            <v>622510009</v>
          </cell>
          <cell r="B2057" t="str">
            <v>622510009 DTOS X PLAN ANOTATE</v>
          </cell>
          <cell r="C2057">
            <v>-18414846</v>
          </cell>
        </row>
        <row r="2058">
          <cell r="A2058" t="str">
            <v>622510031</v>
          </cell>
          <cell r="B2058" t="str">
            <v>622510031 DESCUENTOS POR BONOS</v>
          </cell>
          <cell r="C2058">
            <v>-488945107</v>
          </cell>
        </row>
        <row r="2059">
          <cell r="A2059" t="str">
            <v>622510037</v>
          </cell>
          <cell r="B2059" t="str">
            <v>622510037 DESCUENTOS POR PLAN FIDELIDAD</v>
          </cell>
          <cell r="C2059">
            <v>-320836956</v>
          </cell>
        </row>
        <row r="2060">
          <cell r="A2060" t="str">
            <v/>
          </cell>
          <cell r="B2060" t="str">
            <v>Total Descuentos en compras</v>
          </cell>
          <cell r="C2060">
            <v>-24103350515</v>
          </cell>
        </row>
        <row r="2061">
          <cell r="A2061" t="str">
            <v/>
          </cell>
          <cell r="B2061" t="str">
            <v>Total  6225 Devol,rebajas y destos en compras</v>
          </cell>
          <cell r="C2061">
            <v>-29997085751</v>
          </cell>
        </row>
        <row r="2062">
          <cell r="A2062" t="str">
            <v/>
          </cell>
          <cell r="B2062" t="str">
            <v>Total 62 Compras</v>
          </cell>
          <cell r="C2062">
            <v>-29997085751</v>
          </cell>
        </row>
        <row r="2063">
          <cell r="A2063" t="str">
            <v/>
          </cell>
          <cell r="B2063" t="str">
            <v>Total 6 Costos</v>
          </cell>
          <cell r="C2063">
            <v>377096027175</v>
          </cell>
        </row>
        <row r="2064">
          <cell r="A2064" t="str">
            <v/>
          </cell>
          <cell r="B2064" t="str">
            <v/>
          </cell>
          <cell r="C2064">
            <v>2660673402</v>
          </cell>
        </row>
        <row r="2065">
          <cell r="A2065" t="str">
            <v>999999990</v>
          </cell>
          <cell r="B2065" t="str">
            <v>999999990 Cargue de Saldos Finanzas</v>
          </cell>
          <cell r="C2065">
            <v>0</v>
          </cell>
        </row>
        <row r="2066">
          <cell r="A2066" t="str">
            <v>999999991</v>
          </cell>
          <cell r="B2066" t="str">
            <v>999999991 Cargue de Saldos Cuentas por Cobrar</v>
          </cell>
          <cell r="C2066">
            <v>0</v>
          </cell>
        </row>
        <row r="2067">
          <cell r="A2067" t="str">
            <v>999999992</v>
          </cell>
          <cell r="B2067" t="str">
            <v>999999992 Cargue de Saldos Cuentas por Pagar</v>
          </cell>
          <cell r="C2067">
            <v>0</v>
          </cell>
        </row>
        <row r="2068">
          <cell r="A2068" t="str">
            <v>999999993</v>
          </cell>
          <cell r="B2068" t="str">
            <v>999999993 Cargue de Saldos Activos Fijos</v>
          </cell>
          <cell r="C2068">
            <v>0</v>
          </cell>
        </row>
        <row r="2069">
          <cell r="A2069" t="str">
            <v>999999994</v>
          </cell>
          <cell r="B2069" t="str">
            <v>999999994 Cargue de Saldos Materiales e Inventarios</v>
          </cell>
          <cell r="C2069">
            <v>0</v>
          </cell>
        </row>
        <row r="2070">
          <cell r="A2070" t="str">
            <v/>
          </cell>
          <cell r="B2070" t="str">
            <v/>
          </cell>
          <cell r="C2070">
            <v>0</v>
          </cell>
        </row>
        <row r="2071">
          <cell r="A2071" t="str">
            <v/>
          </cell>
          <cell r="B2071" t="str">
            <v>8. Cuentas de orden deudoras</v>
          </cell>
          <cell r="C2071">
            <v>0</v>
          </cell>
        </row>
        <row r="2072">
          <cell r="A2072" t="str">
            <v/>
          </cell>
          <cell r="B2072" t="str">
            <v>81. Deudoras contingentes</v>
          </cell>
          <cell r="C2072">
            <v>0</v>
          </cell>
        </row>
        <row r="2073">
          <cell r="A2073" t="str">
            <v/>
          </cell>
          <cell r="B2073" t="str">
            <v>8120. Intereses cartera de credito</v>
          </cell>
          <cell r="C2073">
            <v>0</v>
          </cell>
        </row>
        <row r="2074">
          <cell r="A2074" t="str">
            <v/>
          </cell>
          <cell r="B2074" t="str">
            <v>812026. Categoria C-riesgo apreciable cmo</v>
          </cell>
          <cell r="C2074">
            <v>0</v>
          </cell>
        </row>
        <row r="2075">
          <cell r="A2075" t="str">
            <v>812026001</v>
          </cell>
          <cell r="B2075" t="str">
            <v>812026001 CATEGORIA C-RIESGO APRECIABLE, CONSUMO AYC</v>
          </cell>
          <cell r="C2075">
            <v>42713485</v>
          </cell>
        </row>
        <row r="2076">
          <cell r="A2076" t="str">
            <v/>
          </cell>
          <cell r="B2076" t="str">
            <v>Total Categoria C-riesgo apreciable cmo</v>
          </cell>
          <cell r="C2076">
            <v>42713485</v>
          </cell>
        </row>
        <row r="2077">
          <cell r="A2077" t="str">
            <v/>
          </cell>
          <cell r="B2077" t="str">
            <v>812028. Categoria D-riesgo significativo cmo</v>
          </cell>
          <cell r="C2077">
            <v>0</v>
          </cell>
        </row>
        <row r="2078">
          <cell r="A2078" t="str">
            <v>812028001</v>
          </cell>
          <cell r="B2078" t="str">
            <v>812028001 CATEGORIA D-RIESGO SIGNIFICATIVO,CONSUMO AYC</v>
          </cell>
          <cell r="C2078">
            <v>0</v>
          </cell>
        </row>
        <row r="2079">
          <cell r="A2079" t="str">
            <v/>
          </cell>
          <cell r="B2079" t="str">
            <v>Total Categoria D-riesgo significativo cmo</v>
          </cell>
          <cell r="C2079">
            <v>0</v>
          </cell>
        </row>
        <row r="2080">
          <cell r="A2080" t="str">
            <v/>
          </cell>
          <cell r="B2080" t="str">
            <v>812030. Categoria E-riesgo de incobrabilidad</v>
          </cell>
          <cell r="C2080">
            <v>0</v>
          </cell>
        </row>
        <row r="2081">
          <cell r="A2081" t="str">
            <v>812030001</v>
          </cell>
          <cell r="B2081" t="str">
            <v>812030001 CATEGORIA E-RIESGO DE INCOBRABILIDAD,CONSUMO</v>
          </cell>
          <cell r="C2081">
            <v>0</v>
          </cell>
        </row>
        <row r="2082">
          <cell r="A2082" t="str">
            <v/>
          </cell>
          <cell r="B2082" t="str">
            <v>Total Categoria E-riesgo de incobrabilidad</v>
          </cell>
          <cell r="C2082">
            <v>0</v>
          </cell>
        </row>
        <row r="2083">
          <cell r="A2083" t="str">
            <v/>
          </cell>
          <cell r="B2083" t="str">
            <v>Total Intereses cartera de credito</v>
          </cell>
          <cell r="C2083">
            <v>42713485</v>
          </cell>
        </row>
        <row r="2084">
          <cell r="A2084" t="str">
            <v/>
          </cell>
          <cell r="B2084" t="str">
            <v>Total Deudoras contingentes</v>
          </cell>
          <cell r="C2084">
            <v>42713485</v>
          </cell>
        </row>
        <row r="2085">
          <cell r="A2085" t="str">
            <v/>
          </cell>
          <cell r="B2085" t="str">
            <v>83. Deudoras de control</v>
          </cell>
          <cell r="C2085">
            <v>0</v>
          </cell>
        </row>
        <row r="2086">
          <cell r="A2086" t="str">
            <v/>
          </cell>
          <cell r="B2086" t="str">
            <v>831015. Cartera de credito</v>
          </cell>
          <cell r="C2086">
            <v>0</v>
          </cell>
        </row>
        <row r="2087">
          <cell r="A2087" t="str">
            <v>831015001</v>
          </cell>
          <cell r="B2087" t="str">
            <v>831015001 CARTERA CASTIGADA POR CARTERA DE CREDITO AYC</v>
          </cell>
          <cell r="C2087">
            <v>27082145</v>
          </cell>
        </row>
        <row r="2088">
          <cell r="A2088" t="str">
            <v/>
          </cell>
          <cell r="B2088" t="str">
            <v>Total Cartera de credito</v>
          </cell>
          <cell r="C2088">
            <v>27082145</v>
          </cell>
        </row>
        <row r="2089">
          <cell r="A2089" t="str">
            <v/>
          </cell>
          <cell r="B2089" t="str">
            <v>831020. Cartera Por venta de Bienes y servic.</v>
          </cell>
          <cell r="C2089">
            <v>0</v>
          </cell>
        </row>
        <row r="2090">
          <cell r="A2090" t="str">
            <v>831020001</v>
          </cell>
          <cell r="B2090" t="str">
            <v>831020001 CARTERA CASTIGADA POR VENTA DE BIENES Y SERVICIOS</v>
          </cell>
          <cell r="C2090">
            <v>62122876</v>
          </cell>
        </row>
        <row r="2091">
          <cell r="A2091" t="str">
            <v/>
          </cell>
          <cell r="B2091" t="str">
            <v>Total Cartera Por venta de Bienes y servic.</v>
          </cell>
          <cell r="C2091">
            <v>62122876</v>
          </cell>
        </row>
        <row r="2092">
          <cell r="A2092" t="str">
            <v/>
          </cell>
          <cell r="B2092" t="str">
            <v/>
          </cell>
          <cell r="C2092">
            <v>89205021</v>
          </cell>
        </row>
        <row r="2093">
          <cell r="A2093" t="str">
            <v/>
          </cell>
          <cell r="B2093" t="str">
            <v>8320. Prop.planta y equipo totalmente depreci</v>
          </cell>
          <cell r="C2093">
            <v>0</v>
          </cell>
        </row>
        <row r="2094">
          <cell r="A2094" t="str">
            <v/>
          </cell>
          <cell r="B2094" t="str">
            <v>832015. Muebles y equipo de oficina</v>
          </cell>
          <cell r="C2094">
            <v>0</v>
          </cell>
        </row>
        <row r="2095">
          <cell r="A2095" t="str">
            <v>832015001</v>
          </cell>
          <cell r="B2095" t="str">
            <v>832015001 MUEBLES Y EQUIPO DE OFICIONA AYC</v>
          </cell>
          <cell r="C2095">
            <v>0</v>
          </cell>
        </row>
        <row r="2096">
          <cell r="A2096" t="str">
            <v>832015002</v>
          </cell>
          <cell r="B2096" t="str">
            <v>832015002 MUEBLES Y EQUIPO DE OFICIONA</v>
          </cell>
          <cell r="C2096">
            <v>73746694</v>
          </cell>
        </row>
        <row r="2097">
          <cell r="A2097" t="str">
            <v/>
          </cell>
          <cell r="B2097" t="str">
            <v>Total Muebles y equipo de oficina</v>
          </cell>
          <cell r="C2097">
            <v>73746694</v>
          </cell>
        </row>
        <row r="2098">
          <cell r="A2098" t="str">
            <v/>
          </cell>
          <cell r="B2098" t="str">
            <v>832020. Equipo de computo y comunicacion</v>
          </cell>
          <cell r="C2098">
            <v>0</v>
          </cell>
        </row>
        <row r="2099">
          <cell r="A2099" t="str">
            <v>832020001</v>
          </cell>
          <cell r="B2099" t="str">
            <v>832020001 EQUIPO TELECOMUNICACIONES  AYC</v>
          </cell>
          <cell r="C2099">
            <v>0</v>
          </cell>
        </row>
        <row r="2100">
          <cell r="A2100" t="str">
            <v>832020002</v>
          </cell>
          <cell r="B2100" t="str">
            <v>832020002 EQUIPO DE COMPUTO AYC</v>
          </cell>
          <cell r="C2100">
            <v>0</v>
          </cell>
        </row>
        <row r="2101">
          <cell r="A2101" t="str">
            <v>832020003</v>
          </cell>
          <cell r="B2101" t="str">
            <v>832020003 EQUIPO DE COMPUTO Y TELECOMUNICACIONES</v>
          </cell>
          <cell r="C2101">
            <v>1167104117</v>
          </cell>
        </row>
        <row r="2102">
          <cell r="A2102" t="str">
            <v/>
          </cell>
          <cell r="B2102" t="str">
            <v>Total Equipo de computo y comunicacion</v>
          </cell>
          <cell r="C2102">
            <v>1167104117</v>
          </cell>
        </row>
        <row r="2103">
          <cell r="A2103" t="str">
            <v/>
          </cell>
          <cell r="B2103" t="str">
            <v>832025. Maquinaria y equipo</v>
          </cell>
          <cell r="C2103">
            <v>0</v>
          </cell>
        </row>
        <row r="2104">
          <cell r="A2104" t="str">
            <v>832025001</v>
          </cell>
          <cell r="B2104" t="str">
            <v>832025001 MAQUINARIA Y EQUIPO</v>
          </cell>
          <cell r="C2104">
            <v>152867763</v>
          </cell>
        </row>
        <row r="2105">
          <cell r="A2105" t="str">
            <v/>
          </cell>
          <cell r="B2105" t="str">
            <v>Total Maquinaria y equipo</v>
          </cell>
          <cell r="C2105">
            <v>152867763</v>
          </cell>
        </row>
        <row r="2106">
          <cell r="A2106" t="str">
            <v/>
          </cell>
          <cell r="B2106" t="str">
            <v>Total Prop.planta y equipo totalmente depreci</v>
          </cell>
          <cell r="C2106">
            <v>1393718574</v>
          </cell>
        </row>
        <row r="2107">
          <cell r="A2107" t="str">
            <v/>
          </cell>
          <cell r="B2107" t="str">
            <v>8325. Aportes suscritos por cobrar</v>
          </cell>
          <cell r="C2107">
            <v>0</v>
          </cell>
        </row>
        <row r="2108">
          <cell r="A2108" t="str">
            <v/>
          </cell>
          <cell r="B2108" t="str">
            <v>832505. Aportes suscritos por cobrar</v>
          </cell>
          <cell r="C2108">
            <v>0</v>
          </cell>
        </row>
        <row r="2109">
          <cell r="A2109" t="str">
            <v>832505001</v>
          </cell>
          <cell r="B2109" t="str">
            <v>832505001 APORTES ORDINARIOS POR COBRAR A ASOCIADOS</v>
          </cell>
          <cell r="C2109">
            <v>618699184</v>
          </cell>
        </row>
        <row r="2110">
          <cell r="A2110" t="str">
            <v>832505002</v>
          </cell>
          <cell r="B2110" t="str">
            <v>832505002 CUENTAS POR COBRAR ASOCOLDRO</v>
          </cell>
          <cell r="C2110">
            <v>117304260</v>
          </cell>
        </row>
        <row r="2111">
          <cell r="A2111" t="str">
            <v>832505003</v>
          </cell>
          <cell r="B2111" t="str">
            <v>832505003 CUOTAS DE AHORROS AHORRO Y CREDITO</v>
          </cell>
          <cell r="C2111">
            <v>5304500</v>
          </cell>
        </row>
        <row r="2112">
          <cell r="A2112" t="str">
            <v/>
          </cell>
          <cell r="B2112" t="str">
            <v>Total  Aportes suscritos por cobrar</v>
          </cell>
          <cell r="C2112">
            <v>741307944</v>
          </cell>
        </row>
        <row r="2113">
          <cell r="A2113" t="str">
            <v/>
          </cell>
          <cell r="B2113" t="str">
            <v>Total  Aportes suscritos por cobrar</v>
          </cell>
          <cell r="C2113">
            <v>741307944</v>
          </cell>
        </row>
        <row r="2114">
          <cell r="A2114" t="str">
            <v/>
          </cell>
          <cell r="B2114" t="str">
            <v>8385. Otras deudas de control</v>
          </cell>
          <cell r="C2114">
            <v>0</v>
          </cell>
        </row>
        <row r="2115">
          <cell r="A2115" t="str">
            <v/>
          </cell>
          <cell r="B2115" t="str">
            <v>838505. Cheques Devueltos</v>
          </cell>
          <cell r="C2115">
            <v>0</v>
          </cell>
        </row>
        <row r="2116">
          <cell r="A2116" t="str">
            <v>838505001</v>
          </cell>
          <cell r="B2116" t="str">
            <v>838505001 CHEQUES DEVUELTOS</v>
          </cell>
          <cell r="C2116">
            <v>2000000</v>
          </cell>
        </row>
        <row r="2117">
          <cell r="A2117" t="str">
            <v/>
          </cell>
          <cell r="B2117" t="str">
            <v>Total  Cheques Devueltos</v>
          </cell>
          <cell r="C2117">
            <v>2000000</v>
          </cell>
        </row>
        <row r="2118">
          <cell r="A2118" t="str">
            <v/>
          </cell>
          <cell r="B2118" t="str">
            <v>838585. Otras</v>
          </cell>
          <cell r="C2118">
            <v>0</v>
          </cell>
        </row>
        <row r="2119">
          <cell r="A2119" t="str">
            <v>838585011</v>
          </cell>
          <cell r="B2119" t="str">
            <v>838585011 REPOS VALORIZAZION GARANTIAS POR INVERSIONES</v>
          </cell>
          <cell r="C2119">
            <v>729299836</v>
          </cell>
        </row>
        <row r="2120">
          <cell r="A2120" t="str">
            <v/>
          </cell>
          <cell r="B2120" t="str">
            <v>Total Otras</v>
          </cell>
          <cell r="C2120">
            <v>729299836</v>
          </cell>
        </row>
        <row r="2121">
          <cell r="A2121" t="str">
            <v/>
          </cell>
          <cell r="B2121" t="str">
            <v>Total Otras deudas de control</v>
          </cell>
          <cell r="C2121">
            <v>731299836</v>
          </cell>
        </row>
        <row r="2122">
          <cell r="A2122" t="str">
            <v/>
          </cell>
          <cell r="B2122" t="str">
            <v>Total Deudoras de control</v>
          </cell>
          <cell r="C2122">
            <v>2955531375</v>
          </cell>
        </row>
        <row r="2123">
          <cell r="A2123" t="str">
            <v/>
          </cell>
          <cell r="B2123" t="str">
            <v>86. Deudoras contingentes por contra</v>
          </cell>
          <cell r="C2123">
            <v>0</v>
          </cell>
        </row>
        <row r="2124">
          <cell r="A2124" t="str">
            <v/>
          </cell>
          <cell r="B2124" t="str">
            <v>8605. Deudoras contingentes por contra (CR)</v>
          </cell>
          <cell r="C2124">
            <v>0</v>
          </cell>
        </row>
        <row r="2125">
          <cell r="A2125" t="str">
            <v/>
          </cell>
          <cell r="B2125" t="str">
            <v>860501.Deudoras contingentes por contra</v>
          </cell>
          <cell r="C2125">
            <v>0</v>
          </cell>
        </row>
        <row r="2126">
          <cell r="A2126" t="str">
            <v>860501001</v>
          </cell>
          <cell r="B2126" t="str">
            <v>860501001 DEUDORAS CONTINGENTES POR CONTRA AYC</v>
          </cell>
          <cell r="C2126">
            <v>-42713485</v>
          </cell>
        </row>
        <row r="2127">
          <cell r="A2127" t="str">
            <v/>
          </cell>
          <cell r="B2127" t="str">
            <v>Total Deudoras contingentes por contra</v>
          </cell>
          <cell r="C2127">
            <v>-42713485</v>
          </cell>
        </row>
        <row r="2128">
          <cell r="A2128" t="str">
            <v/>
          </cell>
          <cell r="B2128" t="str">
            <v>Total Deudoras contingentes por contra (CR)</v>
          </cell>
          <cell r="C2128">
            <v>-42713485</v>
          </cell>
        </row>
        <row r="2129">
          <cell r="A2129" t="str">
            <v/>
          </cell>
          <cell r="B2129" t="str">
            <v>Total Deudoras contingentes por contra</v>
          </cell>
          <cell r="C2129">
            <v>-42713485</v>
          </cell>
        </row>
        <row r="2130">
          <cell r="A2130" t="str">
            <v/>
          </cell>
          <cell r="B2130" t="str">
            <v>88. Deudoras de control por contra</v>
          </cell>
          <cell r="C2130">
            <v>0</v>
          </cell>
        </row>
        <row r="2131">
          <cell r="A2131" t="str">
            <v/>
          </cell>
          <cell r="B2131" t="str">
            <v>8805. Deudoras de control por contra (CR)</v>
          </cell>
          <cell r="C2131">
            <v>0</v>
          </cell>
        </row>
        <row r="2132">
          <cell r="A2132" t="str">
            <v/>
          </cell>
          <cell r="B2132" t="str">
            <v>880501. Deudoras de control</v>
          </cell>
          <cell r="C2132">
            <v>0</v>
          </cell>
        </row>
        <row r="2133">
          <cell r="A2133" t="str">
            <v>880501002</v>
          </cell>
          <cell r="B2133" t="str">
            <v>880501002 ACTIVOS DADOS DE BAJA  AYC</v>
          </cell>
          <cell r="C2133">
            <v>0</v>
          </cell>
        </row>
        <row r="2134">
          <cell r="A2134" t="str">
            <v>880501005</v>
          </cell>
          <cell r="B2134" t="str">
            <v>880501005 ACTIVOS TOTALMENTE DEPRECIADOS</v>
          </cell>
          <cell r="C2134">
            <v>-1393718574</v>
          </cell>
        </row>
        <row r="2135">
          <cell r="A2135" t="str">
            <v/>
          </cell>
          <cell r="B2135" t="str">
            <v>Total  Deudoras de control</v>
          </cell>
          <cell r="C2135">
            <v>-1393718574</v>
          </cell>
        </row>
        <row r="2136">
          <cell r="A2136" t="str">
            <v/>
          </cell>
          <cell r="B2136" t="str">
            <v>880505. Deudoras de control por control (CR)</v>
          </cell>
          <cell r="C2136">
            <v>0</v>
          </cell>
        </row>
        <row r="2137">
          <cell r="A2137" t="str">
            <v>880505001</v>
          </cell>
          <cell r="B2137" t="str">
            <v>880505001 CARTERA CASTIGADA POR CARTERA DE CREDITO AYC</v>
          </cell>
          <cell r="C2137">
            <v>-27082145</v>
          </cell>
        </row>
        <row r="2138">
          <cell r="A2138" t="str">
            <v>880505012</v>
          </cell>
          <cell r="B2138" t="str">
            <v>880505012 APORTES ORDINARIOS POR COB .ASOCIADOS CONTRA</v>
          </cell>
          <cell r="C2138">
            <v>-618699184</v>
          </cell>
        </row>
        <row r="2139">
          <cell r="A2139" t="str">
            <v>880505013</v>
          </cell>
          <cell r="B2139" t="str">
            <v>880505013 CUENTAS POR COBRAR ASOCOLDRO</v>
          </cell>
          <cell r="C2139">
            <v>-117304260</v>
          </cell>
        </row>
        <row r="2140">
          <cell r="A2140" t="str">
            <v>880505014</v>
          </cell>
          <cell r="B2140" t="str">
            <v>880505014 CUOTAS DE AHORROS AHORRO Y CREDITO</v>
          </cell>
          <cell r="C2140">
            <v>-5304500</v>
          </cell>
        </row>
        <row r="2141">
          <cell r="A2141" t="str">
            <v>880505018</v>
          </cell>
          <cell r="B2141" t="str">
            <v>880505018 CHEQUES DEVUELTOS</v>
          </cell>
          <cell r="C2141">
            <v>-2000000</v>
          </cell>
        </row>
        <row r="2142">
          <cell r="A2142" t="str">
            <v>880505020</v>
          </cell>
          <cell r="B2142" t="str">
            <v>880505020 CARTERA CASTIGADA POR VENTA DE BIENES Y SERVICIOS</v>
          </cell>
          <cell r="C2142">
            <v>-62122876</v>
          </cell>
        </row>
        <row r="2143">
          <cell r="A2143" t="str">
            <v>880505021</v>
          </cell>
          <cell r="B2143" t="str">
            <v>880505021 REPOS VALORIZAZION GARANTIAS POR INVERSIONES (CR)</v>
          </cell>
          <cell r="C2143">
            <v>-729299836</v>
          </cell>
        </row>
        <row r="2144">
          <cell r="A2144" t="str">
            <v/>
          </cell>
          <cell r="B2144" t="str">
            <v>Total Deudoras de control por control (CR)</v>
          </cell>
          <cell r="C2144">
            <v>-1561812801</v>
          </cell>
        </row>
        <row r="2145">
          <cell r="A2145" t="str">
            <v/>
          </cell>
          <cell r="B2145" t="str">
            <v>Total Deudoras de control por contra (CR)</v>
          </cell>
          <cell r="C2145">
            <v>-2955531375</v>
          </cell>
        </row>
        <row r="2146">
          <cell r="A2146" t="str">
            <v/>
          </cell>
          <cell r="B2146" t="str">
            <v>Total Deudoras de control por contra</v>
          </cell>
          <cell r="C2146">
            <v>-2955531375</v>
          </cell>
        </row>
        <row r="2147">
          <cell r="A2147" t="str">
            <v/>
          </cell>
          <cell r="B2147" t="str">
            <v>Total Cuentas de orden deudoras</v>
          </cell>
          <cell r="C2147">
            <v>0</v>
          </cell>
        </row>
        <row r="2148">
          <cell r="A2148" t="str">
            <v/>
          </cell>
          <cell r="B2148" t="str">
            <v>9. Cuentas de orden acreedoras</v>
          </cell>
          <cell r="C2148">
            <v>0</v>
          </cell>
        </row>
        <row r="2149">
          <cell r="A2149" t="str">
            <v/>
          </cell>
          <cell r="B2149" t="str">
            <v>91. Acreedoras contingentes</v>
          </cell>
          <cell r="C2149">
            <v>0</v>
          </cell>
        </row>
        <row r="2150">
          <cell r="A2150" t="str">
            <v/>
          </cell>
          <cell r="B2150" t="str">
            <v>9115. Bienes y Valores Recibidos en Garantia</v>
          </cell>
          <cell r="C2150">
            <v>0</v>
          </cell>
        </row>
        <row r="2151">
          <cell r="A2151" t="str">
            <v/>
          </cell>
          <cell r="B2151" t="str">
            <v>911505. De Créditos Comerciales</v>
          </cell>
          <cell r="C2151">
            <v>0</v>
          </cell>
        </row>
        <row r="2152">
          <cell r="A2152" t="str">
            <v>911505001</v>
          </cell>
          <cell r="B2152" t="str">
            <v>911505001 PAGARES   AYC</v>
          </cell>
          <cell r="C2152">
            <v>-6462717469</v>
          </cell>
        </row>
        <row r="2153">
          <cell r="A2153" t="str">
            <v>911505002</v>
          </cell>
          <cell r="B2153" t="str">
            <v>911505002 POSFECHADOS   AYC</v>
          </cell>
          <cell r="C2153">
            <v>-10572332</v>
          </cell>
        </row>
        <row r="2154">
          <cell r="A2154" t="str">
            <v/>
          </cell>
          <cell r="B2154" t="str">
            <v>Total De Créditos Comerciales</v>
          </cell>
          <cell r="C2154">
            <v>-6473289801</v>
          </cell>
        </row>
        <row r="2155">
          <cell r="A2155" t="str">
            <v/>
          </cell>
          <cell r="B2155" t="str">
            <v>911510. De Créditos de Consumo</v>
          </cell>
          <cell r="C2155">
            <v>0</v>
          </cell>
        </row>
        <row r="2156">
          <cell r="A2156" t="str">
            <v>911510001</v>
          </cell>
          <cell r="B2156" t="str">
            <v>911510001 PAGARES   AYC</v>
          </cell>
          <cell r="C2156">
            <v>-26653068122</v>
          </cell>
        </row>
        <row r="2157">
          <cell r="A2157" t="str">
            <v>911510002</v>
          </cell>
          <cell r="B2157" t="str">
            <v>911510002 POSFECHADOS   AYC</v>
          </cell>
          <cell r="C2157">
            <v>-352510624</v>
          </cell>
        </row>
        <row r="2158">
          <cell r="A2158" t="str">
            <v/>
          </cell>
          <cell r="B2158" t="str">
            <v>Total De Créditos de Consumo</v>
          </cell>
          <cell r="C2158">
            <v>-27005578746</v>
          </cell>
        </row>
        <row r="2159">
          <cell r="A2159" t="str">
            <v/>
          </cell>
          <cell r="B2159" t="str">
            <v>Total Bienes y Valores Recib Garantia</v>
          </cell>
          <cell r="C2159">
            <v>-33478868547</v>
          </cell>
        </row>
        <row r="2160">
          <cell r="A2160" t="str">
            <v/>
          </cell>
          <cell r="B2160" t="str">
            <v>9125. Creditos aprobados no desembolsados</v>
          </cell>
          <cell r="C2160">
            <v>0</v>
          </cell>
        </row>
        <row r="2161">
          <cell r="A2161" t="str">
            <v/>
          </cell>
          <cell r="B2161" t="str">
            <v>912505. Creditos aprobados no desembolsados</v>
          </cell>
          <cell r="C2161">
            <v>0</v>
          </cell>
        </row>
        <row r="2162">
          <cell r="A2162" t="str">
            <v>912505001</v>
          </cell>
          <cell r="B2162" t="str">
            <v>912505001 TOTAL CREDITOS  APROBADOS NO DESEMBOLS AYC</v>
          </cell>
          <cell r="C2162">
            <v>-1157574996</v>
          </cell>
        </row>
        <row r="2163">
          <cell r="A2163" t="str">
            <v/>
          </cell>
          <cell r="B2163" t="str">
            <v>Total Creditos aprobados no desembolsados</v>
          </cell>
          <cell r="C2163">
            <v>-1157574996</v>
          </cell>
        </row>
        <row r="2164">
          <cell r="A2164" t="str">
            <v/>
          </cell>
          <cell r="B2164" t="str">
            <v>Total Creditos aprobados no desembolsados</v>
          </cell>
          <cell r="C2164">
            <v>-1157574996</v>
          </cell>
        </row>
        <row r="2165">
          <cell r="A2165" t="str">
            <v/>
          </cell>
          <cell r="B2165" t="str">
            <v>9110. Bienes y valores en garantia</v>
          </cell>
          <cell r="C2165">
            <v>0</v>
          </cell>
        </row>
        <row r="2166">
          <cell r="A2166" t="str">
            <v/>
          </cell>
          <cell r="B2166" t="str">
            <v>911005. Creditos comerciales</v>
          </cell>
          <cell r="C2166">
            <v>0</v>
          </cell>
        </row>
        <row r="2167">
          <cell r="A2167" t="str">
            <v>911005001</v>
          </cell>
          <cell r="B2167" t="str">
            <v>911005001 TOTAL CREDITOS COMERCIALES  AYC</v>
          </cell>
          <cell r="C2167">
            <v>0</v>
          </cell>
        </row>
        <row r="2168">
          <cell r="A2168" t="str">
            <v>911005002</v>
          </cell>
          <cell r="B2168" t="str">
            <v>911005002 HIPOTECAS    AYC</v>
          </cell>
          <cell r="C2168">
            <v>-5158578357</v>
          </cell>
        </row>
        <row r="2169">
          <cell r="A2169" t="str">
            <v/>
          </cell>
          <cell r="B2169" t="str">
            <v>Total  Creditos comerciales</v>
          </cell>
          <cell r="C2169">
            <v>-5158578357</v>
          </cell>
        </row>
        <row r="2170">
          <cell r="A2170" t="str">
            <v/>
          </cell>
          <cell r="B2170" t="str">
            <v>911010. Bienes y valores en garantia</v>
          </cell>
          <cell r="C2170">
            <v>0</v>
          </cell>
        </row>
        <row r="2171">
          <cell r="A2171" t="str">
            <v>911010001</v>
          </cell>
          <cell r="B2171" t="str">
            <v>911010001 TOTAL CREDITOS DE CONSUMO AYC</v>
          </cell>
          <cell r="C2171">
            <v>0</v>
          </cell>
        </row>
        <row r="2172">
          <cell r="A2172" t="str">
            <v>911010002</v>
          </cell>
          <cell r="B2172" t="str">
            <v>911010002 HIPOTECAS    AYC</v>
          </cell>
          <cell r="C2172">
            <v>-19762103534</v>
          </cell>
        </row>
        <row r="2173">
          <cell r="A2173" t="str">
            <v>911010003</v>
          </cell>
          <cell r="B2173" t="str">
            <v>911010003 OTROS   AYC</v>
          </cell>
          <cell r="C2173">
            <v>-308850000</v>
          </cell>
        </row>
        <row r="2174">
          <cell r="A2174" t="str">
            <v/>
          </cell>
          <cell r="B2174" t="str">
            <v>Total Bienes y valores en garantia</v>
          </cell>
          <cell r="C2174">
            <v>-20070953534</v>
          </cell>
        </row>
        <row r="2175">
          <cell r="A2175" t="str">
            <v/>
          </cell>
          <cell r="B2175" t="str">
            <v>Total Bienes y valores en garantia</v>
          </cell>
          <cell r="C2175">
            <v>-25229531891</v>
          </cell>
        </row>
        <row r="2176">
          <cell r="A2176" t="str">
            <v/>
          </cell>
          <cell r="B2176" t="str">
            <v>Total Acreedoras contingentes</v>
          </cell>
          <cell r="C2176">
            <v>-59865975434</v>
          </cell>
        </row>
        <row r="2177">
          <cell r="A2177" t="str">
            <v/>
          </cell>
          <cell r="B2177" t="str">
            <v>96. Acreedoras contingentes por contra</v>
          </cell>
          <cell r="C2177">
            <v>0</v>
          </cell>
        </row>
        <row r="2178">
          <cell r="A2178" t="str">
            <v/>
          </cell>
          <cell r="B2178" t="str">
            <v>9605. Acreedoras contingentes por contra</v>
          </cell>
          <cell r="C2178">
            <v>0</v>
          </cell>
        </row>
        <row r="2179">
          <cell r="A2179" t="str">
            <v/>
          </cell>
          <cell r="B2179" t="str">
            <v>960501. Comercial Garantia Admisible (DB)</v>
          </cell>
          <cell r="C2179">
            <v>0</v>
          </cell>
        </row>
        <row r="2180">
          <cell r="A2180" t="str">
            <v>960501001</v>
          </cell>
          <cell r="B2180" t="str">
            <v>960501001 ACREEDORES CONTINGENTES POR EL CONTRA AYC</v>
          </cell>
          <cell r="C2180">
            <v>0</v>
          </cell>
        </row>
        <row r="2181">
          <cell r="A2181" t="str">
            <v>960501002</v>
          </cell>
          <cell r="B2181" t="str">
            <v>960501002 CREDITOS APROBADOS NO DESEM AYC</v>
          </cell>
          <cell r="C2181">
            <v>1157574996</v>
          </cell>
        </row>
        <row r="2182">
          <cell r="A2182" t="str">
            <v>960501003</v>
          </cell>
          <cell r="B2182" t="str">
            <v>960501003 HIPOTECAS AYC</v>
          </cell>
          <cell r="C2182">
            <v>5158578356</v>
          </cell>
        </row>
        <row r="2183">
          <cell r="A2183" t="str">
            <v/>
          </cell>
          <cell r="B2183" t="str">
            <v>Total Comercial Garantia Admisible (DB)</v>
          </cell>
          <cell r="C2183">
            <v>6316153352</v>
          </cell>
        </row>
        <row r="2184">
          <cell r="A2184" t="str">
            <v/>
          </cell>
          <cell r="B2184" t="str">
            <v>960502. Consumo Garantia Admisible (DB)</v>
          </cell>
          <cell r="C2184">
            <v>0</v>
          </cell>
        </row>
        <row r="2185">
          <cell r="A2185" t="str">
            <v>960502001</v>
          </cell>
          <cell r="B2185" t="str">
            <v>960502001 PAGARES  AYC</v>
          </cell>
          <cell r="C2185">
            <v>0</v>
          </cell>
        </row>
        <row r="2186">
          <cell r="A2186" t="str">
            <v>960502002</v>
          </cell>
          <cell r="B2186" t="str">
            <v>960502002 HIPOTECAS  AYC</v>
          </cell>
          <cell r="C2186">
            <v>19762103534</v>
          </cell>
        </row>
        <row r="2187">
          <cell r="A2187" t="str">
            <v>960502003</v>
          </cell>
          <cell r="B2187" t="str">
            <v>960502003 OTROS   AYC</v>
          </cell>
          <cell r="C2187">
            <v>308850000</v>
          </cell>
        </row>
        <row r="2188">
          <cell r="A2188" t="str">
            <v/>
          </cell>
          <cell r="B2188" t="str">
            <v>Total Consumo Garantia Admisible (DB)</v>
          </cell>
          <cell r="C2188">
            <v>20070953534</v>
          </cell>
        </row>
        <row r="2189">
          <cell r="A2189" t="str">
            <v/>
          </cell>
          <cell r="B2189" t="str">
            <v>960503. Comercial Garantia No Admisible (DB)</v>
          </cell>
          <cell r="C2189">
            <v>0</v>
          </cell>
        </row>
        <row r="2190">
          <cell r="A2190" t="str">
            <v>960503001</v>
          </cell>
          <cell r="B2190" t="str">
            <v>960503001 PAGARES  AYC</v>
          </cell>
          <cell r="C2190">
            <v>6462717468</v>
          </cell>
        </row>
        <row r="2191">
          <cell r="A2191" t="str">
            <v>960503002</v>
          </cell>
          <cell r="B2191" t="str">
            <v>960503002 POSFECHADOS   AYC</v>
          </cell>
          <cell r="C2191">
            <v>10572332</v>
          </cell>
        </row>
        <row r="2192">
          <cell r="A2192" t="str">
            <v/>
          </cell>
          <cell r="B2192" t="str">
            <v>Total Comercial Garantia No Admisible (DB)</v>
          </cell>
          <cell r="C2192">
            <v>6473289800</v>
          </cell>
        </row>
        <row r="2193">
          <cell r="A2193" t="str">
            <v/>
          </cell>
          <cell r="B2193" t="str">
            <v>960504.  Consumo Gatantia No Admisible (DB)</v>
          </cell>
          <cell r="C2193">
            <v>0</v>
          </cell>
        </row>
        <row r="2194">
          <cell r="A2194" t="str">
            <v>960504001</v>
          </cell>
          <cell r="B2194" t="str">
            <v>960504001 PAGARES   AYC</v>
          </cell>
          <cell r="C2194">
            <v>26653068124</v>
          </cell>
        </row>
        <row r="2195">
          <cell r="A2195" t="str">
            <v>960504002</v>
          </cell>
          <cell r="B2195" t="str">
            <v>960504002 POSFECHADOS   AYC</v>
          </cell>
          <cell r="C2195">
            <v>352510624</v>
          </cell>
        </row>
        <row r="2196">
          <cell r="A2196" t="str">
            <v/>
          </cell>
          <cell r="B2196" t="str">
            <v>Total  Consumo Gatantia No Admisible (DB)</v>
          </cell>
          <cell r="C2196">
            <v>27005578748</v>
          </cell>
        </row>
        <row r="2197">
          <cell r="A2197" t="str">
            <v/>
          </cell>
          <cell r="B2197" t="str">
            <v>Total Acreedoras contingentes por contra</v>
          </cell>
          <cell r="C2197">
            <v>59865975434</v>
          </cell>
        </row>
        <row r="2198">
          <cell r="A2198" t="str">
            <v/>
          </cell>
          <cell r="B2198" t="str">
            <v>Total Acreedoras contingentes por contra</v>
          </cell>
          <cell r="C2198">
            <v>59865975434</v>
          </cell>
        </row>
        <row r="2199">
          <cell r="A2199" t="str">
            <v/>
          </cell>
          <cell r="B2199" t="str">
            <v>Total Cuentas de orden acreedoras</v>
          </cell>
          <cell r="C2199">
            <v>0</v>
          </cell>
        </row>
      </sheetData>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YG0003"/>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UENTAS"/>
      <sheetName val="CENTROS DE COSTOS"/>
      <sheetName val="UEN"/>
      <sheetName val="PROYECTOS"/>
      <sheetName val="Hoja1"/>
      <sheetName val="PROVISION"/>
    </sheetNames>
    <sheetDataSet>
      <sheetData sheetId="0"/>
      <sheetData sheetId="1">
        <row r="2">
          <cell r="A2">
            <v>100</v>
          </cell>
        </row>
        <row r="3">
          <cell r="A3">
            <v>101</v>
          </cell>
        </row>
        <row r="4">
          <cell r="A4">
            <v>200</v>
          </cell>
        </row>
        <row r="5">
          <cell r="A5">
            <v>300</v>
          </cell>
        </row>
        <row r="6">
          <cell r="A6">
            <v>310</v>
          </cell>
        </row>
        <row r="7">
          <cell r="A7">
            <v>320</v>
          </cell>
        </row>
        <row r="8">
          <cell r="A8">
            <v>330</v>
          </cell>
        </row>
        <row r="9">
          <cell r="A9">
            <v>400</v>
          </cell>
        </row>
        <row r="10">
          <cell r="A10">
            <v>500</v>
          </cell>
        </row>
        <row r="11">
          <cell r="A11">
            <v>520</v>
          </cell>
        </row>
        <row r="12">
          <cell r="A12">
            <v>521</v>
          </cell>
        </row>
        <row r="13">
          <cell r="A13">
            <v>530</v>
          </cell>
        </row>
        <row r="14">
          <cell r="A14">
            <v>540</v>
          </cell>
        </row>
        <row r="15">
          <cell r="A15">
            <v>541</v>
          </cell>
        </row>
        <row r="16">
          <cell r="A16">
            <v>600</v>
          </cell>
        </row>
        <row r="17">
          <cell r="A17">
            <v>610</v>
          </cell>
        </row>
        <row r="18">
          <cell r="A18">
            <v>620</v>
          </cell>
        </row>
        <row r="19">
          <cell r="A19">
            <v>630</v>
          </cell>
        </row>
        <row r="20">
          <cell r="A20">
            <v>700</v>
          </cell>
        </row>
        <row r="21">
          <cell r="A21">
            <v>710</v>
          </cell>
        </row>
        <row r="22">
          <cell r="A22">
            <v>711</v>
          </cell>
        </row>
        <row r="23">
          <cell r="A23">
            <v>720</v>
          </cell>
        </row>
        <row r="24">
          <cell r="A24">
            <v>730</v>
          </cell>
        </row>
        <row r="25">
          <cell r="A25">
            <v>800</v>
          </cell>
        </row>
        <row r="26">
          <cell r="A26">
            <v>900</v>
          </cell>
        </row>
        <row r="27">
          <cell r="A27">
            <v>1000</v>
          </cell>
        </row>
        <row r="28">
          <cell r="A28">
            <v>1010</v>
          </cell>
        </row>
        <row r="29">
          <cell r="A29">
            <v>1011</v>
          </cell>
        </row>
        <row r="30">
          <cell r="A30">
            <v>1012</v>
          </cell>
        </row>
        <row r="31">
          <cell r="A31">
            <v>1020</v>
          </cell>
        </row>
        <row r="32">
          <cell r="A32">
            <v>1100</v>
          </cell>
        </row>
        <row r="33">
          <cell r="A33">
            <v>1110</v>
          </cell>
        </row>
        <row r="34">
          <cell r="A34">
            <v>1120</v>
          </cell>
        </row>
        <row r="35">
          <cell r="A35">
            <v>1130</v>
          </cell>
        </row>
        <row r="36">
          <cell r="A36">
            <v>1140</v>
          </cell>
        </row>
        <row r="37">
          <cell r="A37">
            <v>1150</v>
          </cell>
        </row>
        <row r="38">
          <cell r="A38">
            <v>1200</v>
          </cell>
        </row>
        <row r="39">
          <cell r="A39">
            <v>1210</v>
          </cell>
        </row>
        <row r="40">
          <cell r="A40">
            <v>1211</v>
          </cell>
        </row>
        <row r="41">
          <cell r="A41">
            <v>1212</v>
          </cell>
        </row>
        <row r="42">
          <cell r="A42">
            <v>1213</v>
          </cell>
        </row>
        <row r="43">
          <cell r="A43">
            <v>1220</v>
          </cell>
        </row>
        <row r="44">
          <cell r="A44">
            <v>1221</v>
          </cell>
        </row>
        <row r="45">
          <cell r="A45">
            <v>1222</v>
          </cell>
        </row>
        <row r="46">
          <cell r="A46">
            <v>1230</v>
          </cell>
        </row>
        <row r="47">
          <cell r="A47">
            <v>1240</v>
          </cell>
        </row>
        <row r="48">
          <cell r="A48">
            <v>1250</v>
          </cell>
        </row>
        <row r="49">
          <cell r="A49">
            <v>1300</v>
          </cell>
        </row>
        <row r="50">
          <cell r="A50">
            <v>1310</v>
          </cell>
        </row>
        <row r="51">
          <cell r="A51">
            <v>1320</v>
          </cell>
        </row>
        <row r="52">
          <cell r="A52">
            <v>1330</v>
          </cell>
        </row>
        <row r="53">
          <cell r="A53">
            <v>1400</v>
          </cell>
        </row>
        <row r="54">
          <cell r="A54">
            <v>1410</v>
          </cell>
        </row>
        <row r="55">
          <cell r="A55">
            <v>1420</v>
          </cell>
        </row>
        <row r="56">
          <cell r="A56">
            <v>1500</v>
          </cell>
        </row>
      </sheetData>
      <sheetData sheetId="2"/>
      <sheetData sheetId="3"/>
      <sheetData sheetId="4" refreshError="1"/>
      <sheetData sheetId="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r98"/>
      <sheetName val="abr-24-98"/>
      <sheetName val="MAY-98"/>
      <sheetName val="JUN-98"/>
      <sheetName val="JUL-15-98"/>
      <sheetName val="JUL-30-98 "/>
      <sheetName val="ago-24"/>
      <sheetName val="sep-16"/>
      <sheetName val="sep-30"/>
      <sheetName val="oct-15"/>
      <sheetName val="oct-31"/>
      <sheetName val="NOV-17"/>
      <sheetName val="NOV-17 (2)"/>
      <sheetName val="Inver-sep"/>
      <sheetName val="Hoja1"/>
      <sheetName val="DIC-23"/>
      <sheetName val="DIC-31"/>
      <sheetName val="RESUMEN"/>
      <sheetName val="DIC-31 (2)"/>
      <sheetName val="Hoja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A2">
            <v>1101</v>
          </cell>
          <cell r="B2" t="str">
            <v>CONSEJO DIRECTIVO</v>
          </cell>
        </row>
        <row r="3">
          <cell r="A3">
            <v>1201</v>
          </cell>
          <cell r="B3" t="str">
            <v>PRESIDENCIA</v>
          </cell>
        </row>
        <row r="4">
          <cell r="A4">
            <v>1202</v>
          </cell>
          <cell r="B4" t="str">
            <v>AUDITORIA INTERNA</v>
          </cell>
        </row>
        <row r="5">
          <cell r="A5">
            <v>1300</v>
          </cell>
          <cell r="B5" t="str">
            <v>VICEPRESIDENCIA DE NEGOCIOS</v>
          </cell>
        </row>
        <row r="6">
          <cell r="A6">
            <v>130101</v>
          </cell>
          <cell r="B6" t="str">
            <v>GERENCIA DE OPERACIONES</v>
          </cell>
        </row>
        <row r="7">
          <cell r="A7">
            <v>130102</v>
          </cell>
          <cell r="B7" t="str">
            <v>CUMPLIMIENTO Y TRASPASOS</v>
          </cell>
        </row>
        <row r="8">
          <cell r="A8">
            <v>130103</v>
          </cell>
          <cell r="B8" t="str">
            <v>OFICIAL DE GARANTIAS</v>
          </cell>
        </row>
        <row r="9">
          <cell r="A9">
            <v>130104</v>
          </cell>
          <cell r="B9" t="str">
            <v>OFICIAL DE COMPENSACION</v>
          </cell>
        </row>
        <row r="10">
          <cell r="A10">
            <v>130105</v>
          </cell>
          <cell r="B10" t="str">
            <v>C.A.C. Y RUEDA DE NEGOCIACION</v>
          </cell>
        </row>
        <row r="11">
          <cell r="A11">
            <v>130106</v>
          </cell>
          <cell r="B11" t="str">
            <v>OFICINA MEDELLIN</v>
          </cell>
        </row>
        <row r="12">
          <cell r="A12">
            <v>130107</v>
          </cell>
          <cell r="B12" t="str">
            <v>OFICINA NORTE</v>
          </cell>
        </row>
        <row r="13">
          <cell r="A13">
            <v>130201</v>
          </cell>
          <cell r="B13" t="str">
            <v>RELACIONES EXTERNAS</v>
          </cell>
        </row>
        <row r="14">
          <cell r="A14">
            <v>130202</v>
          </cell>
          <cell r="B14" t="str">
            <v>BIBLIOTECA</v>
          </cell>
        </row>
        <row r="15">
          <cell r="A15">
            <v>130301</v>
          </cell>
          <cell r="B15" t="str">
            <v>GERENCIA TECNICA</v>
          </cell>
        </row>
        <row r="16">
          <cell r="A16">
            <v>130302</v>
          </cell>
          <cell r="B16" t="str">
            <v>ANALISIS ECONOMICO</v>
          </cell>
        </row>
        <row r="17">
          <cell r="A17">
            <v>130303</v>
          </cell>
          <cell r="B17" t="str">
            <v>DESARROLO Y ANALISIS DE PRODUCTOS</v>
          </cell>
        </row>
        <row r="18">
          <cell r="A18">
            <v>130304</v>
          </cell>
          <cell r="B18" t="str">
            <v>INFORMACION</v>
          </cell>
        </row>
        <row r="19">
          <cell r="A19">
            <v>130401</v>
          </cell>
          <cell r="B19" t="str">
            <v>GERENCIA DESARROLLO DEL MERCADO</v>
          </cell>
        </row>
        <row r="20">
          <cell r="A20" t="str">
            <v>140000</v>
          </cell>
          <cell r="B20" t="str">
            <v>VICEP FINANCIERA Y ADMINISTRATIVA</v>
          </cell>
        </row>
        <row r="21">
          <cell r="A21">
            <v>140101</v>
          </cell>
          <cell r="B21" t="str">
            <v>DIRECCION DE SISTEMAS</v>
          </cell>
        </row>
        <row r="22">
          <cell r="A22">
            <v>140102</v>
          </cell>
          <cell r="B22" t="str">
            <v>SISTEMAS</v>
          </cell>
        </row>
        <row r="23">
          <cell r="A23">
            <v>140103</v>
          </cell>
          <cell r="B23" t="str">
            <v>COORDINACION DESARROLLO</v>
          </cell>
        </row>
        <row r="24">
          <cell r="A24">
            <v>140201</v>
          </cell>
          <cell r="B24" t="str">
            <v>DIRECCION COMERCIAL</v>
          </cell>
        </row>
        <row r="25">
          <cell r="A25">
            <v>140202</v>
          </cell>
          <cell r="B25" t="str">
            <v>COORDINADORA COMERCIAL</v>
          </cell>
        </row>
        <row r="26">
          <cell r="A26">
            <v>140203</v>
          </cell>
          <cell r="B26" t="str">
            <v>ASISTENTE COMERCIAL</v>
          </cell>
        </row>
        <row r="27">
          <cell r="A27">
            <v>140301</v>
          </cell>
          <cell r="B27" t="str">
            <v>DIVISION DE CONTABILIDAD</v>
          </cell>
        </row>
        <row r="28">
          <cell r="A28">
            <v>140302</v>
          </cell>
          <cell r="B28" t="str">
            <v>DIVISION PRESUPUESTO Y TESORERIA</v>
          </cell>
        </row>
        <row r="29">
          <cell r="A29">
            <v>140401</v>
          </cell>
          <cell r="B29" t="str">
            <v>DIRECCION SERVICIOS ADMINISTRATIVOS</v>
          </cell>
        </row>
        <row r="30">
          <cell r="A30">
            <v>140402</v>
          </cell>
          <cell r="B30" t="str">
            <v>CORRESPONDENCIA</v>
          </cell>
        </row>
        <row r="31">
          <cell r="A31">
            <v>140403</v>
          </cell>
          <cell r="B31" t="str">
            <v>PUBLICACIONES</v>
          </cell>
        </row>
        <row r="32">
          <cell r="A32">
            <v>140404</v>
          </cell>
          <cell r="B32" t="str">
            <v>ARCHIVO Y ALMACEN</v>
          </cell>
        </row>
        <row r="33">
          <cell r="A33">
            <v>140405</v>
          </cell>
          <cell r="B33" t="str">
            <v>MANTENIMIENTO</v>
          </cell>
        </row>
        <row r="34">
          <cell r="A34">
            <v>140406</v>
          </cell>
          <cell r="B34" t="str">
            <v>ASEO Y CAFETERIA</v>
          </cell>
        </row>
        <row r="35">
          <cell r="A35">
            <v>140407</v>
          </cell>
          <cell r="B35" t="str">
            <v>CONMUTADOR</v>
          </cell>
        </row>
        <row r="36">
          <cell r="A36">
            <v>140501</v>
          </cell>
          <cell r="B36" t="str">
            <v>DIRECCION DE RECURSOS HUMANOS</v>
          </cell>
        </row>
        <row r="37">
          <cell r="A37">
            <v>140502</v>
          </cell>
          <cell r="B37" t="str">
            <v>COORDINACION DESARROLLO HUMANO</v>
          </cell>
        </row>
        <row r="38">
          <cell r="A38">
            <v>140503</v>
          </cell>
          <cell r="B38" t="str">
            <v>COORDINACION DE NOMINA</v>
          </cell>
        </row>
        <row r="39">
          <cell r="A39" t="str">
            <v>1500</v>
          </cell>
          <cell r="B39" t="str">
            <v>VICEPR. JURIDICA Y SECRETARIA GENERAL</v>
          </cell>
        </row>
        <row r="40">
          <cell r="A40" t="str">
            <v>150101</v>
          </cell>
          <cell r="B40" t="str">
            <v>DIRECCION JURIDICA</v>
          </cell>
        </row>
        <row r="41">
          <cell r="A41" t="str">
            <v>1502</v>
          </cell>
          <cell r="B41" t="str">
            <v>DIRECCION DE SEGUIMIENTO</v>
          </cell>
        </row>
        <row r="42">
          <cell r="A42" t="str">
            <v>150201</v>
          </cell>
          <cell r="B42" t="str">
            <v>SUBDIRECCION DE OPERACION Y ANALISIS FIN</v>
          </cell>
        </row>
        <row r="43">
          <cell r="A43" t="str">
            <v>150202</v>
          </cell>
          <cell r="B43" t="str">
            <v>COORDINACION DE INSPECCION</v>
          </cell>
        </row>
        <row r="44">
          <cell r="A44" t="str">
            <v>1601</v>
          </cell>
          <cell r="B44" t="str">
            <v>ENLACE</v>
          </cell>
        </row>
      </sheetData>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r98"/>
      <sheetName val="abr-24-98"/>
      <sheetName val="MAY-98"/>
      <sheetName val="JUN-98"/>
      <sheetName val="JUL-15-98"/>
      <sheetName val="JUL-30-98 "/>
      <sheetName val="ago-24"/>
      <sheetName val="sep-16"/>
      <sheetName val="sep-30"/>
      <sheetName val="oct-15"/>
      <sheetName val="oct-31"/>
      <sheetName val="NOV-17"/>
      <sheetName val="NOV-17 (2)"/>
      <sheetName val="Inver-sep"/>
      <sheetName val="Hoja1"/>
      <sheetName val="DIC-23"/>
      <sheetName val="DIC-31"/>
      <sheetName val="RESUMEN"/>
      <sheetName val="DIC-31 (2)"/>
      <sheetName val="Hoja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A2">
            <v>1101</v>
          </cell>
          <cell r="B2" t="str">
            <v>CONSEJO DIRECTIVO</v>
          </cell>
        </row>
        <row r="3">
          <cell r="A3">
            <v>1201</v>
          </cell>
          <cell r="B3" t="str">
            <v>PRESIDENCIA</v>
          </cell>
        </row>
        <row r="4">
          <cell r="A4">
            <v>1202</v>
          </cell>
          <cell r="B4" t="str">
            <v>AUDITORIA INTERNA</v>
          </cell>
        </row>
        <row r="5">
          <cell r="A5">
            <v>1300</v>
          </cell>
          <cell r="B5" t="str">
            <v>VICEPRESIDENCIA DE NEGOCIOS</v>
          </cell>
        </row>
        <row r="6">
          <cell r="A6">
            <v>130101</v>
          </cell>
          <cell r="B6" t="str">
            <v>GERENCIA DE OPERACIONES</v>
          </cell>
        </row>
        <row r="7">
          <cell r="A7">
            <v>130102</v>
          </cell>
          <cell r="B7" t="str">
            <v>CUMPLIMIENTO Y TRASPASOS</v>
          </cell>
        </row>
        <row r="8">
          <cell r="A8">
            <v>130103</v>
          </cell>
          <cell r="B8" t="str">
            <v>OFICIAL DE GARANTIAS</v>
          </cell>
        </row>
        <row r="9">
          <cell r="A9">
            <v>130104</v>
          </cell>
          <cell r="B9" t="str">
            <v>OFICIAL DE COMPENSACION</v>
          </cell>
        </row>
        <row r="10">
          <cell r="A10">
            <v>130105</v>
          </cell>
          <cell r="B10" t="str">
            <v>C.A.C. Y RUEDA DE NEGOCIACION</v>
          </cell>
        </row>
        <row r="11">
          <cell r="A11">
            <v>130106</v>
          </cell>
          <cell r="B11" t="str">
            <v>OFICINA MEDELLIN</v>
          </cell>
        </row>
        <row r="12">
          <cell r="A12">
            <v>130107</v>
          </cell>
          <cell r="B12" t="str">
            <v>OFICINA NORTE</v>
          </cell>
        </row>
        <row r="13">
          <cell r="A13">
            <v>130201</v>
          </cell>
          <cell r="B13" t="str">
            <v>RELACIONES EXTERNAS</v>
          </cell>
        </row>
        <row r="14">
          <cell r="A14">
            <v>130202</v>
          </cell>
          <cell r="B14" t="str">
            <v>BIBLIOTECA</v>
          </cell>
        </row>
        <row r="15">
          <cell r="A15">
            <v>130301</v>
          </cell>
          <cell r="B15" t="str">
            <v>GERENCIA TECNICA</v>
          </cell>
        </row>
        <row r="16">
          <cell r="A16">
            <v>130302</v>
          </cell>
          <cell r="B16" t="str">
            <v>ANALISIS ECONOMICO</v>
          </cell>
        </row>
        <row r="17">
          <cell r="A17">
            <v>130303</v>
          </cell>
          <cell r="B17" t="str">
            <v>DESARROLO Y ANALISIS DE PRODUCTOS</v>
          </cell>
        </row>
        <row r="18">
          <cell r="A18">
            <v>130304</v>
          </cell>
          <cell r="B18" t="str">
            <v>INFORMACION</v>
          </cell>
        </row>
        <row r="19">
          <cell r="A19">
            <v>130401</v>
          </cell>
          <cell r="B19" t="str">
            <v>GERENCIA DESARROLLO DEL MERCADO</v>
          </cell>
        </row>
        <row r="20">
          <cell r="A20" t="str">
            <v>140000</v>
          </cell>
          <cell r="B20" t="str">
            <v>VICEP FINANCIERA Y ADMINISTRATIVA</v>
          </cell>
        </row>
        <row r="21">
          <cell r="A21">
            <v>140101</v>
          </cell>
          <cell r="B21" t="str">
            <v>DIRECCION DE SISTEMAS</v>
          </cell>
        </row>
        <row r="22">
          <cell r="A22">
            <v>140102</v>
          </cell>
          <cell r="B22" t="str">
            <v>SISTEMAS</v>
          </cell>
        </row>
        <row r="23">
          <cell r="A23">
            <v>140103</v>
          </cell>
          <cell r="B23" t="str">
            <v>COORDINACION DESARROLLO</v>
          </cell>
        </row>
        <row r="24">
          <cell r="A24">
            <v>140201</v>
          </cell>
          <cell r="B24" t="str">
            <v>DIRECCION COMERCIAL</v>
          </cell>
        </row>
        <row r="25">
          <cell r="A25">
            <v>140202</v>
          </cell>
          <cell r="B25" t="str">
            <v>COORDINADORA COMERCIAL</v>
          </cell>
        </row>
        <row r="26">
          <cell r="A26">
            <v>140203</v>
          </cell>
          <cell r="B26" t="str">
            <v>ASISTENTE COMERCIAL</v>
          </cell>
        </row>
        <row r="27">
          <cell r="A27">
            <v>140301</v>
          </cell>
          <cell r="B27" t="str">
            <v>DIVISION DE CONTABILIDAD</v>
          </cell>
        </row>
        <row r="28">
          <cell r="A28">
            <v>140302</v>
          </cell>
          <cell r="B28" t="str">
            <v>DIVISION PRESUPUESTO Y TESORERIA</v>
          </cell>
        </row>
        <row r="29">
          <cell r="A29">
            <v>140401</v>
          </cell>
          <cell r="B29" t="str">
            <v>DIRECCION SERVICIOS ADMINISTRATIVOS</v>
          </cell>
        </row>
        <row r="30">
          <cell r="A30">
            <v>140402</v>
          </cell>
          <cell r="B30" t="str">
            <v>CORRESPONDENCIA</v>
          </cell>
        </row>
        <row r="31">
          <cell r="A31">
            <v>140403</v>
          </cell>
          <cell r="B31" t="str">
            <v>PUBLICACIONES</v>
          </cell>
        </row>
        <row r="32">
          <cell r="A32">
            <v>140404</v>
          </cell>
          <cell r="B32" t="str">
            <v>ARCHIVO Y ALMACEN</v>
          </cell>
        </row>
        <row r="33">
          <cell r="A33">
            <v>140405</v>
          </cell>
          <cell r="B33" t="str">
            <v>MANTENIMIENTO</v>
          </cell>
        </row>
        <row r="34">
          <cell r="A34">
            <v>140406</v>
          </cell>
          <cell r="B34" t="str">
            <v>ASEO Y CAFETERIA</v>
          </cell>
        </row>
        <row r="35">
          <cell r="A35">
            <v>140407</v>
          </cell>
          <cell r="B35" t="str">
            <v>CONMUTADOR</v>
          </cell>
        </row>
        <row r="36">
          <cell r="A36">
            <v>140501</v>
          </cell>
          <cell r="B36" t="str">
            <v>DIRECCION DE RECURSOS HUMANOS</v>
          </cell>
        </row>
        <row r="37">
          <cell r="A37">
            <v>140502</v>
          </cell>
          <cell r="B37" t="str">
            <v>COORDINACION DESARROLLO HUMANO</v>
          </cell>
        </row>
        <row r="38">
          <cell r="A38">
            <v>140503</v>
          </cell>
          <cell r="B38" t="str">
            <v>COORDINACION DE NOMINA</v>
          </cell>
        </row>
        <row r="39">
          <cell r="A39" t="str">
            <v>1500</v>
          </cell>
          <cell r="B39" t="str">
            <v>VICEPR. JURIDICA Y SECRETARIA GENERAL</v>
          </cell>
        </row>
        <row r="40">
          <cell r="A40" t="str">
            <v>150101</v>
          </cell>
          <cell r="B40" t="str">
            <v>DIRECCION JURIDICA</v>
          </cell>
        </row>
        <row r="41">
          <cell r="A41" t="str">
            <v>1502</v>
          </cell>
          <cell r="B41" t="str">
            <v>DIRECCION DE SEGUIMIENTO</v>
          </cell>
        </row>
        <row r="42">
          <cell r="A42" t="str">
            <v>150201</v>
          </cell>
          <cell r="B42" t="str">
            <v>SUBDIRECCION DE OPERACION Y ANALISIS FIN</v>
          </cell>
        </row>
        <row r="43">
          <cell r="A43" t="str">
            <v>150202</v>
          </cell>
          <cell r="B43" t="str">
            <v>COORDINACION DE INSPECCION</v>
          </cell>
        </row>
        <row r="44">
          <cell r="A44" t="str">
            <v>1601</v>
          </cell>
          <cell r="B44" t="str">
            <v>ENLACE</v>
          </cell>
        </row>
      </sheetData>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r98"/>
      <sheetName val="abr-24-98"/>
      <sheetName val="MAY-98"/>
      <sheetName val="JUN-98"/>
      <sheetName val="JUL-15-98"/>
      <sheetName val="JUL-30-98 "/>
      <sheetName val="ago-24"/>
      <sheetName val="sep-16"/>
      <sheetName val="sep-30"/>
      <sheetName val="oct-15"/>
      <sheetName val="oct-31"/>
      <sheetName val="NOV-17"/>
      <sheetName val="NOV-17 (2)"/>
      <sheetName val="Inver-sep"/>
      <sheetName val="Hoja1"/>
      <sheetName val="DIC-23"/>
      <sheetName val="DIC-31"/>
      <sheetName val="RESUMEN"/>
      <sheetName val="DIC-31 (2)"/>
      <sheetName val="Hoja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v>1101</v>
          </cell>
          <cell r="B2" t="str">
            <v>CONSEJO DIRECTIVO</v>
          </cell>
        </row>
        <row r="3">
          <cell r="A3">
            <v>1201</v>
          </cell>
          <cell r="B3" t="str">
            <v>PRESIDENCIA</v>
          </cell>
        </row>
        <row r="4">
          <cell r="A4">
            <v>1202</v>
          </cell>
          <cell r="B4" t="str">
            <v>AUDITORIA INTERNA</v>
          </cell>
        </row>
        <row r="5">
          <cell r="A5">
            <v>1300</v>
          </cell>
          <cell r="B5" t="str">
            <v>VICEPRESIDENCIA DE NEGOCIOS</v>
          </cell>
        </row>
        <row r="6">
          <cell r="A6">
            <v>130101</v>
          </cell>
          <cell r="B6" t="str">
            <v>GERENCIA DE OPERACIONES</v>
          </cell>
        </row>
        <row r="7">
          <cell r="A7">
            <v>130102</v>
          </cell>
          <cell r="B7" t="str">
            <v>CUMPLIMIENTO Y TRASPASOS</v>
          </cell>
        </row>
        <row r="8">
          <cell r="A8">
            <v>130103</v>
          </cell>
          <cell r="B8" t="str">
            <v>OFICIAL DE GARANTIAS</v>
          </cell>
        </row>
        <row r="9">
          <cell r="A9">
            <v>130104</v>
          </cell>
          <cell r="B9" t="str">
            <v>OFICIAL DE COMPENSACION</v>
          </cell>
        </row>
        <row r="10">
          <cell r="A10">
            <v>130105</v>
          </cell>
          <cell r="B10" t="str">
            <v>C.A.C. Y RUEDA DE NEGOCIACION</v>
          </cell>
        </row>
        <row r="11">
          <cell r="A11">
            <v>130106</v>
          </cell>
          <cell r="B11" t="str">
            <v>OFICINA MEDELLIN</v>
          </cell>
        </row>
        <row r="12">
          <cell r="A12">
            <v>130107</v>
          </cell>
          <cell r="B12" t="str">
            <v>OFICINA NORTE</v>
          </cell>
        </row>
        <row r="13">
          <cell r="A13">
            <v>130201</v>
          </cell>
          <cell r="B13" t="str">
            <v>RELACIONES EXTERNAS</v>
          </cell>
        </row>
        <row r="14">
          <cell r="A14">
            <v>130202</v>
          </cell>
          <cell r="B14" t="str">
            <v>BIBLIOTECA</v>
          </cell>
        </row>
        <row r="15">
          <cell r="A15">
            <v>130301</v>
          </cell>
          <cell r="B15" t="str">
            <v>GERENCIA TECNICA</v>
          </cell>
        </row>
        <row r="16">
          <cell r="A16">
            <v>130302</v>
          </cell>
          <cell r="B16" t="str">
            <v>ANALISIS ECONOMICO</v>
          </cell>
        </row>
        <row r="17">
          <cell r="A17">
            <v>130303</v>
          </cell>
          <cell r="B17" t="str">
            <v>DESARROLO Y ANALISIS DE PRODUCTOS</v>
          </cell>
        </row>
        <row r="18">
          <cell r="A18">
            <v>130304</v>
          </cell>
          <cell r="B18" t="str">
            <v>INFORMACION</v>
          </cell>
        </row>
        <row r="19">
          <cell r="A19">
            <v>130401</v>
          </cell>
          <cell r="B19" t="str">
            <v>GERENCIA DESARROLLO DEL MERCADO</v>
          </cell>
        </row>
        <row r="20">
          <cell r="A20" t="str">
            <v>140000</v>
          </cell>
          <cell r="B20" t="str">
            <v>VICEP FINANCIERA Y ADMINISTRATIVA</v>
          </cell>
        </row>
        <row r="21">
          <cell r="A21">
            <v>140101</v>
          </cell>
          <cell r="B21" t="str">
            <v>DIRECCION DE SISTEMAS</v>
          </cell>
        </row>
        <row r="22">
          <cell r="A22">
            <v>140102</v>
          </cell>
          <cell r="B22" t="str">
            <v>SISTEMAS</v>
          </cell>
        </row>
        <row r="23">
          <cell r="A23">
            <v>140103</v>
          </cell>
          <cell r="B23" t="str">
            <v>COORDINACION DESARROLLO</v>
          </cell>
        </row>
        <row r="24">
          <cell r="A24">
            <v>140201</v>
          </cell>
          <cell r="B24" t="str">
            <v>DIRECCION COMERCIAL</v>
          </cell>
        </row>
        <row r="25">
          <cell r="A25">
            <v>140202</v>
          </cell>
          <cell r="B25" t="str">
            <v>COORDINADORA COMERCIAL</v>
          </cell>
        </row>
        <row r="26">
          <cell r="A26">
            <v>140203</v>
          </cell>
          <cell r="B26" t="str">
            <v>ASISTENTE COMERCIAL</v>
          </cell>
        </row>
        <row r="27">
          <cell r="A27">
            <v>140301</v>
          </cell>
          <cell r="B27" t="str">
            <v>DIVISION DE CONTABILIDAD</v>
          </cell>
        </row>
        <row r="28">
          <cell r="A28">
            <v>140302</v>
          </cell>
          <cell r="B28" t="str">
            <v>DIVISION PRESUPUESTO Y TESORERIA</v>
          </cell>
        </row>
        <row r="29">
          <cell r="A29">
            <v>140401</v>
          </cell>
          <cell r="B29" t="str">
            <v>DIRECCION SERVICIOS ADMINISTRATIVOS</v>
          </cell>
        </row>
        <row r="30">
          <cell r="A30">
            <v>140402</v>
          </cell>
          <cell r="B30" t="str">
            <v>CORRESPONDENCIA</v>
          </cell>
        </row>
        <row r="31">
          <cell r="A31">
            <v>140403</v>
          </cell>
          <cell r="B31" t="str">
            <v>PUBLICACIONES</v>
          </cell>
        </row>
        <row r="32">
          <cell r="A32">
            <v>140404</v>
          </cell>
          <cell r="B32" t="str">
            <v>ARCHIVO Y ALMACEN</v>
          </cell>
        </row>
        <row r="33">
          <cell r="A33">
            <v>140405</v>
          </cell>
          <cell r="B33" t="str">
            <v>MANTENIMIENTO</v>
          </cell>
        </row>
        <row r="34">
          <cell r="A34">
            <v>140406</v>
          </cell>
          <cell r="B34" t="str">
            <v>ASEO Y CAFETERIA</v>
          </cell>
        </row>
        <row r="35">
          <cell r="A35">
            <v>140407</v>
          </cell>
          <cell r="B35" t="str">
            <v>CONMUTADOR</v>
          </cell>
        </row>
        <row r="36">
          <cell r="A36">
            <v>140501</v>
          </cell>
          <cell r="B36" t="str">
            <v>DIRECCION DE RECURSOS HUMANOS</v>
          </cell>
        </row>
        <row r="37">
          <cell r="A37">
            <v>140502</v>
          </cell>
          <cell r="B37" t="str">
            <v>COORDINACION DESARROLLO HUMANO</v>
          </cell>
        </row>
        <row r="38">
          <cell r="A38">
            <v>140503</v>
          </cell>
          <cell r="B38" t="str">
            <v>COORDINACION DE NOMINA</v>
          </cell>
        </row>
        <row r="39">
          <cell r="A39" t="str">
            <v>1500</v>
          </cell>
          <cell r="B39" t="str">
            <v>VICEPR. JURIDICA Y SECRETARIA GENERAL</v>
          </cell>
        </row>
        <row r="40">
          <cell r="A40" t="str">
            <v>150101</v>
          </cell>
          <cell r="B40" t="str">
            <v>DIRECCION JURIDICA</v>
          </cell>
        </row>
        <row r="41">
          <cell r="A41" t="str">
            <v>1502</v>
          </cell>
          <cell r="B41" t="str">
            <v>DIRECCION DE SEGUIMIENTO</v>
          </cell>
        </row>
        <row r="42">
          <cell r="A42" t="str">
            <v>150201</v>
          </cell>
          <cell r="B42" t="str">
            <v>SUBDIRECCION DE OPERACION Y ANALISIS FIN</v>
          </cell>
        </row>
        <row r="43">
          <cell r="A43" t="str">
            <v>150202</v>
          </cell>
          <cell r="B43" t="str">
            <v>COORDINACION DE INSPECCION</v>
          </cell>
        </row>
        <row r="44">
          <cell r="A44" t="str">
            <v>1601</v>
          </cell>
          <cell r="B44" t="str">
            <v>ENLACE</v>
          </cell>
        </row>
      </sheetData>
      <sheetData sheetId="15" refreshError="1"/>
      <sheetData sheetId="16" refreshError="1"/>
      <sheetData sheetId="17" refreshError="1"/>
      <sheetData sheetId="18" refreshError="1"/>
      <sheetData sheetId="19"/>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mar98"/>
      <sheetName val="abr-24-98"/>
      <sheetName val="MAY-98"/>
      <sheetName val="JUN-98"/>
      <sheetName val="JUL-15-98"/>
      <sheetName val="JUL-30-98 "/>
      <sheetName val="ago-24"/>
      <sheetName val="sep-16"/>
      <sheetName val="sep-30"/>
      <sheetName val="oct-15"/>
      <sheetName val="oct-31"/>
      <sheetName val="NOV-17"/>
      <sheetName val="NOV-17 (2)"/>
      <sheetName val="Inver-sep"/>
      <sheetName val="Hoja1"/>
      <sheetName val="DIC-23"/>
      <sheetName val="DIC-31"/>
      <sheetName val="RESUMEN"/>
      <sheetName val="DIC-31 (2)"/>
      <sheetName val="Hoja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v>1101</v>
          </cell>
          <cell r="B2" t="str">
            <v>CONSEJO DIRECTIVO</v>
          </cell>
        </row>
        <row r="3">
          <cell r="A3">
            <v>1201</v>
          </cell>
          <cell r="B3" t="str">
            <v>PRESIDENCIA</v>
          </cell>
        </row>
        <row r="4">
          <cell r="A4">
            <v>1202</v>
          </cell>
          <cell r="B4" t="str">
            <v>AUDITORIA INTERNA</v>
          </cell>
        </row>
        <row r="5">
          <cell r="A5">
            <v>1300</v>
          </cell>
          <cell r="B5" t="str">
            <v>VICEPRESIDENCIA DE NEGOCIOS</v>
          </cell>
        </row>
        <row r="6">
          <cell r="A6">
            <v>130101</v>
          </cell>
          <cell r="B6" t="str">
            <v>GERENCIA DE OPERACIONES</v>
          </cell>
        </row>
        <row r="7">
          <cell r="A7">
            <v>130102</v>
          </cell>
          <cell r="B7" t="str">
            <v>CUMPLIMIENTO Y TRASPASOS</v>
          </cell>
        </row>
        <row r="8">
          <cell r="A8">
            <v>130103</v>
          </cell>
          <cell r="B8" t="str">
            <v>OFICIAL DE GARANTIAS</v>
          </cell>
        </row>
        <row r="9">
          <cell r="A9">
            <v>130104</v>
          </cell>
          <cell r="B9" t="str">
            <v>OFICIAL DE COMPENSACION</v>
          </cell>
        </row>
        <row r="10">
          <cell r="A10">
            <v>130105</v>
          </cell>
          <cell r="B10" t="str">
            <v>C.A.C. Y RUEDA DE NEGOCIACION</v>
          </cell>
        </row>
        <row r="11">
          <cell r="A11">
            <v>130106</v>
          </cell>
          <cell r="B11" t="str">
            <v>OFICINA MEDELLIN</v>
          </cell>
        </row>
        <row r="12">
          <cell r="A12">
            <v>130107</v>
          </cell>
          <cell r="B12" t="str">
            <v>OFICINA NORTE</v>
          </cell>
        </row>
        <row r="13">
          <cell r="A13">
            <v>130201</v>
          </cell>
          <cell r="B13" t="str">
            <v>RELACIONES EXTERNAS</v>
          </cell>
        </row>
        <row r="14">
          <cell r="A14">
            <v>130202</v>
          </cell>
          <cell r="B14" t="str">
            <v>BIBLIOTECA</v>
          </cell>
        </row>
        <row r="15">
          <cell r="A15">
            <v>130301</v>
          </cell>
          <cell r="B15" t="str">
            <v>GERENCIA TECNICA</v>
          </cell>
        </row>
        <row r="16">
          <cell r="A16">
            <v>130302</v>
          </cell>
          <cell r="B16" t="str">
            <v>ANALISIS ECONOMICO</v>
          </cell>
        </row>
        <row r="17">
          <cell r="A17">
            <v>130303</v>
          </cell>
          <cell r="B17" t="str">
            <v>DESARROLO Y ANALISIS DE PRODUCTOS</v>
          </cell>
        </row>
        <row r="18">
          <cell r="A18">
            <v>130304</v>
          </cell>
          <cell r="B18" t="str">
            <v>INFORMACION</v>
          </cell>
        </row>
        <row r="19">
          <cell r="A19">
            <v>130401</v>
          </cell>
          <cell r="B19" t="str">
            <v>GERENCIA DESARROLLO DEL MERCADO</v>
          </cell>
        </row>
        <row r="20">
          <cell r="A20" t="str">
            <v>140000</v>
          </cell>
          <cell r="B20" t="str">
            <v>VICEP FINANCIERA Y ADMINISTRATIVA</v>
          </cell>
        </row>
        <row r="21">
          <cell r="A21">
            <v>140101</v>
          </cell>
          <cell r="B21" t="str">
            <v>DIRECCION DE SISTEMAS</v>
          </cell>
        </row>
        <row r="22">
          <cell r="A22">
            <v>140102</v>
          </cell>
          <cell r="B22" t="str">
            <v>SISTEMAS</v>
          </cell>
        </row>
        <row r="23">
          <cell r="A23">
            <v>140103</v>
          </cell>
          <cell r="B23" t="str">
            <v>COORDINACION DESARROLLO</v>
          </cell>
        </row>
        <row r="24">
          <cell r="A24">
            <v>140201</v>
          </cell>
          <cell r="B24" t="str">
            <v>DIRECCION COMERCIAL</v>
          </cell>
        </row>
        <row r="25">
          <cell r="A25">
            <v>140202</v>
          </cell>
          <cell r="B25" t="str">
            <v>COORDINADORA COMERCIAL</v>
          </cell>
        </row>
        <row r="26">
          <cell r="A26">
            <v>140203</v>
          </cell>
          <cell r="B26" t="str">
            <v>ASISTENTE COMERCIAL</v>
          </cell>
        </row>
        <row r="27">
          <cell r="A27">
            <v>140301</v>
          </cell>
          <cell r="B27" t="str">
            <v>DIVISION DE CONTABILIDAD</v>
          </cell>
        </row>
        <row r="28">
          <cell r="A28">
            <v>140302</v>
          </cell>
          <cell r="B28" t="str">
            <v>DIVISION PRESUPUESTO Y TESORERIA</v>
          </cell>
        </row>
        <row r="29">
          <cell r="A29">
            <v>140401</v>
          </cell>
          <cell r="B29" t="str">
            <v>DIRECCION SERVICIOS ADMINISTRATIVOS</v>
          </cell>
        </row>
        <row r="30">
          <cell r="A30">
            <v>140402</v>
          </cell>
          <cell r="B30" t="str">
            <v>CORRESPONDENCIA</v>
          </cell>
        </row>
        <row r="31">
          <cell r="A31">
            <v>140403</v>
          </cell>
          <cell r="B31" t="str">
            <v>PUBLICACIONES</v>
          </cell>
        </row>
        <row r="32">
          <cell r="A32">
            <v>140404</v>
          </cell>
          <cell r="B32" t="str">
            <v>ARCHIVO Y ALMACEN</v>
          </cell>
        </row>
        <row r="33">
          <cell r="A33">
            <v>140405</v>
          </cell>
          <cell r="B33" t="str">
            <v>MANTENIMIENTO</v>
          </cell>
        </row>
        <row r="34">
          <cell r="A34">
            <v>140406</v>
          </cell>
          <cell r="B34" t="str">
            <v>ASEO Y CAFETERIA</v>
          </cell>
        </row>
        <row r="35">
          <cell r="A35">
            <v>140407</v>
          </cell>
          <cell r="B35" t="str">
            <v>CONMUTADOR</v>
          </cell>
        </row>
        <row r="36">
          <cell r="A36">
            <v>140501</v>
          </cell>
          <cell r="B36" t="str">
            <v>DIRECCION DE RECURSOS HUMANOS</v>
          </cell>
        </row>
        <row r="37">
          <cell r="A37">
            <v>140502</v>
          </cell>
          <cell r="B37" t="str">
            <v>COORDINACION DESARROLLO HUMANO</v>
          </cell>
        </row>
        <row r="38">
          <cell r="A38">
            <v>140503</v>
          </cell>
          <cell r="B38" t="str">
            <v>COORDINACION DE NOMINA</v>
          </cell>
        </row>
        <row r="39">
          <cell r="A39" t="str">
            <v>1500</v>
          </cell>
          <cell r="B39" t="str">
            <v>VICEPR. JURIDICA Y SECRETARIA GENERAL</v>
          </cell>
        </row>
        <row r="40">
          <cell r="A40" t="str">
            <v>150101</v>
          </cell>
          <cell r="B40" t="str">
            <v>DIRECCION JURIDICA</v>
          </cell>
        </row>
        <row r="41">
          <cell r="A41" t="str">
            <v>1502</v>
          </cell>
          <cell r="B41" t="str">
            <v>DIRECCION DE SEGUIMIENTO</v>
          </cell>
        </row>
        <row r="42">
          <cell r="A42" t="str">
            <v>150201</v>
          </cell>
          <cell r="B42" t="str">
            <v>SUBDIRECCION DE OPERACION Y ANALISIS FIN</v>
          </cell>
        </row>
        <row r="43">
          <cell r="A43" t="str">
            <v>150202</v>
          </cell>
          <cell r="B43" t="str">
            <v>COORDINACION DE INSPECCION</v>
          </cell>
        </row>
        <row r="44">
          <cell r="A44" t="str">
            <v>1601</v>
          </cell>
          <cell r="B44" t="str">
            <v>ENLACE</v>
          </cell>
        </row>
      </sheetData>
      <sheetData sheetId="15" refreshError="1"/>
      <sheetData sheetId="16" refreshError="1"/>
      <sheetData sheetId="17" refreshError="1"/>
      <sheetData sheetId="18" refreshError="1"/>
      <sheetData sheetId="1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UENTAS"/>
      <sheetName val="CENTROS DE COSTOS"/>
      <sheetName val="UEN"/>
      <sheetName val="PROYECTOS"/>
      <sheetName val="Hoja1"/>
      <sheetName val="PROVISION"/>
    </sheetNames>
    <sheetDataSet>
      <sheetData sheetId="0" refreshError="1">
        <row r="2">
          <cell r="A2" t="str">
            <v>26</v>
          </cell>
          <cell r="B2" t="str">
            <v xml:space="preserve">	PASIVOS ESTIM Y PROVISIONES</v>
          </cell>
        </row>
        <row r="3">
          <cell r="A3" t="str">
            <v>2605</v>
          </cell>
          <cell r="B3" t="str">
            <v xml:space="preserve">PARA GASTOS                   </v>
          </cell>
        </row>
        <row r="4">
          <cell r="A4" t="str">
            <v>260505</v>
          </cell>
          <cell r="B4" t="str">
            <v>HONORARIOS</v>
          </cell>
        </row>
        <row r="5">
          <cell r="A5" t="str">
            <v>26050500</v>
          </cell>
          <cell r="B5" t="str">
            <v>HONORARIOS</v>
          </cell>
        </row>
        <row r="6">
          <cell r="A6" t="str">
            <v>260515</v>
          </cell>
          <cell r="B6" t="str">
            <v>CONTRIBUCIONES Y AFILIACIONES</v>
          </cell>
        </row>
        <row r="7">
          <cell r="A7" t="str">
            <v>26051500</v>
          </cell>
          <cell r="B7" t="str">
            <v>CONTRIBUCIONES Y AFILIACIONES</v>
          </cell>
        </row>
        <row r="8">
          <cell r="A8" t="str">
            <v>260520</v>
          </cell>
          <cell r="B8" t="str">
            <v>SEGUROS</v>
          </cell>
        </row>
        <row r="9">
          <cell r="A9" t="str">
            <v>26052001</v>
          </cell>
          <cell r="B9" t="str">
            <v>INCENDIO MANEJO Y TERREMOTO</v>
          </cell>
        </row>
        <row r="10">
          <cell r="A10" t="str">
            <v>26052003</v>
          </cell>
          <cell r="B10" t="str">
            <v>CORRIENTE DEBIL EQUIPO ELECTRO</v>
          </cell>
        </row>
        <row r="11">
          <cell r="A11" t="str">
            <v>26052006</v>
          </cell>
          <cell r="B11" t="str">
            <v>SEGURO DE RESPONSABILIDAD CIVI</v>
          </cell>
        </row>
        <row r="12">
          <cell r="A12" t="str">
            <v>26052007</v>
          </cell>
          <cell r="B12" t="str">
            <v>RIESGOS FINANCIEROS INFIDELIDA</v>
          </cell>
        </row>
        <row r="13">
          <cell r="A13" t="str">
            <v>260525</v>
          </cell>
          <cell r="B13" t="str">
            <v>SERVICIOS</v>
          </cell>
        </row>
        <row r="14">
          <cell r="A14" t="str">
            <v>26052500</v>
          </cell>
          <cell r="B14" t="str">
            <v>SERVICIOS</v>
          </cell>
        </row>
        <row r="15">
          <cell r="A15" t="str">
            <v>260535</v>
          </cell>
          <cell r="B15" t="str">
            <v>MANTENIMIENTO Y REPARACIONES</v>
          </cell>
        </row>
        <row r="16">
          <cell r="A16" t="str">
            <v>26053500</v>
          </cell>
          <cell r="B16" t="str">
            <v>MANTENIMIENTO Y REPARACIONES</v>
          </cell>
        </row>
        <row r="17">
          <cell r="A17" t="str">
            <v>260595</v>
          </cell>
          <cell r="B17" t="str">
            <v>OTROS</v>
          </cell>
        </row>
        <row r="18">
          <cell r="A18" t="str">
            <v>26059501</v>
          </cell>
          <cell r="B18" t="str">
            <v>UTILES</v>
          </cell>
        </row>
        <row r="19">
          <cell r="A19" t="str">
            <v>26059502</v>
          </cell>
          <cell r="B19" t="str">
            <v>PAPELERIA</v>
          </cell>
        </row>
        <row r="20">
          <cell r="A20" t="str">
            <v>26059503</v>
          </cell>
          <cell r="B20" t="str">
            <v>FOTOCOPIAS</v>
          </cell>
        </row>
        <row r="21">
          <cell r="A21" t="str">
            <v>26059510</v>
          </cell>
          <cell r="B21" t="str">
            <v>DIVULGACION Y PUBLICIDAD</v>
          </cell>
        </row>
        <row r="22">
          <cell r="A22" t="str">
            <v>26059513</v>
          </cell>
          <cell r="B22" t="str">
            <v>PROPAGANDA</v>
          </cell>
        </row>
        <row r="23">
          <cell r="A23" t="str">
            <v>26059514</v>
          </cell>
          <cell r="B23" t="str">
            <v>CONCURSO PORTAFOLIO</v>
          </cell>
        </row>
        <row r="24">
          <cell r="A24" t="str">
            <v>26059515</v>
          </cell>
          <cell r="B24" t="str">
            <v>SEMINARIOS Y SIMPOSIOS</v>
          </cell>
        </row>
        <row r="25">
          <cell r="A25" t="str">
            <v>26059517</v>
          </cell>
          <cell r="B25" t="str">
            <v>CONGRESO NAL MERCADO DE CAPITA</v>
          </cell>
        </row>
        <row r="26">
          <cell r="A26" t="str">
            <v>26059521</v>
          </cell>
          <cell r="B26" t="str">
            <v>HORAS EXTRAS</v>
          </cell>
        </row>
        <row r="27">
          <cell r="A27" t="str">
            <v>26059522</v>
          </cell>
          <cell r="B27" t="str">
            <v>SALARIO INTEGRAL</v>
          </cell>
        </row>
        <row r="28">
          <cell r="A28" t="str">
            <v>26059523</v>
          </cell>
          <cell r="B28" t="str">
            <v>ACTIVIDADES RECREATIVAS</v>
          </cell>
        </row>
        <row r="29">
          <cell r="A29" t="str">
            <v>26059524</v>
          </cell>
          <cell r="B29" t="str">
            <v>SEGURIDAD SOCIAL</v>
          </cell>
        </row>
        <row r="30">
          <cell r="A30" t="str">
            <v>26059525</v>
          </cell>
          <cell r="B30" t="str">
            <v>INDEMNIZACIONES</v>
          </cell>
        </row>
        <row r="31">
          <cell r="A31" t="str">
            <v>26059526</v>
          </cell>
          <cell r="B31" t="str">
            <v>SUELDOS</v>
          </cell>
        </row>
        <row r="32">
          <cell r="A32" t="str">
            <v>26059527</v>
          </cell>
          <cell r="B32" t="str">
            <v>BONIFICACIONES</v>
          </cell>
        </row>
        <row r="33">
          <cell r="A33" t="str">
            <v>26059528</v>
          </cell>
          <cell r="B33" t="str">
            <v>SEMINARIOS</v>
          </cell>
        </row>
        <row r="34">
          <cell r="A34" t="str">
            <v>26059529</v>
          </cell>
          <cell r="B34" t="str">
            <v>MONETIZACION SENA</v>
          </cell>
        </row>
        <row r="35">
          <cell r="A35" t="str">
            <v>26059540</v>
          </cell>
          <cell r="B35" t="str">
            <v>APORTES BID</v>
          </cell>
        </row>
        <row r="36">
          <cell r="A36" t="str">
            <v>26059560</v>
          </cell>
          <cell r="B36" t="str">
            <v>RELACIONES PUBLICAS</v>
          </cell>
        </row>
        <row r="37">
          <cell r="A37" t="str">
            <v>26059561</v>
          </cell>
          <cell r="B37" t="str">
            <v>ATENCIONES COMISIONISTAS</v>
          </cell>
        </row>
        <row r="38">
          <cell r="A38" t="str">
            <v>26059562</v>
          </cell>
          <cell r="B38" t="str">
            <v>ATENCIONES TARJETAS DE CREDITO</v>
          </cell>
        </row>
        <row r="39">
          <cell r="A39" t="str">
            <v>26059563</v>
          </cell>
          <cell r="B39" t="str">
            <v>OTRAS ATENCIONES</v>
          </cell>
        </row>
        <row r="40">
          <cell r="A40" t="str">
            <v>26059564</v>
          </cell>
          <cell r="B40" t="str">
            <v>ATENCIONES EN CLUBES</v>
          </cell>
        </row>
        <row r="41">
          <cell r="A41" t="str">
            <v>26059570</v>
          </cell>
          <cell r="B41" t="str">
            <v>GASTOS DE VIAJE</v>
          </cell>
        </row>
        <row r="42">
          <cell r="A42" t="str">
            <v>26059599</v>
          </cell>
          <cell r="B42" t="str">
            <v>OPEX PROYECTOS</v>
          </cell>
        </row>
        <row r="43">
          <cell r="A43" t="str">
            <v>2610</v>
          </cell>
          <cell r="B43" t="str">
            <v xml:space="preserve">PARA OBLIGACIONES LABORALES   </v>
          </cell>
        </row>
        <row r="44">
          <cell r="A44" t="str">
            <v>261005</v>
          </cell>
          <cell r="B44" t="str">
            <v>CESANTIAS</v>
          </cell>
        </row>
        <row r="45">
          <cell r="A45" t="str">
            <v>26100501</v>
          </cell>
          <cell r="B45" t="str">
            <v>PROVISION</v>
          </cell>
        </row>
        <row r="46">
          <cell r="A46" t="str">
            <v>26100502</v>
          </cell>
          <cell r="B46" t="str">
            <v>PAGOS PARCIALES</v>
          </cell>
        </row>
        <row r="47">
          <cell r="A47" t="str">
            <v>26100503</v>
          </cell>
          <cell r="B47" t="str">
            <v>PAGOS DEFINITIVOS</v>
          </cell>
        </row>
        <row r="48">
          <cell r="A48" t="str">
            <v>261010</v>
          </cell>
          <cell r="B48" t="str">
            <v>INTERESES SOBRE CESANTIAS</v>
          </cell>
        </row>
        <row r="49">
          <cell r="A49" t="str">
            <v>26101001</v>
          </cell>
          <cell r="B49" t="str">
            <v>PROVISION</v>
          </cell>
        </row>
        <row r="50">
          <cell r="A50" t="str">
            <v>26101002</v>
          </cell>
          <cell r="B50" t="str">
            <v>PAGOS</v>
          </cell>
        </row>
        <row r="51">
          <cell r="A51" t="str">
            <v>261015</v>
          </cell>
          <cell r="B51" t="str">
            <v>VACACIONES</v>
          </cell>
        </row>
        <row r="52">
          <cell r="A52" t="str">
            <v>26101501</v>
          </cell>
          <cell r="B52" t="str">
            <v>PROVISION</v>
          </cell>
        </row>
        <row r="53">
          <cell r="A53" t="str">
            <v>26101502</v>
          </cell>
          <cell r="B53" t="str">
            <v>PAGOS</v>
          </cell>
        </row>
        <row r="54">
          <cell r="A54" t="str">
            <v>261020</v>
          </cell>
          <cell r="B54" t="str">
            <v>PRIMA DE SERVICIOS</v>
          </cell>
        </row>
        <row r="55">
          <cell r="A55" t="str">
            <v>26102001</v>
          </cell>
          <cell r="B55" t="str">
            <v>PROVISION</v>
          </cell>
        </row>
        <row r="56">
          <cell r="A56" t="str">
            <v>26102002</v>
          </cell>
          <cell r="B56" t="str">
            <v>PAGOS</v>
          </cell>
        </row>
        <row r="57">
          <cell r="A57" t="str">
            <v>261025</v>
          </cell>
          <cell r="B57" t="str">
            <v>PRESTACIONES EXTRALEGALES</v>
          </cell>
        </row>
        <row r="58">
          <cell r="A58" t="str">
            <v>26102511</v>
          </cell>
          <cell r="B58" t="str">
            <v>PROVISION</v>
          </cell>
        </row>
        <row r="59">
          <cell r="A59" t="str">
            <v>26102512</v>
          </cell>
          <cell r="B59" t="str">
            <v>PAGOS</v>
          </cell>
        </row>
        <row r="60">
          <cell r="A60" t="str">
            <v>26102521</v>
          </cell>
          <cell r="B60" t="str">
            <v>PROVISION</v>
          </cell>
        </row>
        <row r="61">
          <cell r="A61" t="str">
            <v>26102522</v>
          </cell>
          <cell r="B61" t="str">
            <v>PAGOS</v>
          </cell>
        </row>
        <row r="62">
          <cell r="A62" t="str">
            <v>26102531</v>
          </cell>
          <cell r="B62" t="str">
            <v>PROVISION</v>
          </cell>
        </row>
        <row r="63">
          <cell r="A63" t="str">
            <v>26102532</v>
          </cell>
          <cell r="B63" t="str">
            <v>PAGOS</v>
          </cell>
        </row>
        <row r="64">
          <cell r="A64" t="str">
            <v>26102533</v>
          </cell>
          <cell r="B64" t="str">
            <v>PROVISIO COMPENSACION VARIABLE</v>
          </cell>
        </row>
        <row r="65">
          <cell r="A65" t="str">
            <v>26102541</v>
          </cell>
          <cell r="B65" t="str">
            <v>PROVISION</v>
          </cell>
        </row>
        <row r="66">
          <cell r="A66" t="str">
            <v>26102542</v>
          </cell>
          <cell r="B66" t="str">
            <v>PAGOS</v>
          </cell>
        </row>
        <row r="67">
          <cell r="A67" t="str">
            <v>261095</v>
          </cell>
          <cell r="B67" t="str">
            <v>OTRAS</v>
          </cell>
        </row>
        <row r="68">
          <cell r="A68" t="str">
            <v>26109501</v>
          </cell>
          <cell r="B68" t="str">
            <v>APORTES EPS</v>
          </cell>
        </row>
        <row r="69">
          <cell r="A69" t="str">
            <v>26109502</v>
          </cell>
          <cell r="B69" t="str">
            <v>APORTES PENSION</v>
          </cell>
        </row>
        <row r="70">
          <cell r="A70" t="str">
            <v>26109503</v>
          </cell>
          <cell r="B70" t="str">
            <v>APORTES SOLIDARIDAD Y LEY 797</v>
          </cell>
        </row>
        <row r="71">
          <cell r="A71" t="str">
            <v>26109504</v>
          </cell>
          <cell r="B71" t="str">
            <v>APORTES VOLUNTARIOS</v>
          </cell>
        </row>
        <row r="72">
          <cell r="A72" t="str">
            <v>26109505</v>
          </cell>
          <cell r="B72" t="str">
            <v>APORTES ARP</v>
          </cell>
        </row>
        <row r="73">
          <cell r="A73" t="str">
            <v>2615</v>
          </cell>
          <cell r="B73" t="str">
            <v xml:space="preserve">PARA OBLIGACIONES FISCALES    </v>
          </cell>
        </row>
        <row r="74">
          <cell r="A74" t="str">
            <v>261505</v>
          </cell>
          <cell r="B74" t="str">
            <v>DE RENTA Y COMPLEMENTARIOS</v>
          </cell>
        </row>
        <row r="75">
          <cell r="A75" t="str">
            <v>26150501</v>
          </cell>
          <cell r="B75" t="str">
            <v>PRESENTE AÑO</v>
          </cell>
        </row>
        <row r="76">
          <cell r="A76" t="str">
            <v>261510</v>
          </cell>
          <cell r="B76" t="str">
            <v>DE INDUSTRIA Y COMERCIO</v>
          </cell>
        </row>
        <row r="77">
          <cell r="A77" t="str">
            <v>26151001</v>
          </cell>
          <cell r="B77" t="str">
            <v>INDUSTRIA Y COMERCIO</v>
          </cell>
        </row>
        <row r="78">
          <cell r="A78" t="str">
            <v>26151095</v>
          </cell>
          <cell r="B78" t="str">
            <v>PAGOS INDUSTRIA Y COMERCIO</v>
          </cell>
        </row>
        <row r="79">
          <cell r="A79" t="str">
            <v>5</v>
          </cell>
          <cell r="B79" t="str">
            <v xml:space="preserve">GASTOS </v>
          </cell>
        </row>
        <row r="80">
          <cell r="A80" t="str">
            <v>51</v>
          </cell>
          <cell r="B80" t="str">
            <v>OPERAC DE ADMINISTRACION</v>
          </cell>
        </row>
        <row r="81">
          <cell r="A81" t="str">
            <v>5105</v>
          </cell>
          <cell r="B81" t="str">
            <v xml:space="preserve">GASTOS DEL PERSONAL           </v>
          </cell>
        </row>
        <row r="82">
          <cell r="A82" t="str">
            <v>510503</v>
          </cell>
          <cell r="B82" t="str">
            <v>SALARIO INTEGRAL</v>
          </cell>
        </row>
        <row r="83">
          <cell r="A83" t="str">
            <v>51050301</v>
          </cell>
          <cell r="B83" t="str">
            <v>SALARIO INTEGRAL</v>
          </cell>
        </row>
        <row r="84">
          <cell r="A84" t="str">
            <v>510506</v>
          </cell>
          <cell r="B84" t="str">
            <v>SUELDOS</v>
          </cell>
        </row>
        <row r="85">
          <cell r="A85" t="str">
            <v>51050601</v>
          </cell>
          <cell r="B85" t="str">
            <v>SUELDOS</v>
          </cell>
        </row>
        <row r="86">
          <cell r="A86" t="str">
            <v>51050602</v>
          </cell>
          <cell r="B86" t="str">
            <v>PROVISION SUELDOS</v>
          </cell>
        </row>
        <row r="87">
          <cell r="A87" t="str">
            <v>510512</v>
          </cell>
          <cell r="B87" t="str">
            <v>HORAS EXTRAS Y RECARGOS</v>
          </cell>
        </row>
        <row r="88">
          <cell r="A88" t="str">
            <v>51051201</v>
          </cell>
          <cell r="B88" t="str">
            <v>HORAS EXTRAS</v>
          </cell>
        </row>
        <row r="89">
          <cell r="A89" t="str">
            <v>51051202</v>
          </cell>
          <cell r="B89" t="str">
            <v>RECARGOS</v>
          </cell>
        </row>
        <row r="90">
          <cell r="A90" t="str">
            <v>510521</v>
          </cell>
          <cell r="B90" t="str">
            <v>INCAPACIDADES</v>
          </cell>
        </row>
        <row r="91">
          <cell r="A91" t="str">
            <v>51052100</v>
          </cell>
          <cell r="B91" t="str">
            <v>INCAPACIDADES</v>
          </cell>
        </row>
        <row r="92">
          <cell r="A92" t="str">
            <v>510524</v>
          </cell>
          <cell r="B92" t="str">
            <v>SUBSIDIO DE TRANSPORTE</v>
          </cell>
        </row>
        <row r="93">
          <cell r="A93" t="str">
            <v>51052400</v>
          </cell>
          <cell r="B93" t="str">
            <v>SUBSIDIO DE TRANSPORTE</v>
          </cell>
        </row>
        <row r="94">
          <cell r="A94" t="str">
            <v>510527</v>
          </cell>
          <cell r="B94" t="str">
            <v>CESANTIAS</v>
          </cell>
        </row>
        <row r="95">
          <cell r="A95" t="str">
            <v>51052700</v>
          </cell>
          <cell r="B95" t="str">
            <v>CESANTIAS</v>
          </cell>
        </row>
        <row r="96">
          <cell r="A96" t="str">
            <v>510530</v>
          </cell>
          <cell r="B96" t="str">
            <v>INTERESES SOBRE CESANTIAS</v>
          </cell>
        </row>
        <row r="97">
          <cell r="A97" t="str">
            <v>51053000</v>
          </cell>
          <cell r="B97" t="str">
            <v>INTERESES SOBRE CESANTIAS</v>
          </cell>
        </row>
        <row r="98">
          <cell r="A98" t="str">
            <v>510533</v>
          </cell>
          <cell r="B98" t="str">
            <v>PRIMA DE SERVICIOS</v>
          </cell>
        </row>
        <row r="99">
          <cell r="A99" t="str">
            <v>51053300</v>
          </cell>
          <cell r="B99" t="str">
            <v>PRIMA DE SERVICIOS</v>
          </cell>
        </row>
        <row r="100">
          <cell r="A100" t="str">
            <v>510536</v>
          </cell>
          <cell r="B100" t="str">
            <v>VACACIONES</v>
          </cell>
        </row>
        <row r="101">
          <cell r="A101" t="str">
            <v>51053600</v>
          </cell>
          <cell r="B101" t="str">
            <v>VACACIONES</v>
          </cell>
        </row>
        <row r="102">
          <cell r="A102" t="str">
            <v>510539</v>
          </cell>
          <cell r="B102" t="str">
            <v>PRIMA DE VACACIONES</v>
          </cell>
        </row>
        <row r="103">
          <cell r="A103" t="str">
            <v>51053901</v>
          </cell>
          <cell r="B103" t="str">
            <v>PRIMA DE VACACIONES</v>
          </cell>
        </row>
        <row r="104">
          <cell r="A104" t="str">
            <v>510542</v>
          </cell>
          <cell r="B104" t="str">
            <v>AUXILIOS A TRABAJADORES</v>
          </cell>
        </row>
        <row r="105">
          <cell r="A105" t="str">
            <v>51054201</v>
          </cell>
          <cell r="B105" t="str">
            <v>AUXILIO DE ALIMENTACION</v>
          </cell>
        </row>
        <row r="106">
          <cell r="A106" t="str">
            <v>51054202</v>
          </cell>
          <cell r="B106" t="str">
            <v>AUXILIO SODEXHO GASOLINA</v>
          </cell>
        </row>
        <row r="107">
          <cell r="A107" t="str">
            <v>51054203</v>
          </cell>
          <cell r="B107" t="str">
            <v>AUXILIO MEDICO</v>
          </cell>
        </row>
        <row r="108">
          <cell r="A108" t="str">
            <v>51054204</v>
          </cell>
          <cell r="B108" t="str">
            <v>AUXILIO DE TRASLADO</v>
          </cell>
        </row>
        <row r="109">
          <cell r="A109" t="str">
            <v>51054205</v>
          </cell>
          <cell r="B109" t="str">
            <v>AUXILIO FUNERARIO</v>
          </cell>
        </row>
        <row r="110">
          <cell r="A110" t="str">
            <v>51054206</v>
          </cell>
          <cell r="B110" t="str">
            <v>AUXILIO SODEXHO CANASTA</v>
          </cell>
        </row>
        <row r="111">
          <cell r="A111" t="str">
            <v>51054207</v>
          </cell>
          <cell r="B111" t="str">
            <v>AUXILIO OPTICO</v>
          </cell>
        </row>
        <row r="112">
          <cell r="A112" t="str">
            <v>510545</v>
          </cell>
          <cell r="B112" t="str">
            <v>BONIFICACIONES</v>
          </cell>
        </row>
        <row r="113">
          <cell r="A113" t="str">
            <v>51054501</v>
          </cell>
          <cell r="B113" t="str">
            <v>BONIFICACION ORDINARIA</v>
          </cell>
        </row>
        <row r="114">
          <cell r="A114" t="str">
            <v>51054502</v>
          </cell>
          <cell r="B114" t="str">
            <v>BONIFICACION POR QUINQUENIO</v>
          </cell>
        </row>
        <row r="115">
          <cell r="A115" t="str">
            <v>51054503</v>
          </cell>
          <cell r="B115" t="str">
            <v>BONIFICACION POR RETIRO</v>
          </cell>
        </row>
        <row r="116">
          <cell r="A116" t="str">
            <v>51054504</v>
          </cell>
          <cell r="B116" t="str">
            <v>COMPENSACION VARIABLE</v>
          </cell>
        </row>
        <row r="117">
          <cell r="A117" t="str">
            <v>51054505</v>
          </cell>
          <cell r="B117" t="str">
            <v>BONO FIN DE AÑO</v>
          </cell>
        </row>
        <row r="118">
          <cell r="A118" t="str">
            <v>51054506</v>
          </cell>
          <cell r="B118" t="str">
            <v>BONO EXTRAORDINARIO</v>
          </cell>
        </row>
        <row r="119">
          <cell r="A119" t="str">
            <v>51054507</v>
          </cell>
          <cell r="B119" t="str">
            <v>BONIFICACION NO SALARIAL</v>
          </cell>
        </row>
        <row r="120">
          <cell r="A120" t="str">
            <v>510548</v>
          </cell>
          <cell r="B120" t="str">
            <v>DOTACION Y SUMINISTRO A TRABAJ</v>
          </cell>
        </row>
        <row r="121">
          <cell r="A121" t="str">
            <v>51054801</v>
          </cell>
          <cell r="B121" t="str">
            <v>DOTACION LEGAL</v>
          </cell>
        </row>
        <row r="122">
          <cell r="A122" t="str">
            <v>51054802</v>
          </cell>
          <cell r="B122" t="str">
            <v>DOTACION EXTRALEGAL</v>
          </cell>
        </row>
        <row r="123">
          <cell r="A123" t="str">
            <v>510551</v>
          </cell>
          <cell r="B123" t="str">
            <v>SEGUROS</v>
          </cell>
        </row>
        <row r="124">
          <cell r="A124" t="str">
            <v>51055100</v>
          </cell>
          <cell r="B124" t="str">
            <v>SEGUROS</v>
          </cell>
        </row>
        <row r="125">
          <cell r="A125" t="str">
            <v>510554</v>
          </cell>
          <cell r="B125" t="str">
            <v>INDEMNIZACIONES LABORALES</v>
          </cell>
        </row>
        <row r="126">
          <cell r="A126" t="str">
            <v>51055400</v>
          </cell>
          <cell r="B126" t="str">
            <v>INDEMNIZACIONES LABORALES</v>
          </cell>
        </row>
        <row r="127">
          <cell r="A127" t="str">
            <v>510560</v>
          </cell>
          <cell r="B127" t="str">
            <v>CAPACITACION AL PERSONAL</v>
          </cell>
        </row>
        <row r="128">
          <cell r="A128" t="str">
            <v>51056001</v>
          </cell>
          <cell r="B128" t="str">
            <v>CAPACITACION ESPECIA Y DIPLOM</v>
          </cell>
        </row>
        <row r="129">
          <cell r="A129" t="str">
            <v>51056002</v>
          </cell>
          <cell r="B129" t="str">
            <v>CAPACITACION CURSOS BRECHAS</v>
          </cell>
        </row>
        <row r="130">
          <cell r="A130" t="str">
            <v>51056004</v>
          </cell>
          <cell r="B130" t="str">
            <v>CAPACITACION CURSOS BVC</v>
          </cell>
        </row>
        <row r="131">
          <cell r="A131" t="str">
            <v>51056005</v>
          </cell>
          <cell r="B131" t="str">
            <v>CAPACITACION DESARROLLO</v>
          </cell>
        </row>
        <row r="132">
          <cell r="A132" t="str">
            <v>510563</v>
          </cell>
          <cell r="B132" t="str">
            <v>GASTOS DEPORTIVOS Y DE RECREAC</v>
          </cell>
        </row>
        <row r="133">
          <cell r="A133" t="str">
            <v>51056301</v>
          </cell>
          <cell r="B133" t="str">
            <v>BIENESTAR DEPORTES</v>
          </cell>
        </row>
        <row r="134">
          <cell r="A134" t="str">
            <v>51056302</v>
          </cell>
          <cell r="B134" t="str">
            <v>BIENESTAR  EVENTOS</v>
          </cell>
        </row>
        <row r="135">
          <cell r="A135" t="str">
            <v>51056303</v>
          </cell>
          <cell r="B135" t="str">
            <v>BIENESTAR OBSEQUIOS Y DETALLES</v>
          </cell>
        </row>
        <row r="136">
          <cell r="A136" t="str">
            <v>510566</v>
          </cell>
          <cell r="B136" t="str">
            <v>APORTES POR SALUD</v>
          </cell>
        </row>
        <row r="137">
          <cell r="A137" t="str">
            <v>51056601</v>
          </cell>
          <cell r="B137" t="str">
            <v>EMPRESAS PROMOTORAS DE SALUD</v>
          </cell>
        </row>
        <row r="138">
          <cell r="A138" t="str">
            <v>51056602</v>
          </cell>
          <cell r="B138" t="str">
            <v>MEDICINA PREPAGADA</v>
          </cell>
        </row>
        <row r="139">
          <cell r="A139" t="str">
            <v>51056603</v>
          </cell>
          <cell r="B139" t="str">
            <v>APORTES ARP</v>
          </cell>
        </row>
        <row r="140">
          <cell r="A140" t="str">
            <v>510567</v>
          </cell>
          <cell r="B140" t="str">
            <v>APORTES POR PENSIONES</v>
          </cell>
        </row>
        <row r="141">
          <cell r="A141" t="str">
            <v>51056701</v>
          </cell>
          <cell r="B141" t="str">
            <v>FONDOS DE PENSIONES OBLIGAT</v>
          </cell>
        </row>
        <row r="142">
          <cell r="A142" t="str">
            <v>51056702</v>
          </cell>
          <cell r="B142" t="str">
            <v>FONDO PENSIONES VOLUNTARIAS</v>
          </cell>
        </row>
        <row r="143">
          <cell r="A143" t="str">
            <v>51056703</v>
          </cell>
          <cell r="B143" t="str">
            <v>AFC - AHORRO FOM.CONTRUCC.</v>
          </cell>
        </row>
        <row r="144">
          <cell r="A144" t="str">
            <v>510569</v>
          </cell>
          <cell r="B144" t="str">
            <v>APORTES CAJAS DE COMPENSACION</v>
          </cell>
        </row>
        <row r="145">
          <cell r="A145" t="str">
            <v>51056900</v>
          </cell>
          <cell r="B145" t="str">
            <v>APORTES CAJAS DE COMPENSACION</v>
          </cell>
        </row>
        <row r="146">
          <cell r="A146" t="str">
            <v>510572</v>
          </cell>
          <cell r="B146" t="str">
            <v>APORTES I.C.B.F.</v>
          </cell>
        </row>
        <row r="147">
          <cell r="A147" t="str">
            <v>51057200</v>
          </cell>
          <cell r="B147" t="str">
            <v>APORTES I.C.B.F.</v>
          </cell>
        </row>
        <row r="148">
          <cell r="A148" t="str">
            <v>510575</v>
          </cell>
          <cell r="B148" t="str">
            <v>APORTES AL SENA</v>
          </cell>
        </row>
        <row r="149">
          <cell r="A149" t="str">
            <v>51057500</v>
          </cell>
          <cell r="B149" t="str">
            <v>APORTES AL SENA</v>
          </cell>
        </row>
        <row r="150">
          <cell r="A150" t="str">
            <v>510595</v>
          </cell>
          <cell r="B150" t="str">
            <v>OTROS</v>
          </cell>
        </row>
        <row r="151">
          <cell r="A151" t="str">
            <v>51059501</v>
          </cell>
          <cell r="B151" t="str">
            <v>APORTES FONBOLSA</v>
          </cell>
        </row>
        <row r="152">
          <cell r="A152" t="str">
            <v>51059502</v>
          </cell>
          <cell r="B152" t="str">
            <v>CARNETIZACION EMPLEADOS</v>
          </cell>
        </row>
        <row r="153">
          <cell r="A153" t="str">
            <v>51059503</v>
          </cell>
          <cell r="B153" t="str">
            <v>SELECCION DE PERSONAL</v>
          </cell>
        </row>
        <row r="154">
          <cell r="A154" t="str">
            <v>51059504</v>
          </cell>
          <cell r="B154" t="str">
            <v>DESARROLLO</v>
          </cell>
        </row>
        <row r="155">
          <cell r="A155" t="str">
            <v>51059505</v>
          </cell>
          <cell r="B155" t="str">
            <v>MONETIZACION SENA</v>
          </cell>
        </row>
        <row r="156">
          <cell r="A156" t="str">
            <v>51059506</v>
          </cell>
          <cell r="B156" t="str">
            <v>CUOTA SOSTENIMIENTO APREN SENA</v>
          </cell>
        </row>
        <row r="157">
          <cell r="A157" t="str">
            <v>51059507</v>
          </cell>
          <cell r="B157" t="str">
            <v>CUOTA SOSTENIMIENTO PASANTES</v>
          </cell>
        </row>
        <row r="158">
          <cell r="A158" t="str">
            <v>51059508</v>
          </cell>
          <cell r="B158" t="str">
            <v>SALUD OCUPACIONAL</v>
          </cell>
        </row>
        <row r="159">
          <cell r="A159" t="str">
            <v>5110</v>
          </cell>
          <cell r="B159" t="str">
            <v xml:space="preserve">HONORARIOS                    </v>
          </cell>
        </row>
        <row r="160">
          <cell r="A160" t="str">
            <v>511005</v>
          </cell>
          <cell r="B160" t="str">
            <v>JUNTA DIRECTIVA</v>
          </cell>
        </row>
        <row r="161">
          <cell r="A161" t="str">
            <v>51100501</v>
          </cell>
          <cell r="B161" t="str">
            <v>CONSEJO DIRECTIVO</v>
          </cell>
        </row>
        <row r="162">
          <cell r="A162" t="str">
            <v>51100502</v>
          </cell>
          <cell r="B162" t="str">
            <v>CAMARA DE LA BOLSA</v>
          </cell>
        </row>
        <row r="163">
          <cell r="A163" t="str">
            <v>511010</v>
          </cell>
          <cell r="B163" t="str">
            <v>REVISORIA FISCAL</v>
          </cell>
        </row>
        <row r="164">
          <cell r="A164" t="str">
            <v>51101000</v>
          </cell>
          <cell r="B164" t="str">
            <v>REVISORIA FISCAL</v>
          </cell>
        </row>
        <row r="165">
          <cell r="A165" t="str">
            <v>511015</v>
          </cell>
          <cell r="B165" t="str">
            <v>AUDITORIA EXTERNA</v>
          </cell>
        </row>
        <row r="166">
          <cell r="A166" t="str">
            <v>51101500</v>
          </cell>
          <cell r="B166" t="str">
            <v>AUDITORIA EXTERNA</v>
          </cell>
        </row>
        <row r="167">
          <cell r="A167" t="str">
            <v>511025</v>
          </cell>
          <cell r="B167" t="str">
            <v>ASESORIA JURIDICA</v>
          </cell>
        </row>
        <row r="168">
          <cell r="A168" t="str">
            <v>51102500</v>
          </cell>
          <cell r="B168" t="str">
            <v>ASESORIA JURIDICA</v>
          </cell>
        </row>
        <row r="169">
          <cell r="A169" t="str">
            <v>51102501</v>
          </cell>
          <cell r="B169" t="str">
            <v>ASESORIA TRIBUTARIA</v>
          </cell>
        </row>
        <row r="170">
          <cell r="A170" t="str">
            <v>51102502</v>
          </cell>
          <cell r="B170" t="str">
            <v>ASESORIA LABORAL</v>
          </cell>
        </row>
        <row r="171">
          <cell r="A171" t="str">
            <v>51102504</v>
          </cell>
          <cell r="B171" t="str">
            <v>ASESORIA LEGAL</v>
          </cell>
        </row>
        <row r="172">
          <cell r="A172" t="str">
            <v>511035</v>
          </cell>
          <cell r="B172" t="str">
            <v>ASESORIA TECNICA</v>
          </cell>
        </row>
        <row r="173">
          <cell r="A173" t="str">
            <v>51103510</v>
          </cell>
          <cell r="B173" t="str">
            <v>ASESORIA DE SISTEMAS</v>
          </cell>
        </row>
        <row r="174">
          <cell r="A174" t="str">
            <v>51103530</v>
          </cell>
          <cell r="B174" t="str">
            <v>ASESORIA TECNOLOGICA</v>
          </cell>
        </row>
        <row r="175">
          <cell r="A175" t="str">
            <v>511095</v>
          </cell>
          <cell r="B175" t="str">
            <v>OTROS</v>
          </cell>
        </row>
        <row r="176">
          <cell r="A176" t="str">
            <v>51109502</v>
          </cell>
          <cell r="B176" t="str">
            <v>DOCENTES FORMACION BURSATIL</v>
          </cell>
        </row>
        <row r="177">
          <cell r="A177" t="str">
            <v>51109503</v>
          </cell>
          <cell r="B177" t="str">
            <v>ASESORIAS DESARROLLO DE PRODUC</v>
          </cell>
        </row>
        <row r="178">
          <cell r="A178" t="str">
            <v>51109504</v>
          </cell>
          <cell r="B178" t="str">
            <v>PROYECTOS</v>
          </cell>
        </row>
        <row r="179">
          <cell r="A179" t="str">
            <v>51109505</v>
          </cell>
          <cell r="B179" t="str">
            <v>COMITE DE REGULACION</v>
          </cell>
        </row>
        <row r="180">
          <cell r="A180" t="str">
            <v>51109506</v>
          </cell>
          <cell r="B180" t="str">
            <v>COMITE DE GOBIERNO CORPORATIVO</v>
          </cell>
        </row>
        <row r="181">
          <cell r="A181" t="str">
            <v>51109507</v>
          </cell>
          <cell r="B181" t="str">
            <v>COMITE AUDITORIA</v>
          </cell>
        </row>
        <row r="182">
          <cell r="A182" t="str">
            <v>51109508</v>
          </cell>
          <cell r="B182" t="str">
            <v>COMITE ADMINISTRATIVO Y FINANC</v>
          </cell>
        </row>
        <row r="183">
          <cell r="A183" t="str">
            <v>51109595</v>
          </cell>
          <cell r="B183" t="str">
            <v>OTROS</v>
          </cell>
        </row>
        <row r="184">
          <cell r="A184" t="str">
            <v>5115</v>
          </cell>
          <cell r="B184" t="str">
            <v xml:space="preserve">IMPUESTOS                     </v>
          </cell>
        </row>
        <row r="185">
          <cell r="A185" t="str">
            <v>511505</v>
          </cell>
          <cell r="B185" t="str">
            <v>INDUSTRIA Y COMERCIO</v>
          </cell>
        </row>
        <row r="186">
          <cell r="A186" t="str">
            <v>51150500</v>
          </cell>
          <cell r="B186" t="str">
            <v>INDUSTRIA Y COMERCIO</v>
          </cell>
        </row>
        <row r="187">
          <cell r="A187" t="str">
            <v>511510</v>
          </cell>
          <cell r="B187" t="str">
            <v>DE TIMBRES</v>
          </cell>
        </row>
        <row r="188">
          <cell r="A188" t="str">
            <v>51151000</v>
          </cell>
          <cell r="B188" t="str">
            <v>DE TIMBRES</v>
          </cell>
        </row>
        <row r="189">
          <cell r="A189" t="str">
            <v>511515</v>
          </cell>
          <cell r="B189" t="str">
            <v>A LA PROPIEDAD RAIZ</v>
          </cell>
        </row>
        <row r="190">
          <cell r="A190" t="str">
            <v>51151501</v>
          </cell>
          <cell r="B190" t="str">
            <v>PREDIAL</v>
          </cell>
        </row>
        <row r="191">
          <cell r="A191" t="str">
            <v>511530</v>
          </cell>
          <cell r="B191" t="str">
            <v>DE VEHICULOS</v>
          </cell>
        </row>
        <row r="192">
          <cell r="A192" t="str">
            <v>51153001</v>
          </cell>
          <cell r="B192" t="str">
            <v>VEHICULOS</v>
          </cell>
        </row>
        <row r="193">
          <cell r="A193" t="str">
            <v>511595</v>
          </cell>
          <cell r="B193" t="str">
            <v>OTROS</v>
          </cell>
        </row>
        <row r="194">
          <cell r="A194" t="str">
            <v>51159501</v>
          </cell>
          <cell r="B194" t="str">
            <v>ENTIDADES DEL ESTADO</v>
          </cell>
        </row>
        <row r="195">
          <cell r="A195" t="str">
            <v>51159502</v>
          </cell>
          <cell r="B195" t="str">
            <v>APROXIMACION MULTIPLOS DE MIL</v>
          </cell>
        </row>
        <row r="196">
          <cell r="A196" t="str">
            <v>51159503</v>
          </cell>
          <cell r="B196" t="str">
            <v>IMPUESTO A LAS TRANSACCIONES F</v>
          </cell>
        </row>
        <row r="197">
          <cell r="A197" t="str">
            <v>51159504</v>
          </cell>
          <cell r="B197" t="str">
            <v>IMPUESTO AL PATRIMONIO</v>
          </cell>
        </row>
        <row r="198">
          <cell r="A198" t="str">
            <v>5120</v>
          </cell>
          <cell r="B198" t="str">
            <v xml:space="preserve">ARRENDAMIENTOS                </v>
          </cell>
        </row>
        <row r="199">
          <cell r="A199" t="str">
            <v>512005</v>
          </cell>
          <cell r="B199" t="str">
            <v>EDIFICACIONES</v>
          </cell>
        </row>
        <row r="200">
          <cell r="A200" t="str">
            <v>51200500</v>
          </cell>
          <cell r="B200" t="str">
            <v>EDIFICACIONES</v>
          </cell>
        </row>
        <row r="201">
          <cell r="A201" t="str">
            <v>512010</v>
          </cell>
          <cell r="B201" t="str">
            <v>EQUIPO DE OFICINA</v>
          </cell>
        </row>
        <row r="202">
          <cell r="A202" t="str">
            <v>51201001</v>
          </cell>
          <cell r="B202" t="str">
            <v>EQUIPOS ELECTRONICOS</v>
          </cell>
        </row>
        <row r="203">
          <cell r="A203" t="str">
            <v>512015</v>
          </cell>
          <cell r="B203" t="str">
            <v>EQUIPO DE COMUNICACION Y COMPU</v>
          </cell>
        </row>
        <row r="204">
          <cell r="A204" t="str">
            <v>51201500</v>
          </cell>
          <cell r="B204" t="str">
            <v>EQUIPO DE COMUNICACION Y COMPU</v>
          </cell>
        </row>
        <row r="205">
          <cell r="A205" t="str">
            <v>512095</v>
          </cell>
          <cell r="B205" t="str">
            <v>OTROS</v>
          </cell>
        </row>
        <row r="206">
          <cell r="A206" t="str">
            <v>51209501</v>
          </cell>
          <cell r="B206" t="str">
            <v>ARRENDAMIENTO DE SOFWARE</v>
          </cell>
        </row>
        <row r="207">
          <cell r="A207" t="str">
            <v>51209502</v>
          </cell>
          <cell r="B207" t="str">
            <v>VEHICULOS</v>
          </cell>
        </row>
        <row r="208">
          <cell r="A208" t="str">
            <v>51209505</v>
          </cell>
          <cell r="B208" t="str">
            <v>PLANTA ELECTRICA (BANCO DE CAR</v>
          </cell>
        </row>
        <row r="209">
          <cell r="A209" t="str">
            <v>51209506</v>
          </cell>
          <cell r="B209" t="str">
            <v>DATACENTER ALTERNO</v>
          </cell>
        </row>
        <row r="210">
          <cell r="A210" t="str">
            <v>51209507</v>
          </cell>
          <cell r="B210" t="str">
            <v>OTROS</v>
          </cell>
        </row>
        <row r="211">
          <cell r="A211" t="str">
            <v>51209508</v>
          </cell>
          <cell r="B211" t="str">
            <v>STAND PARA EVENTOS</v>
          </cell>
        </row>
        <row r="212">
          <cell r="A212" t="str">
            <v>5125</v>
          </cell>
          <cell r="B212" t="str">
            <v xml:space="preserve">CONTRIBUCIONES Y AFILIACIONES </v>
          </cell>
        </row>
        <row r="213">
          <cell r="A213" t="str">
            <v>512505</v>
          </cell>
          <cell r="B213" t="str">
            <v>CONTRIBUCIONES</v>
          </cell>
        </row>
        <row r="214">
          <cell r="A214" t="str">
            <v>51250500</v>
          </cell>
          <cell r="B214" t="str">
            <v>CONTRIBUCIONES</v>
          </cell>
        </row>
        <row r="215">
          <cell r="A215" t="str">
            <v>512510</v>
          </cell>
          <cell r="B215" t="str">
            <v>AFILIACIONES</v>
          </cell>
        </row>
        <row r="216">
          <cell r="A216" t="str">
            <v>51251000</v>
          </cell>
          <cell r="B216" t="str">
            <v>AFILIACIONES</v>
          </cell>
        </row>
        <row r="217">
          <cell r="A217" t="str">
            <v>5130</v>
          </cell>
          <cell r="B217" t="str">
            <v xml:space="preserve">SEGUROS                       </v>
          </cell>
        </row>
        <row r="218">
          <cell r="A218" t="str">
            <v>513010</v>
          </cell>
          <cell r="B218" t="str">
            <v>CUMPLIMIENTO</v>
          </cell>
        </row>
        <row r="219">
          <cell r="A219" t="str">
            <v>51301001</v>
          </cell>
          <cell r="B219" t="str">
            <v>POLIZA DE MINCOMUNICACIONES</v>
          </cell>
        </row>
        <row r="220">
          <cell r="A220" t="str">
            <v>51301002</v>
          </cell>
          <cell r="B220" t="str">
            <v>WINSET</v>
          </cell>
        </row>
        <row r="221">
          <cell r="A221" t="str">
            <v>51301003</v>
          </cell>
          <cell r="B221" t="str">
            <v>POR CONTRATOS REALIZADOS</v>
          </cell>
        </row>
        <row r="222">
          <cell r="A222" t="str">
            <v>513095</v>
          </cell>
          <cell r="B222" t="str">
            <v>OTROS</v>
          </cell>
        </row>
        <row r="223">
          <cell r="A223" t="str">
            <v>51309503</v>
          </cell>
          <cell r="B223" t="str">
            <v>SEGURO DE VEHICULOS</v>
          </cell>
        </row>
        <row r="224">
          <cell r="A224" t="str">
            <v>51309505</v>
          </cell>
          <cell r="B224" t="str">
            <v>RIESGOS FINANCIEROS</v>
          </cell>
        </row>
        <row r="225">
          <cell r="A225" t="str">
            <v>51309506</v>
          </cell>
          <cell r="B225" t="str">
            <v>RESPONSABILIDAD CIVIL GASTOS A</v>
          </cell>
        </row>
        <row r="226">
          <cell r="A226" t="str">
            <v>51309507</v>
          </cell>
          <cell r="B226" t="str">
            <v>MULTIRIESGO</v>
          </cell>
        </row>
        <row r="227">
          <cell r="A227" t="str">
            <v>51309508</v>
          </cell>
          <cell r="B227" t="str">
            <v>TRANSPORTE</v>
          </cell>
        </row>
        <row r="228">
          <cell r="A228" t="str">
            <v>5135</v>
          </cell>
          <cell r="B228" t="str">
            <v xml:space="preserve">SERVICIOS                     </v>
          </cell>
        </row>
        <row r="229">
          <cell r="A229" t="str">
            <v>513505</v>
          </cell>
          <cell r="B229" t="str">
            <v>ASEO Y VIGILANCIA</v>
          </cell>
        </row>
        <row r="230">
          <cell r="A230" t="str">
            <v>51350500</v>
          </cell>
          <cell r="B230" t="str">
            <v>ADMINISTRACION CALI</v>
          </cell>
        </row>
        <row r="231">
          <cell r="A231" t="str">
            <v>51350501</v>
          </cell>
          <cell r="B231" t="str">
            <v>ASEO</v>
          </cell>
        </row>
        <row r="232">
          <cell r="A232" t="str">
            <v>51350502</v>
          </cell>
          <cell r="B232" t="str">
            <v>VIGILANCIA</v>
          </cell>
        </row>
        <row r="233">
          <cell r="A233" t="str">
            <v>51350503</v>
          </cell>
          <cell r="B233" t="str">
            <v>ACTUALIZACION BASES DE DATOS</v>
          </cell>
        </row>
        <row r="234">
          <cell r="A234" t="str">
            <v>513510</v>
          </cell>
          <cell r="B234" t="str">
            <v>TEMPORALES</v>
          </cell>
        </row>
        <row r="235">
          <cell r="A235" t="str">
            <v>51351001</v>
          </cell>
          <cell r="B235" t="str">
            <v>OFICINA</v>
          </cell>
        </row>
        <row r="236">
          <cell r="A236" t="str">
            <v>51351002</v>
          </cell>
          <cell r="B236" t="str">
            <v>MENSAJERIA</v>
          </cell>
        </row>
        <row r="237">
          <cell r="A237" t="str">
            <v>51351003</v>
          </cell>
          <cell r="B237" t="str">
            <v>ASEO Y CAFETERIA</v>
          </cell>
        </row>
        <row r="238">
          <cell r="A238" t="str">
            <v>513525</v>
          </cell>
          <cell r="B238" t="str">
            <v>ACUEDUCTO Y ALCANTARILLADO</v>
          </cell>
        </row>
        <row r="239">
          <cell r="A239" t="str">
            <v>51352500</v>
          </cell>
          <cell r="B239" t="str">
            <v>ACUEDUCTO Y ALCANTARILLADO</v>
          </cell>
        </row>
        <row r="240">
          <cell r="A240" t="str">
            <v>513530</v>
          </cell>
          <cell r="B240" t="str">
            <v>ENERGIA ELECTRICA</v>
          </cell>
        </row>
        <row r="241">
          <cell r="A241" t="str">
            <v>51353000</v>
          </cell>
          <cell r="B241" t="str">
            <v>ENERGIA ELECTRICA</v>
          </cell>
        </row>
        <row r="242">
          <cell r="A242" t="str">
            <v>513535</v>
          </cell>
          <cell r="B242" t="str">
            <v>TELEFONO</v>
          </cell>
        </row>
        <row r="243">
          <cell r="A243" t="str">
            <v>51353501</v>
          </cell>
          <cell r="B243" t="str">
            <v>TELEFONOS OFICINAS</v>
          </cell>
        </row>
        <row r="244">
          <cell r="A244" t="str">
            <v>51353503</v>
          </cell>
          <cell r="B244" t="str">
            <v>TARJETAS PREPAGO CELULAR</v>
          </cell>
        </row>
        <row r="245">
          <cell r="A245" t="str">
            <v>51353504</v>
          </cell>
          <cell r="B245" t="str">
            <v>TELEFONOS DISCADOS</v>
          </cell>
        </row>
        <row r="246">
          <cell r="A246" t="str">
            <v>51353505</v>
          </cell>
          <cell r="B246" t="str">
            <v>TARJETAS INTERNET</v>
          </cell>
        </row>
        <row r="247">
          <cell r="A247" t="str">
            <v>513540</v>
          </cell>
          <cell r="B247" t="str">
            <v>CORREO, PORTES Y TELEGRAMAS</v>
          </cell>
        </row>
        <row r="248">
          <cell r="A248" t="str">
            <v>51354000</v>
          </cell>
          <cell r="B248" t="str">
            <v>CORREO, PORTES Y TELEGRAMAS</v>
          </cell>
        </row>
        <row r="249">
          <cell r="A249" t="str">
            <v>513550</v>
          </cell>
          <cell r="B249" t="str">
            <v>TRANSPORTES, FLETES Y ACARREOS</v>
          </cell>
        </row>
        <row r="250">
          <cell r="A250" t="str">
            <v>51355000</v>
          </cell>
          <cell r="B250" t="str">
            <v>TRASPORTES FLETES Y ACARREOS</v>
          </cell>
        </row>
        <row r="251">
          <cell r="A251" t="str">
            <v>513555</v>
          </cell>
          <cell r="B251" t="str">
            <v>ADMINISTRACION INMUEBLES</v>
          </cell>
        </row>
        <row r="252">
          <cell r="A252" t="str">
            <v>51355500</v>
          </cell>
          <cell r="B252" t="str">
            <v>ADMINISTRACION INMUEBLES</v>
          </cell>
        </row>
        <row r="253">
          <cell r="A253" t="str">
            <v>513560</v>
          </cell>
          <cell r="B253" t="str">
            <v>SUSCRIPCIONES</v>
          </cell>
        </row>
        <row r="254">
          <cell r="A254" t="str">
            <v>51356001</v>
          </cell>
          <cell r="B254" t="str">
            <v>A PERIODICOS</v>
          </cell>
        </row>
        <row r="255">
          <cell r="A255" t="str">
            <v>51356002</v>
          </cell>
          <cell r="B255" t="str">
            <v>A REVISTAS</v>
          </cell>
        </row>
        <row r="256">
          <cell r="A256" t="str">
            <v>51356003</v>
          </cell>
          <cell r="B256" t="str">
            <v>A CODIGOS</v>
          </cell>
        </row>
        <row r="257">
          <cell r="A257" t="str">
            <v>51356004</v>
          </cell>
          <cell r="B257" t="str">
            <v>A PAGINAS DE INTERNET</v>
          </cell>
        </row>
        <row r="258">
          <cell r="A258" t="str">
            <v>51356005</v>
          </cell>
          <cell r="B258" t="str">
            <v>A TELEVISION SATELITAL</v>
          </cell>
        </row>
        <row r="259">
          <cell r="A259" t="str">
            <v>513595</v>
          </cell>
          <cell r="B259" t="str">
            <v>OTROS</v>
          </cell>
        </row>
        <row r="260">
          <cell r="A260" t="str">
            <v>51359501</v>
          </cell>
          <cell r="B260" t="str">
            <v>CUSTODIA Y ADMON DE TITULOS</v>
          </cell>
        </row>
        <row r="261">
          <cell r="A261" t="str">
            <v>51359502</v>
          </cell>
          <cell r="B261" t="str">
            <v>SERVICIOS ESP DE COMUNICACION</v>
          </cell>
        </row>
        <row r="262">
          <cell r="A262" t="str">
            <v>51359503</v>
          </cell>
          <cell r="B262" t="str">
            <v>SELECCION DE PERSONAL</v>
          </cell>
        </row>
        <row r="263">
          <cell r="A263" t="str">
            <v>51359504</v>
          </cell>
          <cell r="B263" t="str">
            <v>CONSULTA A LA CENTRAL DE INFOR</v>
          </cell>
        </row>
        <row r="264">
          <cell r="A264" t="str">
            <v>51359505</v>
          </cell>
          <cell r="B264" t="str">
            <v>SISTEMA MONITOR</v>
          </cell>
        </row>
        <row r="265">
          <cell r="A265" t="str">
            <v>51359506</v>
          </cell>
          <cell r="B265" t="str">
            <v>CUSTODIA Y CONSERVACION ARCHIV</v>
          </cell>
        </row>
        <row r="266">
          <cell r="A266" t="str">
            <v>51359507</v>
          </cell>
          <cell r="B266" t="str">
            <v>PAGINA WEB</v>
          </cell>
        </row>
        <row r="267">
          <cell r="A267" t="str">
            <v>51359508</v>
          </cell>
          <cell r="B267" t="str">
            <v>PLAN DE CONTINGENCIA</v>
          </cell>
        </row>
        <row r="268">
          <cell r="A268" t="str">
            <v>51359509</v>
          </cell>
          <cell r="B268" t="str">
            <v>OTROS SERVICIOS</v>
          </cell>
        </row>
        <row r="269">
          <cell r="A269" t="str">
            <v>51359510</v>
          </cell>
          <cell r="B269" t="str">
            <v>CLASIFICACION CORRESPONDENCIA</v>
          </cell>
        </row>
        <row r="270">
          <cell r="A270" t="str">
            <v>51359511</v>
          </cell>
          <cell r="B270" t="str">
            <v>APOYO OPERATIVO DIGITADORES</v>
          </cell>
        </row>
        <row r="271">
          <cell r="A271" t="str">
            <v>5136</v>
          </cell>
          <cell r="B271" t="str">
            <v xml:space="preserve">DIVULGACION Y PUBLICIDAD      </v>
          </cell>
        </row>
        <row r="272">
          <cell r="A272" t="str">
            <v>513605</v>
          </cell>
          <cell r="B272" t="str">
            <v>DIVULGACION</v>
          </cell>
        </row>
        <row r="273">
          <cell r="A273" t="str">
            <v>51360500</v>
          </cell>
          <cell r="B273" t="str">
            <v>DIVULGACION Y PUBLICIDAD</v>
          </cell>
        </row>
        <row r="274">
          <cell r="A274" t="str">
            <v>51360501</v>
          </cell>
          <cell r="B274" t="str">
            <v>AVISOS Y TRANSMISIONES</v>
          </cell>
        </row>
        <row r="275">
          <cell r="A275" t="str">
            <v>51360502</v>
          </cell>
          <cell r="B275" t="str">
            <v>MERCADEO</v>
          </cell>
        </row>
        <row r="276">
          <cell r="A276" t="str">
            <v>51360503</v>
          </cell>
          <cell r="B276" t="str">
            <v>COMUNICACION INTERNA</v>
          </cell>
        </row>
        <row r="277">
          <cell r="A277" t="str">
            <v>51360504</v>
          </cell>
          <cell r="B277" t="str">
            <v>CAPACITACION CLIENTES</v>
          </cell>
        </row>
        <row r="278">
          <cell r="A278" t="str">
            <v>51360505</v>
          </cell>
          <cell r="B278" t="str">
            <v>EVENTOS</v>
          </cell>
        </row>
        <row r="279">
          <cell r="A279" t="str">
            <v>51360509</v>
          </cell>
          <cell r="B279" t="str">
            <v>PATROCINIOS</v>
          </cell>
        </row>
        <row r="280">
          <cell r="A280" t="str">
            <v>513610</v>
          </cell>
          <cell r="B280" t="str">
            <v>PUBLICIDAD</v>
          </cell>
        </row>
        <row r="281">
          <cell r="A281" t="str">
            <v>51361001</v>
          </cell>
          <cell r="B281" t="str">
            <v>PROPAGANDA</v>
          </cell>
        </row>
        <row r="282">
          <cell r="A282" t="str">
            <v>51361002</v>
          </cell>
          <cell r="B282" t="str">
            <v>SEMINARIOS</v>
          </cell>
        </row>
        <row r="283">
          <cell r="A283" t="str">
            <v>51361003</v>
          </cell>
          <cell r="B283" t="str">
            <v>MARTILLOS-DEMOCRATIZ Y SUBAST</v>
          </cell>
        </row>
        <row r="284">
          <cell r="A284" t="str">
            <v>51361004</v>
          </cell>
          <cell r="B284" t="str">
            <v>CONCURSO BOLSA MILLONARIA</v>
          </cell>
        </row>
        <row r="285">
          <cell r="A285" t="str">
            <v>51361005</v>
          </cell>
          <cell r="B285" t="str">
            <v>FOTOGRAFIAS</v>
          </cell>
        </row>
        <row r="286">
          <cell r="A286" t="str">
            <v>51361006</v>
          </cell>
          <cell r="B286" t="str">
            <v>CONCURSO PORTAFOLIO</v>
          </cell>
        </row>
        <row r="287">
          <cell r="A287" t="str">
            <v>51361007</v>
          </cell>
          <cell r="B287" t="str">
            <v>CONCURSO JUGADA MAESTRA</v>
          </cell>
        </row>
        <row r="288">
          <cell r="A288" t="str">
            <v>51361008</v>
          </cell>
          <cell r="B288" t="str">
            <v>CONGRESOS</v>
          </cell>
        </row>
        <row r="289">
          <cell r="A289" t="str">
            <v>51361009</v>
          </cell>
          <cell r="B289" t="str">
            <v>PATROCINIOS</v>
          </cell>
        </row>
        <row r="290">
          <cell r="A290" t="str">
            <v>5137</v>
          </cell>
          <cell r="B290" t="str">
            <v xml:space="preserve">RELACIONES PUBLICAS           </v>
          </cell>
        </row>
        <row r="291">
          <cell r="A291" t="str">
            <v>513705</v>
          </cell>
          <cell r="B291" t="str">
            <v>RELACIONES PUBLICAS</v>
          </cell>
        </row>
        <row r="292">
          <cell r="A292" t="str">
            <v>51370502</v>
          </cell>
          <cell r="B292" t="str">
            <v>ATENCIONES EN CLUBES</v>
          </cell>
        </row>
        <row r="293">
          <cell r="A293" t="str">
            <v>51370503</v>
          </cell>
          <cell r="B293" t="str">
            <v>ATENCIONES CON TARJETA CREDITO</v>
          </cell>
        </row>
        <row r="294">
          <cell r="A294" t="str">
            <v>51370504</v>
          </cell>
          <cell r="B294" t="str">
            <v>ATENCION CONSEJO DIRECTIVO</v>
          </cell>
        </row>
        <row r="295">
          <cell r="A295" t="str">
            <v>51370505</v>
          </cell>
          <cell r="B295" t="str">
            <v>ATENCIONES COMISIONISTAS</v>
          </cell>
        </row>
        <row r="296">
          <cell r="A296" t="str">
            <v>51370506</v>
          </cell>
          <cell r="B296" t="str">
            <v>OTRAS ATENCIONES</v>
          </cell>
        </row>
        <row r="297">
          <cell r="A297" t="str">
            <v>51370507</v>
          </cell>
          <cell r="B297" t="str">
            <v>CUOTAS DE SOSTENIMIENTO CLUBES</v>
          </cell>
        </row>
        <row r="298">
          <cell r="A298" t="str">
            <v>51370508</v>
          </cell>
          <cell r="B298" t="str">
            <v>ATENCIONES FIN DE AÑO</v>
          </cell>
        </row>
        <row r="299">
          <cell r="A299" t="str">
            <v>51370509</v>
          </cell>
          <cell r="B299" t="str">
            <v>EVENTOS</v>
          </cell>
        </row>
        <row r="300">
          <cell r="A300" t="str">
            <v>5138</v>
          </cell>
          <cell r="B300" t="str">
            <v>UTILES, PAPELERIA Y FOTOCOPIAS</v>
          </cell>
        </row>
        <row r="301">
          <cell r="A301" t="str">
            <v>513805</v>
          </cell>
          <cell r="B301" t="str">
            <v>UTILES</v>
          </cell>
        </row>
        <row r="302">
          <cell r="A302" t="str">
            <v>51380500</v>
          </cell>
          <cell r="B302" t="str">
            <v>UTILES</v>
          </cell>
        </row>
        <row r="303">
          <cell r="A303" t="str">
            <v>51380501</v>
          </cell>
          <cell r="B303" t="str">
            <v>UTILES</v>
          </cell>
        </row>
        <row r="304">
          <cell r="A304" t="str">
            <v>51380502</v>
          </cell>
          <cell r="B304" t="str">
            <v>INSUMOS IMPRESORAS</v>
          </cell>
        </row>
        <row r="305">
          <cell r="A305" t="str">
            <v>513810</v>
          </cell>
          <cell r="B305" t="str">
            <v>PAPELERIA</v>
          </cell>
        </row>
        <row r="306">
          <cell r="A306" t="str">
            <v>51381000</v>
          </cell>
          <cell r="B306" t="str">
            <v>PAPELERIA</v>
          </cell>
        </row>
        <row r="307">
          <cell r="A307" t="str">
            <v>51381001</v>
          </cell>
          <cell r="B307" t="str">
            <v>PAPELERIA</v>
          </cell>
        </row>
        <row r="308">
          <cell r="A308" t="str">
            <v>51381002</v>
          </cell>
          <cell r="B308" t="str">
            <v>TARJETAS DE PRESENTACION</v>
          </cell>
        </row>
        <row r="309">
          <cell r="A309" t="str">
            <v>513815</v>
          </cell>
          <cell r="B309" t="str">
            <v>FOTOCOPIAS</v>
          </cell>
        </row>
        <row r="310">
          <cell r="A310" t="str">
            <v>51381500</v>
          </cell>
          <cell r="B310" t="str">
            <v>FOTOCOPIAS</v>
          </cell>
        </row>
        <row r="311">
          <cell r="A311" t="str">
            <v>51381501</v>
          </cell>
          <cell r="B311" t="str">
            <v>FOTOCOPIAS</v>
          </cell>
        </row>
        <row r="312">
          <cell r="A312" t="str">
            <v>51381502</v>
          </cell>
          <cell r="B312" t="str">
            <v>ANILLADOS</v>
          </cell>
        </row>
        <row r="313">
          <cell r="A313" t="str">
            <v>51381503</v>
          </cell>
          <cell r="B313" t="str">
            <v>SCANNER</v>
          </cell>
        </row>
        <row r="314">
          <cell r="A314" t="str">
            <v>5140</v>
          </cell>
          <cell r="B314" t="str">
            <v xml:space="preserve">ASAMBLEAS Y SIMPOSIOS         </v>
          </cell>
        </row>
        <row r="315">
          <cell r="A315" t="str">
            <v>514005</v>
          </cell>
          <cell r="B315" t="str">
            <v>ASAMBLEAS Y SIMPOSIOS</v>
          </cell>
        </row>
        <row r="316">
          <cell r="A316" t="str">
            <v>51400501</v>
          </cell>
          <cell r="B316" t="str">
            <v>GASTOS POR ASAMBLEA</v>
          </cell>
        </row>
        <row r="317">
          <cell r="A317" t="str">
            <v>5141</v>
          </cell>
          <cell r="B317" t="str">
            <v xml:space="preserve">GASTOS LEGALES                </v>
          </cell>
        </row>
        <row r="318">
          <cell r="A318" t="str">
            <v>514105</v>
          </cell>
          <cell r="B318" t="str">
            <v>NOTARIALES</v>
          </cell>
        </row>
        <row r="319">
          <cell r="A319" t="str">
            <v>51410500</v>
          </cell>
          <cell r="B319" t="str">
            <v>REGISTRO MERCANTIL</v>
          </cell>
        </row>
        <row r="320">
          <cell r="A320" t="str">
            <v>514110</v>
          </cell>
          <cell r="B320" t="str">
            <v>REGISTRO MERCANTIL</v>
          </cell>
        </row>
        <row r="321">
          <cell r="A321" t="str">
            <v>51411000</v>
          </cell>
          <cell r="B321" t="str">
            <v>REGISTRO MERCANTIL</v>
          </cell>
        </row>
        <row r="322">
          <cell r="A322" t="str">
            <v>514115</v>
          </cell>
          <cell r="B322" t="str">
            <v>TRAMITES Y  LICENCIAS</v>
          </cell>
        </row>
        <row r="323">
          <cell r="A323" t="str">
            <v>51411500</v>
          </cell>
          <cell r="B323" t="str">
            <v>TRAMITES Y LICENCIAS</v>
          </cell>
        </row>
        <row r="324">
          <cell r="A324" t="str">
            <v>514195</v>
          </cell>
          <cell r="B324" t="str">
            <v>OTROS</v>
          </cell>
        </row>
        <row r="325">
          <cell r="A325" t="str">
            <v>51419500</v>
          </cell>
          <cell r="B325" t="str">
            <v>OTROS</v>
          </cell>
        </row>
        <row r="326">
          <cell r="A326" t="str">
            <v>5145</v>
          </cell>
          <cell r="B326" t="str">
            <v xml:space="preserve">MANTENIMIENTO Y REPARACIONES  </v>
          </cell>
        </row>
        <row r="327">
          <cell r="A327" t="str">
            <v>514512</v>
          </cell>
          <cell r="B327" t="str">
            <v>EDIFICACIONES</v>
          </cell>
        </row>
        <row r="328">
          <cell r="A328" t="str">
            <v>51451200</v>
          </cell>
          <cell r="B328" t="str">
            <v>EDIFICACIONES</v>
          </cell>
        </row>
        <row r="329">
          <cell r="A329" t="str">
            <v>514516</v>
          </cell>
          <cell r="B329" t="str">
            <v>EQUIPOS DE OFICINA</v>
          </cell>
        </row>
        <row r="330">
          <cell r="A330" t="str">
            <v>51451601</v>
          </cell>
          <cell r="B330" t="str">
            <v>EQUIPOS DE ASEO</v>
          </cell>
        </row>
        <row r="331">
          <cell r="A331" t="str">
            <v>51451602</v>
          </cell>
          <cell r="B331" t="str">
            <v>RECARGA EXTINTORES</v>
          </cell>
        </row>
        <row r="332">
          <cell r="A332" t="str">
            <v>51451603</v>
          </cell>
          <cell r="B332" t="str">
            <v>RELOJ MARCADOR</v>
          </cell>
        </row>
        <row r="333">
          <cell r="A333" t="str">
            <v>51451604</v>
          </cell>
          <cell r="B333" t="str">
            <v>FOTOCOPIADORAS</v>
          </cell>
        </row>
        <row r="334">
          <cell r="A334" t="str">
            <v>51451606</v>
          </cell>
          <cell r="B334" t="str">
            <v>MUEBLES</v>
          </cell>
        </row>
        <row r="335">
          <cell r="A335" t="str">
            <v>51451607</v>
          </cell>
          <cell r="B335" t="str">
            <v>VIDEO BEAM</v>
          </cell>
        </row>
        <row r="336">
          <cell r="A336" t="str">
            <v>51451613</v>
          </cell>
          <cell r="B336" t="str">
            <v>CONMUTADOR</v>
          </cell>
        </row>
        <row r="337">
          <cell r="A337" t="str">
            <v>51451615</v>
          </cell>
          <cell r="B337" t="str">
            <v>PISO FALSO</v>
          </cell>
        </row>
        <row r="338">
          <cell r="A338" t="str">
            <v>51451616</v>
          </cell>
          <cell r="B338" t="str">
            <v>AMBIENTAL MAQUINAS</v>
          </cell>
        </row>
        <row r="339">
          <cell r="A339" t="str">
            <v>51451622</v>
          </cell>
          <cell r="B339" t="str">
            <v>LECTORES PISOS</v>
          </cell>
        </row>
        <row r="340">
          <cell r="A340" t="str">
            <v>51451630</v>
          </cell>
          <cell r="B340" t="str">
            <v>OTROS EQUIPOS</v>
          </cell>
        </row>
        <row r="341">
          <cell r="A341" t="str">
            <v>514520</v>
          </cell>
          <cell r="B341" t="str">
            <v>EQUIPO DE COMPUTACION Y COMUNI</v>
          </cell>
        </row>
        <row r="342">
          <cell r="A342" t="str">
            <v>51452003</v>
          </cell>
          <cell r="B342" t="str">
            <v>U.P.S. MANTENIMIENTO</v>
          </cell>
        </row>
        <row r="343">
          <cell r="A343" t="str">
            <v>51452004</v>
          </cell>
          <cell r="B343" t="str">
            <v>MICROCOMPUTADORES E IMPRESORAS</v>
          </cell>
        </row>
        <row r="344">
          <cell r="A344" t="str">
            <v>51452005</v>
          </cell>
          <cell r="B344" t="str">
            <v>SOFTWARE REPLICADOR CONTINGENC</v>
          </cell>
        </row>
        <row r="345">
          <cell r="A345" t="str">
            <v>51452007</v>
          </cell>
          <cell r="B345" t="str">
            <v>PLANTA ELECTRICA</v>
          </cell>
        </row>
        <row r="346">
          <cell r="A346" t="str">
            <v>51452009</v>
          </cell>
          <cell r="B346" t="str">
            <v>AIRE ACONDICIONADO</v>
          </cell>
        </row>
        <row r="347">
          <cell r="A347" t="str">
            <v>51452013</v>
          </cell>
          <cell r="B347" t="str">
            <v>EQUIPOS TANDEM Y SUN</v>
          </cell>
        </row>
        <row r="348">
          <cell r="A348" t="str">
            <v>51452014</v>
          </cell>
          <cell r="B348" t="str">
            <v>APLICACIONES DE SISTEMAS</v>
          </cell>
        </row>
        <row r="349">
          <cell r="A349" t="str">
            <v>51452020</v>
          </cell>
          <cell r="B349" t="str">
            <v>EQUIPOS DE COMUNICACION</v>
          </cell>
        </row>
        <row r="350">
          <cell r="A350" t="str">
            <v>51452021</v>
          </cell>
          <cell r="B350" t="str">
            <v>BASES DE DATOS</v>
          </cell>
        </row>
        <row r="351">
          <cell r="A351" t="str">
            <v>514524</v>
          </cell>
          <cell r="B351" t="str">
            <v>EQUIPO DE TRANSPORTE</v>
          </cell>
        </row>
        <row r="352">
          <cell r="A352" t="str">
            <v>51452400</v>
          </cell>
          <cell r="B352" t="str">
            <v>EQUIPO DE TRANSPORTE</v>
          </cell>
        </row>
        <row r="353">
          <cell r="A353" t="str">
            <v>5150</v>
          </cell>
          <cell r="B353" t="str">
            <v xml:space="preserve">ADECUACION E INSTALACION      </v>
          </cell>
        </row>
        <row r="354">
          <cell r="A354" t="str">
            <v>515005</v>
          </cell>
          <cell r="B354" t="str">
            <v>INSTALACIONES ELECTRICAS</v>
          </cell>
        </row>
        <row r="355">
          <cell r="A355" t="str">
            <v>51500501</v>
          </cell>
          <cell r="B355" t="str">
            <v>ADECUACIONES E INSTALACIONES</v>
          </cell>
        </row>
        <row r="356">
          <cell r="A356" t="str">
            <v>515010</v>
          </cell>
          <cell r="B356" t="str">
            <v>ARREGLOS ORNAMENTALES</v>
          </cell>
        </row>
        <row r="357">
          <cell r="A357" t="str">
            <v>51501000</v>
          </cell>
          <cell r="B357" t="str">
            <v>ARREGLOS ORNAMENTALES</v>
          </cell>
        </row>
        <row r="358">
          <cell r="A358" t="str">
            <v>515015</v>
          </cell>
          <cell r="B358" t="str">
            <v>REPARACIONES LOCATIVAS</v>
          </cell>
        </row>
        <row r="359">
          <cell r="A359" t="str">
            <v>51501500</v>
          </cell>
          <cell r="B359" t="str">
            <v>REPARACIONES LOCATIVAS</v>
          </cell>
        </row>
        <row r="360">
          <cell r="A360" t="str">
            <v>51501501</v>
          </cell>
          <cell r="B360" t="str">
            <v>REPARACIONES LOCATIVAS</v>
          </cell>
        </row>
        <row r="361">
          <cell r="A361" t="str">
            <v>515095</v>
          </cell>
          <cell r="B361" t="str">
            <v>OTROS</v>
          </cell>
        </row>
        <row r="362">
          <cell r="A362" t="str">
            <v>51509500</v>
          </cell>
          <cell r="B362" t="str">
            <v>OTROS</v>
          </cell>
        </row>
        <row r="363">
          <cell r="A363" t="str">
            <v>5155</v>
          </cell>
          <cell r="B363" t="str">
            <v xml:space="preserve">GASTOS DE VIAJE               </v>
          </cell>
        </row>
        <row r="364">
          <cell r="A364" t="str">
            <v>515505</v>
          </cell>
          <cell r="B364" t="str">
            <v>ALOJAMIENTO Y MANUTENCION</v>
          </cell>
        </row>
        <row r="365">
          <cell r="A365" t="str">
            <v>51550501</v>
          </cell>
          <cell r="B365" t="str">
            <v>ALOJAMIENTO</v>
          </cell>
        </row>
        <row r="366">
          <cell r="A366" t="str">
            <v>51550502</v>
          </cell>
          <cell r="B366" t="str">
            <v>ALIMENTACION Y REFRIGERIOS</v>
          </cell>
        </row>
        <row r="367">
          <cell r="A367" t="str">
            <v>51550503</v>
          </cell>
          <cell r="B367" t="str">
            <v>OTROS</v>
          </cell>
        </row>
        <row r="368">
          <cell r="A368" t="str">
            <v>515515</v>
          </cell>
          <cell r="B368" t="str">
            <v>PASAJES AEREOS</v>
          </cell>
        </row>
        <row r="369">
          <cell r="A369" t="str">
            <v>51551501</v>
          </cell>
          <cell r="B369" t="str">
            <v>FUNCIONARIOS BOLSA</v>
          </cell>
        </row>
        <row r="370">
          <cell r="A370" t="str">
            <v>51551502</v>
          </cell>
          <cell r="B370" t="str">
            <v>CONSEJO DIRECTIVO</v>
          </cell>
        </row>
        <row r="371">
          <cell r="A371" t="str">
            <v>51551503</v>
          </cell>
          <cell r="B371" t="str">
            <v>OTROS</v>
          </cell>
        </row>
        <row r="372">
          <cell r="A372" t="str">
            <v>515525</v>
          </cell>
          <cell r="B372" t="str">
            <v>MOVILIZACIONES</v>
          </cell>
        </row>
        <row r="373">
          <cell r="A373" t="str">
            <v>51552501</v>
          </cell>
          <cell r="B373" t="str">
            <v>FUNCIONARIOS BOLSA</v>
          </cell>
        </row>
        <row r="374">
          <cell r="A374" t="str">
            <v>51552502</v>
          </cell>
          <cell r="B374" t="str">
            <v>OTROS</v>
          </cell>
        </row>
        <row r="375">
          <cell r="A375" t="str">
            <v>515555</v>
          </cell>
          <cell r="B375" t="str">
            <v>OTROS</v>
          </cell>
        </row>
        <row r="376">
          <cell r="A376" t="str">
            <v>51555501</v>
          </cell>
          <cell r="B376" t="str">
            <v>OTROS</v>
          </cell>
        </row>
        <row r="377">
          <cell r="A377" t="str">
            <v>515595</v>
          </cell>
          <cell r="B377" t="str">
            <v>OTROS</v>
          </cell>
        </row>
        <row r="378">
          <cell r="A378" t="str">
            <v>51559501</v>
          </cell>
          <cell r="B378" t="str">
            <v>FUNCIONARIOS BOLSA</v>
          </cell>
        </row>
        <row r="379">
          <cell r="A379" t="str">
            <v>51559510</v>
          </cell>
          <cell r="B379" t="str">
            <v>OTROS GASTOS DE VIAJE</v>
          </cell>
        </row>
        <row r="380">
          <cell r="A380" t="str">
            <v>51559520</v>
          </cell>
          <cell r="B380" t="str">
            <v>TRAMITES LEGALES</v>
          </cell>
        </row>
        <row r="381">
          <cell r="A381" t="str">
            <v>51559530</v>
          </cell>
          <cell r="B381" t="str">
            <v>VIATICOS DE MIEMBROS CONSEJO</v>
          </cell>
        </row>
        <row r="382">
          <cell r="A382" t="str">
            <v>5160</v>
          </cell>
          <cell r="B382" t="str">
            <v xml:space="preserve">DEPRECIACIONES                </v>
          </cell>
        </row>
        <row r="383">
          <cell r="A383" t="str">
            <v>516012</v>
          </cell>
          <cell r="B383" t="str">
            <v>EDIFICACIONES</v>
          </cell>
        </row>
        <row r="384">
          <cell r="A384" t="str">
            <v>51601201</v>
          </cell>
          <cell r="B384" t="str">
            <v>EDIFICACION CALLE 72 CON CRA 7</v>
          </cell>
        </row>
        <row r="385">
          <cell r="A385" t="str">
            <v>516016</v>
          </cell>
          <cell r="B385" t="str">
            <v>EQUIPO DE OFICINA</v>
          </cell>
        </row>
        <row r="386">
          <cell r="A386" t="str">
            <v>51601601</v>
          </cell>
          <cell r="B386" t="str">
            <v>MUEBLES Y ENSERES</v>
          </cell>
        </row>
        <row r="387">
          <cell r="A387" t="str">
            <v>51601602</v>
          </cell>
          <cell r="B387" t="str">
            <v>EQUIPO ELECTRONICO</v>
          </cell>
        </row>
        <row r="388">
          <cell r="A388" t="str">
            <v>51601603</v>
          </cell>
          <cell r="B388" t="str">
            <v>PANTALLAS DE PLASMA</v>
          </cell>
        </row>
        <row r="389">
          <cell r="A389" t="str">
            <v>516020</v>
          </cell>
          <cell r="B389" t="str">
            <v>EQUIPO DE COMPUTACION Y COMUNI</v>
          </cell>
        </row>
        <row r="390">
          <cell r="A390" t="str">
            <v>51602002</v>
          </cell>
          <cell r="B390" t="str">
            <v>MICROCOMPUTADORES</v>
          </cell>
        </row>
        <row r="391">
          <cell r="A391" t="str">
            <v>51602003</v>
          </cell>
          <cell r="B391" t="str">
            <v>SERVIDORES</v>
          </cell>
        </row>
        <row r="392">
          <cell r="A392" t="str">
            <v>51602004</v>
          </cell>
          <cell r="B392" t="str">
            <v>EQUIPO DE COMUNICACIONES</v>
          </cell>
        </row>
        <row r="393">
          <cell r="A393" t="str">
            <v>51602005</v>
          </cell>
          <cell r="B393" t="str">
            <v>PLANTA ELECTRICA</v>
          </cell>
        </row>
        <row r="394">
          <cell r="A394" t="str">
            <v>51602006</v>
          </cell>
          <cell r="B394" t="str">
            <v>U.P.S.</v>
          </cell>
        </row>
        <row r="395">
          <cell r="A395" t="str">
            <v>51602007</v>
          </cell>
          <cell r="B395" t="str">
            <v>COMPUTADOR TANDEM</v>
          </cell>
        </row>
        <row r="396">
          <cell r="A396" t="str">
            <v>51602012</v>
          </cell>
          <cell r="B396" t="str">
            <v>BACK OFFICCE</v>
          </cell>
        </row>
        <row r="397">
          <cell r="A397" t="str">
            <v>516024</v>
          </cell>
          <cell r="B397" t="str">
            <v>EQUIPO DE TRANSPORTE</v>
          </cell>
        </row>
        <row r="398">
          <cell r="A398" t="str">
            <v>51602401</v>
          </cell>
          <cell r="B398" t="str">
            <v>VEHICULOS</v>
          </cell>
        </row>
        <row r="399">
          <cell r="A399" t="str">
            <v>5165</v>
          </cell>
          <cell r="B399" t="str">
            <v xml:space="preserve">AMORTIZACIONES                </v>
          </cell>
        </row>
        <row r="400">
          <cell r="A400" t="str">
            <v>516505</v>
          </cell>
          <cell r="B400" t="str">
            <v>ACTIVOS INTANGIBLES</v>
          </cell>
        </row>
        <row r="401">
          <cell r="A401" t="str">
            <v>51650501</v>
          </cell>
          <cell r="B401" t="str">
            <v>NOMBRE MEDELLIN</v>
          </cell>
        </row>
        <row r="402">
          <cell r="A402" t="str">
            <v>51650502</v>
          </cell>
          <cell r="B402" t="str">
            <v>NOMBRE BOGOTA</v>
          </cell>
        </row>
        <row r="403">
          <cell r="A403" t="str">
            <v>516520</v>
          </cell>
          <cell r="B403" t="str">
            <v>ESTUDIOS INVESTIGACIONES Y PRO</v>
          </cell>
        </row>
        <row r="404">
          <cell r="A404" t="str">
            <v>51652001</v>
          </cell>
          <cell r="B404" t="str">
            <v>HONORARIOS</v>
          </cell>
        </row>
        <row r="405">
          <cell r="A405" t="str">
            <v>51652002</v>
          </cell>
          <cell r="B405" t="str">
            <v>IMPUESTOS</v>
          </cell>
        </row>
        <row r="406">
          <cell r="A406" t="str">
            <v>51652003</v>
          </cell>
          <cell r="B406" t="str">
            <v>ARRENDAMIENTOS</v>
          </cell>
        </row>
        <row r="407">
          <cell r="A407" t="str">
            <v>51652004</v>
          </cell>
          <cell r="B407" t="str">
            <v>SERVICIOS TEMPORALES OFICINA</v>
          </cell>
        </row>
        <row r="408">
          <cell r="A408" t="str">
            <v>51652005</v>
          </cell>
          <cell r="B408" t="str">
            <v>SERVICIOS GENERALES</v>
          </cell>
        </row>
        <row r="409">
          <cell r="A409" t="str">
            <v>51652006</v>
          </cell>
          <cell r="B409" t="str">
            <v>DIVULGACION Y PUBLICIDAD</v>
          </cell>
        </row>
        <row r="410">
          <cell r="A410" t="str">
            <v>51652007</v>
          </cell>
          <cell r="B410" t="str">
            <v>RELACIONES PUBLICAS</v>
          </cell>
        </row>
        <row r="411">
          <cell r="A411" t="str">
            <v>51652008</v>
          </cell>
          <cell r="B411" t="str">
            <v>PAPELERIA</v>
          </cell>
        </row>
        <row r="412">
          <cell r="A412" t="str">
            <v>51652009</v>
          </cell>
          <cell r="B412" t="str">
            <v>GASTOS DE VIAJE</v>
          </cell>
        </row>
        <row r="413">
          <cell r="A413" t="str">
            <v>51652010</v>
          </cell>
          <cell r="B413" t="str">
            <v>OTROS GASTOS</v>
          </cell>
        </row>
        <row r="414">
          <cell r="A414" t="str">
            <v>51652011</v>
          </cell>
          <cell r="B414" t="str">
            <v>CAPACITACION</v>
          </cell>
        </row>
        <row r="415">
          <cell r="A415" t="str">
            <v>51652012</v>
          </cell>
          <cell r="B415" t="str">
            <v>CASINO Y RESTAURANTE PROYECTOS</v>
          </cell>
        </row>
        <row r="416">
          <cell r="A416" t="str">
            <v>51652013</v>
          </cell>
          <cell r="B416" t="str">
            <v>TAXIS Y BUSES</v>
          </cell>
        </row>
        <row r="417">
          <cell r="A417" t="str">
            <v>51652014</v>
          </cell>
          <cell r="B417" t="str">
            <v>ADMINISTRACION INMUEBLES</v>
          </cell>
        </row>
        <row r="418">
          <cell r="A418" t="str">
            <v>51652015</v>
          </cell>
          <cell r="B418" t="str">
            <v>GASTOS LEGALES</v>
          </cell>
        </row>
        <row r="419">
          <cell r="A419" t="str">
            <v>51652016</v>
          </cell>
          <cell r="B419" t="str">
            <v>SERVICIOS</v>
          </cell>
        </row>
        <row r="420">
          <cell r="A420" t="str">
            <v>51652017</v>
          </cell>
          <cell r="B420" t="str">
            <v>SERVICIOS PUBLICOS</v>
          </cell>
        </row>
        <row r="421">
          <cell r="A421" t="str">
            <v>51652018</v>
          </cell>
          <cell r="B421" t="str">
            <v>ELEMENTOS DE ASEO Y CAFETERIA</v>
          </cell>
        </row>
        <row r="422">
          <cell r="A422" t="str">
            <v>51652019</v>
          </cell>
          <cell r="B422" t="str">
            <v>SISTEMA ELECTRONICO DE SEGURID</v>
          </cell>
        </row>
        <row r="423">
          <cell r="A423" t="str">
            <v>51652020</v>
          </cell>
          <cell r="B423" t="str">
            <v>MTO EQUIPO DE COMPUTO Y COMUNI</v>
          </cell>
        </row>
        <row r="424">
          <cell r="A424" t="str">
            <v>51652021</v>
          </cell>
          <cell r="B424" t="str">
            <v>VIGILANCIA</v>
          </cell>
        </row>
        <row r="425">
          <cell r="A425" t="str">
            <v>51652022</v>
          </cell>
          <cell r="B425" t="str">
            <v>SERVICIO DE ASEO</v>
          </cell>
        </row>
        <row r="426">
          <cell r="A426" t="str">
            <v>51652099</v>
          </cell>
          <cell r="B426" t="str">
            <v>ACCIONES Y DERIVADOS OMX</v>
          </cell>
        </row>
        <row r="427">
          <cell r="A427" t="str">
            <v>516525</v>
          </cell>
          <cell r="B427" t="str">
            <v>PROGRAMAS PARA COMPUTADOR (SOF</v>
          </cell>
        </row>
        <row r="428">
          <cell r="A428" t="str">
            <v>51652501</v>
          </cell>
          <cell r="B428" t="str">
            <v>SEGUIM.SISTEMA (INFRAEST TECNO</v>
          </cell>
        </row>
        <row r="429">
          <cell r="A429" t="str">
            <v>51652502</v>
          </cell>
          <cell r="B429" t="str">
            <v>LICENCIAMIENTO SOFTWARE APLICA</v>
          </cell>
        </row>
        <row r="430">
          <cell r="A430" t="str">
            <v>51652503</v>
          </cell>
          <cell r="B430" t="str">
            <v>MANTENIMIENTO DE SOFTWARE</v>
          </cell>
        </row>
        <row r="431">
          <cell r="A431" t="str">
            <v>51652504</v>
          </cell>
          <cell r="B431" t="str">
            <v>SOFTWARE BASICO</v>
          </cell>
        </row>
        <row r="432">
          <cell r="A432" t="str">
            <v>51652505</v>
          </cell>
          <cell r="B432" t="str">
            <v>SERVICIOS GAP ANALYSIS</v>
          </cell>
        </row>
        <row r="433">
          <cell r="A433" t="str">
            <v>51652506</v>
          </cell>
          <cell r="B433" t="str">
            <v>SYSTEM INTEGRATION</v>
          </cell>
        </row>
        <row r="434">
          <cell r="A434" t="str">
            <v>51652507</v>
          </cell>
          <cell r="B434" t="str">
            <v>SERVICIOS ESPECIALIZADOS</v>
          </cell>
        </row>
        <row r="435">
          <cell r="A435" t="str">
            <v>51652508</v>
          </cell>
          <cell r="B435" t="str">
            <v>QA TECNICO</v>
          </cell>
        </row>
        <row r="436">
          <cell r="A436" t="str">
            <v>51652509</v>
          </cell>
          <cell r="B436" t="str">
            <v>DESARROLLADORES</v>
          </cell>
        </row>
        <row r="437">
          <cell r="A437" t="str">
            <v>51652510</v>
          </cell>
          <cell r="B437" t="str">
            <v>ADMINISTRADOR DE LA PLATAFORMA</v>
          </cell>
        </row>
        <row r="438">
          <cell r="A438" t="str">
            <v>51652511</v>
          </cell>
          <cell r="B438" t="str">
            <v>MEJORAS</v>
          </cell>
        </row>
        <row r="439">
          <cell r="A439" t="str">
            <v>51652512</v>
          </cell>
          <cell r="B439" t="str">
            <v>OTROS</v>
          </cell>
        </row>
        <row r="440">
          <cell r="A440" t="str">
            <v>51652513</v>
          </cell>
          <cell r="B440" t="str">
            <v>SOFTWARE APLICATIVO</v>
          </cell>
        </row>
        <row r="441">
          <cell r="A441" t="str">
            <v>51652514</v>
          </cell>
          <cell r="B441" t="str">
            <v>SOFTWARE CONECTOR</v>
          </cell>
        </row>
        <row r="442">
          <cell r="A442" t="str">
            <v>51652515</v>
          </cell>
          <cell r="B442" t="str">
            <v>INSTALACION</v>
          </cell>
        </row>
        <row r="443">
          <cell r="A443" t="str">
            <v>51652516</v>
          </cell>
          <cell r="B443" t="str">
            <v>SOFTWARE PARA MICROCOMPUTADORE</v>
          </cell>
        </row>
        <row r="444">
          <cell r="A444" t="str">
            <v>51652517</v>
          </cell>
          <cell r="B444" t="str">
            <v>SOFTWARE PARA COMPUTADORES</v>
          </cell>
        </row>
        <row r="445">
          <cell r="A445" t="str">
            <v>51652518</v>
          </cell>
          <cell r="B445" t="str">
            <v>SOFTWARE PARA EL MEC (S.C.0)</v>
          </cell>
        </row>
        <row r="446">
          <cell r="A446" t="str">
            <v>51652519</v>
          </cell>
          <cell r="B446" t="str">
            <v>TTV'S</v>
          </cell>
        </row>
        <row r="447">
          <cell r="A447" t="str">
            <v>51652520</v>
          </cell>
          <cell r="B447" t="str">
            <v>SOFTWARE PARA INFORMIX</v>
          </cell>
        </row>
        <row r="448">
          <cell r="A448" t="str">
            <v>51652521</v>
          </cell>
          <cell r="B448" t="str">
            <v>SOFTWARE PARA SIMULTANEAS</v>
          </cell>
        </row>
        <row r="449">
          <cell r="A449" t="str">
            <v>51652522</v>
          </cell>
          <cell r="B449" t="str">
            <v>SOFTWARE DEUDA PUBLICA</v>
          </cell>
        </row>
        <row r="450">
          <cell r="A450" t="str">
            <v>51652523</v>
          </cell>
          <cell r="B450" t="str">
            <v>SOFTWARE PARA TANDEM</v>
          </cell>
        </row>
        <row r="451">
          <cell r="A451" t="str">
            <v>51652524</v>
          </cell>
          <cell r="B451" t="str">
            <v>LICENCIAS SIOPEL</v>
          </cell>
        </row>
        <row r="452">
          <cell r="A452" t="str">
            <v>51652525</v>
          </cell>
          <cell r="B452" t="str">
            <v>INFOVAL</v>
          </cell>
        </row>
        <row r="453">
          <cell r="A453" t="str">
            <v>516595</v>
          </cell>
          <cell r="B453" t="str">
            <v>OTRAS</v>
          </cell>
        </row>
        <row r="454">
          <cell r="A454" t="str">
            <v>51659501</v>
          </cell>
          <cell r="B454" t="str">
            <v>C0NTRIBUCIONES</v>
          </cell>
        </row>
        <row r="455">
          <cell r="A455" t="str">
            <v>51659502</v>
          </cell>
          <cell r="B455" t="str">
            <v>AVISO EDIFICIO BOGOTA</v>
          </cell>
        </row>
        <row r="456">
          <cell r="A456" t="str">
            <v>51659503</v>
          </cell>
          <cell r="B456" t="str">
            <v>AVISO EDIFICIO MEDELLIN</v>
          </cell>
        </row>
        <row r="457">
          <cell r="A457" t="str">
            <v>5195</v>
          </cell>
          <cell r="B457" t="str">
            <v xml:space="preserve">DIVERSOS                      </v>
          </cell>
        </row>
        <row r="458">
          <cell r="A458" t="str">
            <v>519505</v>
          </cell>
          <cell r="B458" t="str">
            <v>COMISIONES</v>
          </cell>
        </row>
        <row r="459">
          <cell r="A459" t="str">
            <v>51950501</v>
          </cell>
          <cell r="B459" t="str">
            <v>COMISION VALES SODEXHO</v>
          </cell>
        </row>
        <row r="460">
          <cell r="A460" t="str">
            <v>51950502</v>
          </cell>
          <cell r="B460" t="str">
            <v>COMISIONES VALE SERVICIO TAXI</v>
          </cell>
        </row>
        <row r="461">
          <cell r="A461" t="str">
            <v>519520</v>
          </cell>
          <cell r="B461" t="str">
            <v>ELEMENTOS DE ASEO Y CAFETERIA</v>
          </cell>
        </row>
        <row r="462">
          <cell r="A462" t="str">
            <v>51952001</v>
          </cell>
          <cell r="B462" t="str">
            <v>ELEMENTOS DE ASEO</v>
          </cell>
        </row>
        <row r="463">
          <cell r="A463" t="str">
            <v>51952002</v>
          </cell>
          <cell r="B463" t="str">
            <v>ELEMENTOS DE CAFETERIA</v>
          </cell>
        </row>
        <row r="464">
          <cell r="A464" t="str">
            <v>519525</v>
          </cell>
          <cell r="B464" t="str">
            <v>UTILES, PAPELERIA Y FOTOCOPIAS</v>
          </cell>
        </row>
        <row r="465">
          <cell r="A465" t="str">
            <v>51952500</v>
          </cell>
          <cell r="B465" t="str">
            <v>UTILES, PAPELERIA Y FOTOCOPIAS</v>
          </cell>
        </row>
        <row r="466">
          <cell r="A466" t="str">
            <v>51952501</v>
          </cell>
          <cell r="B466" t="str">
            <v>IMPRESION EXTERNA</v>
          </cell>
        </row>
        <row r="467">
          <cell r="A467" t="str">
            <v>519530</v>
          </cell>
          <cell r="B467" t="str">
            <v>COMBUSTIBLES Y LUBRICANTES</v>
          </cell>
        </row>
        <row r="468">
          <cell r="A468" t="str">
            <v>51953000</v>
          </cell>
          <cell r="B468" t="str">
            <v>COMBUSTIBLES Y LUBRICANTES</v>
          </cell>
        </row>
        <row r="469">
          <cell r="A469" t="str">
            <v>519540</v>
          </cell>
          <cell r="B469" t="str">
            <v>TAXIS Y BUSES</v>
          </cell>
        </row>
        <row r="470">
          <cell r="A470" t="str">
            <v>51954000</v>
          </cell>
          <cell r="B470" t="str">
            <v>TAXIS Y BUSES</v>
          </cell>
        </row>
        <row r="471">
          <cell r="A471" t="str">
            <v>519555</v>
          </cell>
          <cell r="B471" t="str">
            <v>CASINO Y RESTAURANTE</v>
          </cell>
        </row>
        <row r="472">
          <cell r="A472" t="str">
            <v>51955500</v>
          </cell>
          <cell r="B472" t="str">
            <v>CASINO Y RESTAURANTE</v>
          </cell>
        </row>
        <row r="473">
          <cell r="A473" t="str">
            <v>51955501</v>
          </cell>
          <cell r="B473" t="str">
            <v>A EMPLEADOS</v>
          </cell>
        </row>
        <row r="474">
          <cell r="A474" t="str">
            <v>51955502</v>
          </cell>
          <cell r="B474" t="str">
            <v>A COMISIONISTAS</v>
          </cell>
        </row>
        <row r="475">
          <cell r="A475" t="str">
            <v>51955515</v>
          </cell>
          <cell r="B475" t="str">
            <v>A EMPLEADOS</v>
          </cell>
        </row>
        <row r="476">
          <cell r="A476" t="str">
            <v>519560</v>
          </cell>
          <cell r="B476" t="str">
            <v>PARQUEADEROS</v>
          </cell>
        </row>
        <row r="477">
          <cell r="A477" t="str">
            <v>51956000</v>
          </cell>
          <cell r="B477" t="str">
            <v>PARQUEADEROS</v>
          </cell>
        </row>
        <row r="478">
          <cell r="A478" t="str">
            <v>519595</v>
          </cell>
          <cell r="B478" t="str">
            <v>OTROS</v>
          </cell>
        </row>
        <row r="479">
          <cell r="A479" t="str">
            <v>51959500</v>
          </cell>
          <cell r="B479" t="str">
            <v>OTROS</v>
          </cell>
        </row>
        <row r="480">
          <cell r="A480" t="str">
            <v>51959501</v>
          </cell>
          <cell r="B480" t="str">
            <v>AMPLIFICACION DE SONIDO</v>
          </cell>
        </row>
        <row r="481">
          <cell r="A481" t="str">
            <v>51959502</v>
          </cell>
          <cell r="B481" t="str">
            <v>PANTALLAS PLASMA</v>
          </cell>
        </row>
        <row r="482">
          <cell r="A482" t="str">
            <v>51959511</v>
          </cell>
          <cell r="B482" t="str">
            <v>BASES DE DATOS EN MEDIO MAGNET</v>
          </cell>
        </row>
        <row r="483">
          <cell r="A483" t="str">
            <v>51959521</v>
          </cell>
          <cell r="B483" t="str">
            <v>LIBROS PARA BIBLIOTECA</v>
          </cell>
        </row>
        <row r="484">
          <cell r="A484" t="str">
            <v>51959522</v>
          </cell>
          <cell r="B484" t="str">
            <v>LIBROS PARA OTRAS DEPENDENCIAS</v>
          </cell>
        </row>
        <row r="485">
          <cell r="A485" t="str">
            <v>51959523</v>
          </cell>
          <cell r="B485" t="str">
            <v>EMPASTE DE LIBROS</v>
          </cell>
        </row>
        <row r="486">
          <cell r="A486" t="str">
            <v>51959540</v>
          </cell>
          <cell r="B486" t="str">
            <v>INCENTIVO OPERACIÓN MARTILLO</v>
          </cell>
        </row>
        <row r="487">
          <cell r="A487" t="str">
            <v>51959580</v>
          </cell>
          <cell r="B487" t="str">
            <v>VARIOS</v>
          </cell>
        </row>
        <row r="488">
          <cell r="A488" t="str">
            <v>51959599</v>
          </cell>
          <cell r="B488" t="str">
            <v>PROVISION OPEX PROYECTOS</v>
          </cell>
        </row>
        <row r="489">
          <cell r="A489" t="str">
            <v>5199</v>
          </cell>
          <cell r="B489" t="str">
            <v xml:space="preserve">PROVISIONES                   </v>
          </cell>
        </row>
        <row r="490">
          <cell r="A490" t="str">
            <v>519910</v>
          </cell>
          <cell r="B490" t="str">
            <v>DEUDORES</v>
          </cell>
        </row>
        <row r="491">
          <cell r="A491" t="str">
            <v>51991050</v>
          </cell>
          <cell r="B491" t="str">
            <v>CARTERA DUDOSO RECAUDO</v>
          </cell>
        </row>
        <row r="492">
          <cell r="A492" t="str">
            <v>53</v>
          </cell>
          <cell r="B492" t="str">
            <v>NO OPERACIONALES</v>
          </cell>
        </row>
        <row r="493">
          <cell r="A493" t="str">
            <v>5305</v>
          </cell>
          <cell r="B493" t="str">
            <v xml:space="preserve">FINANCIEROS                   </v>
          </cell>
        </row>
        <row r="494">
          <cell r="A494" t="str">
            <v>530505</v>
          </cell>
          <cell r="B494" t="str">
            <v>GASTOS BANCARIOS</v>
          </cell>
        </row>
        <row r="495">
          <cell r="A495" t="str">
            <v>53050500</v>
          </cell>
          <cell r="B495" t="str">
            <v>GASTOS BANCARIOS</v>
          </cell>
        </row>
        <row r="496">
          <cell r="A496" t="str">
            <v>530515</v>
          </cell>
          <cell r="B496" t="str">
            <v>COMISIONES</v>
          </cell>
        </row>
        <row r="497">
          <cell r="A497" t="str">
            <v>53051500</v>
          </cell>
          <cell r="B497" t="str">
            <v>COMISIONES</v>
          </cell>
        </row>
        <row r="498">
          <cell r="A498" t="str">
            <v>530520</v>
          </cell>
          <cell r="B498" t="str">
            <v>INTERESES</v>
          </cell>
        </row>
        <row r="499">
          <cell r="A499" t="str">
            <v>53052001</v>
          </cell>
          <cell r="B499" t="str">
            <v>INTERESES BANCARIOS</v>
          </cell>
        </row>
        <row r="500">
          <cell r="A500" t="str">
            <v>53052002</v>
          </cell>
          <cell r="B500" t="str">
            <v>LEASING INMUEBLE</v>
          </cell>
        </row>
        <row r="501">
          <cell r="A501" t="str">
            <v>53052003</v>
          </cell>
          <cell r="B501" t="str">
            <v>LEASING OTROS</v>
          </cell>
        </row>
        <row r="502">
          <cell r="A502" t="str">
            <v>53052004</v>
          </cell>
          <cell r="B502" t="str">
            <v>INTERESES REPO</v>
          </cell>
        </row>
        <row r="503">
          <cell r="A503" t="str">
            <v>530525</v>
          </cell>
          <cell r="B503" t="str">
            <v>DIFERENCIA EN CAMBIO</v>
          </cell>
        </row>
        <row r="504">
          <cell r="A504" t="str">
            <v>53052500</v>
          </cell>
          <cell r="B504" t="str">
            <v>DIFERENCIA EN CAMBIO</v>
          </cell>
        </row>
        <row r="505">
          <cell r="A505" t="str">
            <v>5310</v>
          </cell>
          <cell r="B505" t="str">
            <v>PERDIDA EN VENTA Y RETIRO DE B</v>
          </cell>
        </row>
        <row r="506">
          <cell r="A506" t="str">
            <v>531035</v>
          </cell>
          <cell r="B506" t="str">
            <v>PERDIDA POR RETIRO DE PROP PLA</v>
          </cell>
        </row>
        <row r="507">
          <cell r="A507" t="str">
            <v>53103501</v>
          </cell>
          <cell r="B507" t="str">
            <v>EQUIPO DE COMPUTO</v>
          </cell>
        </row>
        <row r="508">
          <cell r="A508" t="str">
            <v>53103502</v>
          </cell>
          <cell r="B508" t="str">
            <v>EQUIPO ELECTRONICO</v>
          </cell>
        </row>
        <row r="509">
          <cell r="A509" t="str">
            <v>53103505</v>
          </cell>
          <cell r="B509" t="str">
            <v>VEHICULOS</v>
          </cell>
        </row>
        <row r="510">
          <cell r="A510" t="str">
            <v>53103506</v>
          </cell>
          <cell r="B510" t="str">
            <v>EQUIPO DE TRANSPORTE</v>
          </cell>
        </row>
        <row r="511">
          <cell r="A511" t="str">
            <v>5314</v>
          </cell>
          <cell r="B511" t="str">
            <v>GASTOS NO DEDUCIBLES DEL IMPUE</v>
          </cell>
        </row>
        <row r="512">
          <cell r="A512" t="str">
            <v>531405</v>
          </cell>
          <cell r="B512" t="str">
            <v>MULTAS Y SANCIONES</v>
          </cell>
        </row>
        <row r="513">
          <cell r="A513" t="str">
            <v>53140520</v>
          </cell>
          <cell r="B513" t="str">
            <v>SANCIONES</v>
          </cell>
        </row>
        <row r="514">
          <cell r="A514" t="str">
            <v>53140521</v>
          </cell>
          <cell r="B514" t="str">
            <v>RETENCION EN LA FUENTE</v>
          </cell>
        </row>
        <row r="515">
          <cell r="A515" t="str">
            <v>53140522</v>
          </cell>
          <cell r="B515" t="str">
            <v>INDUSTRIA Y COMERCIO</v>
          </cell>
        </row>
        <row r="516">
          <cell r="A516" t="str">
            <v>53140523</v>
          </cell>
          <cell r="B516" t="str">
            <v>IVA</v>
          </cell>
        </row>
        <row r="517">
          <cell r="A517" t="str">
            <v>531410</v>
          </cell>
          <cell r="B517" t="str">
            <v>INTERESES DE MORA</v>
          </cell>
        </row>
        <row r="518">
          <cell r="A518" t="str">
            <v>53141000</v>
          </cell>
          <cell r="B518" t="str">
            <v>INTERESES DE MORA</v>
          </cell>
        </row>
        <row r="519">
          <cell r="A519" t="str">
            <v>531415</v>
          </cell>
          <cell r="B519" t="str">
            <v>IMPUESTOS ASUMIDOS</v>
          </cell>
        </row>
        <row r="520">
          <cell r="A520" t="str">
            <v>53141501</v>
          </cell>
          <cell r="B520" t="str">
            <v>RETENCION EN LA FUENTE</v>
          </cell>
        </row>
        <row r="521">
          <cell r="A521" t="str">
            <v>53141502</v>
          </cell>
          <cell r="B521" t="str">
            <v>IMPUESTOS POR APROXIM A MILES</v>
          </cell>
        </row>
        <row r="522">
          <cell r="A522" t="str">
            <v>53141503</v>
          </cell>
          <cell r="B522" t="str">
            <v>IVA</v>
          </cell>
        </row>
        <row r="523">
          <cell r="A523" t="str">
            <v>53141504</v>
          </cell>
          <cell r="B523" t="str">
            <v>TIMBRE</v>
          </cell>
        </row>
        <row r="524">
          <cell r="A524" t="str">
            <v>53141505</v>
          </cell>
          <cell r="B524" t="str">
            <v>INDUSTRIA Y COMERCIO</v>
          </cell>
        </row>
        <row r="525">
          <cell r="A525" t="str">
            <v>53141506</v>
          </cell>
          <cell r="B525" t="str">
            <v>RETENCION DE IVA</v>
          </cell>
        </row>
        <row r="526">
          <cell r="A526" t="str">
            <v>5320</v>
          </cell>
          <cell r="B526" t="str">
            <v xml:space="preserve">GASTOS EJERCICIOS ANTERIORES  </v>
          </cell>
        </row>
        <row r="527">
          <cell r="A527" t="str">
            <v>532005</v>
          </cell>
          <cell r="B527" t="str">
            <v>GASTOS EJERCICIOS ANTERIORES</v>
          </cell>
        </row>
        <row r="528">
          <cell r="A528" t="str">
            <v>53200501</v>
          </cell>
          <cell r="B528" t="str">
            <v>GASTOS DE PERSONAL-PRESTACIONE</v>
          </cell>
        </row>
        <row r="529">
          <cell r="A529" t="str">
            <v>53200502</v>
          </cell>
          <cell r="B529" t="str">
            <v>EMPASTE DE LIBROS</v>
          </cell>
        </row>
        <row r="530">
          <cell r="A530" t="str">
            <v>53200503</v>
          </cell>
          <cell r="B530" t="str">
            <v>GASTOS ADMINISTRATIVOS</v>
          </cell>
        </row>
        <row r="531">
          <cell r="A531" t="str">
            <v>53200504</v>
          </cell>
          <cell r="B531" t="str">
            <v>IMPUESTOS</v>
          </cell>
        </row>
        <row r="532">
          <cell r="A532" t="str">
            <v>53200506</v>
          </cell>
          <cell r="B532" t="str">
            <v>VIATICOS Y GASTOS DE VIAJE</v>
          </cell>
        </row>
        <row r="533">
          <cell r="A533" t="str">
            <v>53200507</v>
          </cell>
          <cell r="B533" t="str">
            <v>EVENTOS</v>
          </cell>
        </row>
        <row r="534">
          <cell r="A534" t="str">
            <v>5395</v>
          </cell>
          <cell r="B534" t="str">
            <v xml:space="preserve">GASTOS DIVERSOS               </v>
          </cell>
        </row>
        <row r="535">
          <cell r="A535" t="str">
            <v>539520</v>
          </cell>
          <cell r="B535" t="str">
            <v>MULTAS, SANCIONES Y LITIGIOS</v>
          </cell>
        </row>
        <row r="536">
          <cell r="A536" t="str">
            <v>53952000</v>
          </cell>
          <cell r="B536" t="str">
            <v>MULTAS, SANCIONES Y LITIGIOS</v>
          </cell>
        </row>
        <row r="537">
          <cell r="A537" t="str">
            <v>53952001</v>
          </cell>
          <cell r="B537" t="str">
            <v>MULTAS</v>
          </cell>
        </row>
        <row r="538">
          <cell r="A538" t="str">
            <v>53952002</v>
          </cell>
          <cell r="B538" t="str">
            <v>LITIGIOS Y DEMANDAS</v>
          </cell>
        </row>
        <row r="539">
          <cell r="A539" t="str">
            <v>539525</v>
          </cell>
          <cell r="B539" t="str">
            <v>DONACIONES</v>
          </cell>
        </row>
        <row r="540">
          <cell r="A540" t="str">
            <v>53952500</v>
          </cell>
          <cell r="B540" t="str">
            <v>DONACIONES</v>
          </cell>
        </row>
        <row r="541">
          <cell r="A541" t="str">
            <v>53952501</v>
          </cell>
          <cell r="B541" t="str">
            <v>DONACION DIVODENDO POR COLOMBI</v>
          </cell>
        </row>
        <row r="542">
          <cell r="A542" t="str">
            <v>539595</v>
          </cell>
          <cell r="B542" t="str">
            <v>OTROS</v>
          </cell>
        </row>
        <row r="543">
          <cell r="A543" t="str">
            <v>53959501</v>
          </cell>
          <cell r="B543" t="str">
            <v>CURSO DE OPERACIÓN BURSATIL</v>
          </cell>
        </row>
        <row r="544">
          <cell r="A544" t="str">
            <v>53959502</v>
          </cell>
          <cell r="B544" t="str">
            <v>GASTOS TORNEOS</v>
          </cell>
        </row>
        <row r="545">
          <cell r="A545" t="str">
            <v>53959503</v>
          </cell>
          <cell r="B545" t="str">
            <v>INGRESOS EJERCICIOS ANTERIORES</v>
          </cell>
        </row>
        <row r="546">
          <cell r="A546" t="str">
            <v>53959504</v>
          </cell>
          <cell r="B546" t="str">
            <v>AJUSTE A MILES</v>
          </cell>
        </row>
        <row r="547">
          <cell r="A547" t="str">
            <v>53959505</v>
          </cell>
          <cell r="B547" t="str">
            <v>SOPORTE FINAN Y ADMON ANULADO</v>
          </cell>
        </row>
        <row r="548">
          <cell r="A548" t="str">
            <v>53959506</v>
          </cell>
          <cell r="B548" t="str">
            <v>REINTEGRO DE GASTOS ANULADO</v>
          </cell>
        </row>
        <row r="549">
          <cell r="A549" t="str">
            <v>53959507</v>
          </cell>
          <cell r="B549" t="str">
            <v>IVA INGRESOS EJERCICIOS ANTERI</v>
          </cell>
        </row>
        <row r="550">
          <cell r="A550" t="str">
            <v>54</v>
          </cell>
          <cell r="B550" t="str">
            <v>IMPUESTO DE RENTA Y COMPLEM</v>
          </cell>
        </row>
        <row r="551">
          <cell r="A551" t="str">
            <v>5405</v>
          </cell>
          <cell r="B551" t="str">
            <v>IMPUESTO DE RENTA Y COMPLEMENT</v>
          </cell>
        </row>
        <row r="552">
          <cell r="A552" t="str">
            <v>540505</v>
          </cell>
          <cell r="B552" t="str">
            <v>IMPUESTO DE RENTA Y COMPLEMENT</v>
          </cell>
        </row>
        <row r="553">
          <cell r="A553" t="str">
            <v>54050510</v>
          </cell>
          <cell r="B553" t="str">
            <v>PROVISION PRESENTE AÑO</v>
          </cell>
        </row>
        <row r="554">
          <cell r="A554" t="str">
            <v>59</v>
          </cell>
          <cell r="B554" t="str">
            <v>GANANCIAS Y PERDIDAS</v>
          </cell>
        </row>
        <row r="555">
          <cell r="A555" t="str">
            <v>5905</v>
          </cell>
          <cell r="B555" t="str">
            <v xml:space="preserve">GANANCIAS                     </v>
          </cell>
        </row>
        <row r="556">
          <cell r="A556" t="str">
            <v>590505</v>
          </cell>
          <cell r="B556" t="str">
            <v>GANANCIAS</v>
          </cell>
        </row>
        <row r="557">
          <cell r="A557" t="str">
            <v>59050500</v>
          </cell>
          <cell r="B557" t="str">
            <v>GANANCIAS</v>
          </cell>
        </row>
      </sheetData>
      <sheetData sheetId="1" refreshError="1">
        <row r="2">
          <cell r="A2">
            <v>100</v>
          </cell>
          <cell r="B2" t="str">
            <v>Presidencia</v>
          </cell>
        </row>
        <row r="3">
          <cell r="A3">
            <v>101</v>
          </cell>
          <cell r="B3" t="str">
            <v>Consejo Directivo</v>
          </cell>
        </row>
        <row r="4">
          <cell r="A4">
            <v>200</v>
          </cell>
          <cell r="B4" t="str">
            <v>Auditoria</v>
          </cell>
        </row>
        <row r="5">
          <cell r="A5">
            <v>300</v>
          </cell>
          <cell r="B5" t="str">
            <v>Asesoria de Presidencia</v>
          </cell>
        </row>
        <row r="6">
          <cell r="A6">
            <v>310</v>
          </cell>
          <cell r="B6" t="str">
            <v>Direccion de Asesorias Es</v>
          </cell>
        </row>
        <row r="7">
          <cell r="A7">
            <v>320</v>
          </cell>
          <cell r="B7" t="str">
            <v>Gerencia de Riesgos</v>
          </cell>
        </row>
        <row r="8">
          <cell r="A8">
            <v>330</v>
          </cell>
          <cell r="B8" t="str">
            <v>Direccion O&amp;M</v>
          </cell>
        </row>
        <row r="9">
          <cell r="A9">
            <v>400</v>
          </cell>
          <cell r="B9" t="str">
            <v>Direccion Comunicaciones</v>
          </cell>
        </row>
        <row r="10">
          <cell r="A10">
            <v>500</v>
          </cell>
          <cell r="B10" t="str">
            <v>VP Emisores y Operaciones</v>
          </cell>
        </row>
        <row r="11">
          <cell r="A11">
            <v>520</v>
          </cell>
          <cell r="B11" t="str">
            <v>Gerencia Operacion Emisor</v>
          </cell>
        </row>
        <row r="12">
          <cell r="A12">
            <v>521</v>
          </cell>
          <cell r="B12" t="str">
            <v>Dir Oper Espec y Procesos</v>
          </cell>
        </row>
        <row r="13">
          <cell r="A13">
            <v>530</v>
          </cell>
          <cell r="B13" t="str">
            <v>Gerencia de Emisores</v>
          </cell>
        </row>
        <row r="14">
          <cell r="A14">
            <v>540</v>
          </cell>
          <cell r="B14" t="str">
            <v>Gerencia Colombia Capital</v>
          </cell>
        </row>
        <row r="15">
          <cell r="A15">
            <v>541</v>
          </cell>
          <cell r="B15" t="str">
            <v>Coord Adm Conven BID</v>
          </cell>
        </row>
        <row r="16">
          <cell r="A16">
            <v>600</v>
          </cell>
          <cell r="B16" t="str">
            <v>Gerencia Fin Adm y de RH</v>
          </cell>
        </row>
        <row r="17">
          <cell r="A17">
            <v>610</v>
          </cell>
          <cell r="B17" t="str">
            <v>Direccion financiera</v>
          </cell>
        </row>
        <row r="18">
          <cell r="A18">
            <v>620</v>
          </cell>
          <cell r="B18" t="str">
            <v>Jefatura Administrativa</v>
          </cell>
        </row>
        <row r="19">
          <cell r="A19">
            <v>630</v>
          </cell>
          <cell r="B19" t="str">
            <v>Jefatura Gestion Humana</v>
          </cell>
        </row>
        <row r="20">
          <cell r="A20">
            <v>700</v>
          </cell>
          <cell r="B20" t="str">
            <v>VP Desarrollo de Mercados</v>
          </cell>
        </row>
        <row r="21">
          <cell r="A21">
            <v>710</v>
          </cell>
          <cell r="B21" t="str">
            <v>Gerencia Intermediarios</v>
          </cell>
        </row>
        <row r="22">
          <cell r="A22">
            <v>711</v>
          </cell>
          <cell r="B22" t="str">
            <v>Dir Com Intermediarios</v>
          </cell>
        </row>
        <row r="23">
          <cell r="A23">
            <v>720</v>
          </cell>
          <cell r="B23" t="str">
            <v>Gerencia Cuenta Estado</v>
          </cell>
        </row>
        <row r="24">
          <cell r="A24">
            <v>730</v>
          </cell>
          <cell r="B24" t="str">
            <v>Dir Oper Mercados</v>
          </cell>
        </row>
        <row r="25">
          <cell r="A25">
            <v>800</v>
          </cell>
          <cell r="B25" t="str">
            <v>Regional Medellin</v>
          </cell>
        </row>
        <row r="26">
          <cell r="A26">
            <v>900</v>
          </cell>
          <cell r="B26" t="str">
            <v>Regional Cali</v>
          </cell>
        </row>
        <row r="27">
          <cell r="A27">
            <v>1000</v>
          </cell>
          <cell r="B27" t="str">
            <v>VP Inversionistas</v>
          </cell>
        </row>
        <row r="28">
          <cell r="A28">
            <v>1010</v>
          </cell>
          <cell r="B28" t="str">
            <v>Ger Inv Pers Naturales</v>
          </cell>
        </row>
        <row r="29">
          <cell r="A29">
            <v>1011</v>
          </cell>
          <cell r="B29" t="str">
            <v>Coord de Formacion</v>
          </cell>
        </row>
        <row r="30">
          <cell r="A30">
            <v>1012</v>
          </cell>
          <cell r="B30" t="str">
            <v>Coord Segmentos</v>
          </cell>
        </row>
        <row r="31">
          <cell r="A31">
            <v>1020</v>
          </cell>
          <cell r="B31" t="str">
            <v>Ger Inv Institucionales</v>
          </cell>
        </row>
        <row r="32">
          <cell r="A32">
            <v>1100</v>
          </cell>
          <cell r="B32" t="str">
            <v>VP Tecnologica</v>
          </cell>
        </row>
        <row r="33">
          <cell r="A33">
            <v>1110</v>
          </cell>
          <cell r="B33" t="str">
            <v>Ger de Tecnologí­a</v>
          </cell>
        </row>
        <row r="34">
          <cell r="A34">
            <v>1120</v>
          </cell>
          <cell r="B34" t="str">
            <v>Dir Infra Tecnologica</v>
          </cell>
        </row>
        <row r="35">
          <cell r="A35">
            <v>1130</v>
          </cell>
          <cell r="B35" t="str">
            <v>Dir Oper de Tecnología</v>
          </cell>
        </row>
        <row r="36">
          <cell r="A36">
            <v>1140</v>
          </cell>
          <cell r="B36" t="str">
            <v>Dir Dessarrollo Software</v>
          </cell>
        </row>
        <row r="37">
          <cell r="A37">
            <v>1150</v>
          </cell>
          <cell r="B37" t="str">
            <v>Direccion Mesa de Ayuda</v>
          </cell>
        </row>
        <row r="38">
          <cell r="A38">
            <v>1200</v>
          </cell>
          <cell r="B38" t="str">
            <v>VP Diseño y Desarrollo</v>
          </cell>
        </row>
        <row r="39">
          <cell r="A39">
            <v>1210</v>
          </cell>
          <cell r="B39" t="str">
            <v>Ger Informacion e Infoval</v>
          </cell>
        </row>
        <row r="40">
          <cell r="A40">
            <v>1211</v>
          </cell>
          <cell r="B40" t="str">
            <v>Coord de Informacion</v>
          </cell>
        </row>
        <row r="41">
          <cell r="A41">
            <v>1212</v>
          </cell>
          <cell r="B41" t="str">
            <v>Coord de Infoval</v>
          </cell>
        </row>
        <row r="42">
          <cell r="A42">
            <v>1213</v>
          </cell>
          <cell r="B42" t="str">
            <v>Dir Biblioteca Virtual</v>
          </cell>
        </row>
        <row r="43">
          <cell r="A43">
            <v>1220</v>
          </cell>
          <cell r="B43" t="str">
            <v>Dir Desarrollo y Análisis Técnico</v>
          </cell>
        </row>
        <row r="44">
          <cell r="A44">
            <v>1221</v>
          </cell>
          <cell r="B44" t="str">
            <v>Sub Des y Análisis Técnico</v>
          </cell>
        </row>
        <row r="45">
          <cell r="A45">
            <v>1222</v>
          </cell>
          <cell r="B45" t="str">
            <v>Sub Desarrollo Infoval</v>
          </cell>
        </row>
        <row r="46">
          <cell r="A46">
            <v>1230</v>
          </cell>
          <cell r="B46" t="str">
            <v>Gerencia Proyecto Camara</v>
          </cell>
        </row>
        <row r="47">
          <cell r="A47">
            <v>1240</v>
          </cell>
          <cell r="B47" t="str">
            <v>Gerencia Proyecto SIOPEL</v>
          </cell>
        </row>
        <row r="48">
          <cell r="A48">
            <v>1250</v>
          </cell>
          <cell r="B48" t="str">
            <v>Gerencia de Proyectos Especiales</v>
          </cell>
        </row>
        <row r="49">
          <cell r="A49">
            <v>1300</v>
          </cell>
          <cell r="B49" t="str">
            <v>VP Juridica</v>
          </cell>
        </row>
        <row r="50">
          <cell r="A50">
            <v>1310</v>
          </cell>
          <cell r="B50" t="str">
            <v>Direccion Legal</v>
          </cell>
        </row>
        <row r="51">
          <cell r="A51">
            <v>1320</v>
          </cell>
          <cell r="B51" t="str">
            <v>Direccion de Regulacion</v>
          </cell>
        </row>
        <row r="52">
          <cell r="A52">
            <v>1330</v>
          </cell>
          <cell r="B52" t="str">
            <v>Supervisión</v>
          </cell>
        </row>
        <row r="53">
          <cell r="A53">
            <v>1400</v>
          </cell>
          <cell r="B53" t="str">
            <v>Gerencia Admon de Mercado</v>
          </cell>
        </row>
        <row r="54">
          <cell r="A54">
            <v>1410</v>
          </cell>
          <cell r="B54" t="str">
            <v>Direccion de Negociacion</v>
          </cell>
        </row>
        <row r="55">
          <cell r="A55">
            <v>1420</v>
          </cell>
          <cell r="B55" t="str">
            <v>Direccion de Cumplimiento</v>
          </cell>
        </row>
        <row r="56">
          <cell r="A56">
            <v>1500</v>
          </cell>
          <cell r="B56" t="str">
            <v>Corporativo</v>
          </cell>
        </row>
      </sheetData>
      <sheetData sheetId="2" refreshError="1">
        <row r="2">
          <cell r="A2">
            <v>10</v>
          </cell>
          <cell r="B2" t="str">
            <v>individuos</v>
          </cell>
        </row>
        <row r="3">
          <cell r="A3">
            <v>20</v>
          </cell>
          <cell r="B3" t="str">
            <v>inversionistas institucionales</v>
          </cell>
        </row>
        <row r="4">
          <cell r="A4">
            <v>30</v>
          </cell>
          <cell r="B4" t="str">
            <v>Intermediarios</v>
          </cell>
        </row>
        <row r="5">
          <cell r="A5">
            <v>40</v>
          </cell>
          <cell r="B5" t="str">
            <v>emisores</v>
          </cell>
        </row>
        <row r="6">
          <cell r="A6">
            <v>60</v>
          </cell>
          <cell r="B6" t="str">
            <v>dia dia</v>
          </cell>
        </row>
      </sheetData>
      <sheetData sheetId="3" refreshError="1">
        <row r="2">
          <cell r="A2">
            <v>1000</v>
          </cell>
          <cell r="B2" t="str">
            <v>BVC DIA A DIA</v>
          </cell>
        </row>
        <row r="3">
          <cell r="A3">
            <v>1001</v>
          </cell>
          <cell r="B3" t="str">
            <v>MEC PLUS FASE II, III Y IV</v>
          </cell>
        </row>
        <row r="4">
          <cell r="A4">
            <v>1002</v>
          </cell>
          <cell r="B4" t="str">
            <v>Derivados</v>
          </cell>
        </row>
        <row r="5">
          <cell r="A5">
            <v>1003</v>
          </cell>
          <cell r="B5" t="str">
            <v>CRCC</v>
          </cell>
        </row>
        <row r="6">
          <cell r="A6">
            <v>1004</v>
          </cell>
          <cell r="B6" t="str">
            <v>Acciones</v>
          </cell>
        </row>
        <row r="7">
          <cell r="A7">
            <v>1005</v>
          </cell>
          <cell r="B7" t="str">
            <v>DWH</v>
          </cell>
        </row>
        <row r="8">
          <cell r="A8">
            <v>1006</v>
          </cell>
          <cell r="B8" t="str">
            <v>Bus de Integración</v>
          </cell>
        </row>
        <row r="9">
          <cell r="A9">
            <v>1007</v>
          </cell>
          <cell r="B9" t="str">
            <v>Gestión de Contenido</v>
          </cell>
        </row>
        <row r="10">
          <cell r="A10">
            <v>1008</v>
          </cell>
          <cell r="B10" t="str">
            <v>IT Strategy</v>
          </cell>
        </row>
        <row r="11">
          <cell r="A11">
            <v>1009</v>
          </cell>
          <cell r="B11" t="str">
            <v>Minitoreo del Mercado</v>
          </cell>
        </row>
        <row r="12">
          <cell r="A12">
            <v>1010</v>
          </cell>
          <cell r="B12" t="str">
            <v>Reemplazo de Back Office</v>
          </cell>
        </row>
        <row r="13">
          <cell r="A13">
            <v>1011</v>
          </cell>
          <cell r="B13" t="str">
            <v>Sistema de Garantías</v>
          </cell>
        </row>
        <row r="14">
          <cell r="A14">
            <v>1012</v>
          </cell>
          <cell r="B14" t="str">
            <v>CRM</v>
          </cell>
        </row>
        <row r="15">
          <cell r="A15">
            <v>1013</v>
          </cell>
          <cell r="B15" t="str">
            <v>ERP</v>
          </cell>
        </row>
        <row r="16">
          <cell r="A16">
            <v>1014</v>
          </cell>
          <cell r="B16" t="str">
            <v>SCB Agora</v>
          </cell>
        </row>
        <row r="17">
          <cell r="A17">
            <v>1015</v>
          </cell>
          <cell r="B17" t="str">
            <v>Gestión de Riesgo</v>
          </cell>
        </row>
        <row r="18">
          <cell r="A18">
            <v>1016</v>
          </cell>
          <cell r="B18" t="str">
            <v>Proyectos de Infraestructura Técnologica</v>
          </cell>
        </row>
        <row r="19">
          <cell r="A19">
            <v>1017</v>
          </cell>
          <cell r="B19" t="str">
            <v>Upgrade INFOVAL</v>
          </cell>
        </row>
        <row r="20">
          <cell r="A20">
            <v>1018</v>
          </cell>
          <cell r="B20" t="str">
            <v>Indices Generales</v>
          </cell>
        </row>
        <row r="21">
          <cell r="A21">
            <v>1019</v>
          </cell>
          <cell r="B21" t="str">
            <v>Integración BMV - BOVESPA</v>
          </cell>
        </row>
        <row r="22">
          <cell r="A22">
            <v>1020</v>
          </cell>
          <cell r="B22" t="str">
            <v>Integración BOVESPA</v>
          </cell>
        </row>
        <row r="23">
          <cell r="A23">
            <v>1021</v>
          </cell>
          <cell r="B23" t="str">
            <v>Continuidad del Negocio</v>
          </cell>
        </row>
        <row r="24">
          <cell r="A24">
            <v>1022</v>
          </cell>
          <cell r="B24" t="str">
            <v>IT SERVICE MANAGEMENT</v>
          </cell>
        </row>
        <row r="25">
          <cell r="A25">
            <v>1023</v>
          </cell>
          <cell r="B25" t="str">
            <v>Punto BVC</v>
          </cell>
        </row>
        <row r="26">
          <cell r="A26">
            <v>1024</v>
          </cell>
          <cell r="B26" t="str">
            <v>Concurso Bolsa Millonaria</v>
          </cell>
        </row>
        <row r="27">
          <cell r="A27">
            <v>1025</v>
          </cell>
          <cell r="B27" t="str">
            <v>MEC Plus Fase I</v>
          </cell>
        </row>
        <row r="28">
          <cell r="A28">
            <v>1027</v>
          </cell>
          <cell r="B28" t="str">
            <v>Boletín Diario</v>
          </cell>
        </row>
        <row r="29">
          <cell r="A29">
            <v>1028</v>
          </cell>
          <cell r="B29" t="str">
            <v>BVCMovil</v>
          </cell>
        </row>
        <row r="30">
          <cell r="A30">
            <v>2000</v>
          </cell>
          <cell r="B30" t="str">
            <v>BVC Medellín día a día</v>
          </cell>
        </row>
        <row r="31">
          <cell r="A31">
            <v>3000</v>
          </cell>
          <cell r="B31" t="str">
            <v>BVC Cali Día a Día</v>
          </cell>
        </row>
        <row r="32">
          <cell r="A32">
            <v>10101000</v>
          </cell>
          <cell r="B32" t="str">
            <v>COL CAP - EMISORES POR PRIMERA VEZ</v>
          </cell>
        </row>
        <row r="33">
          <cell r="A33">
            <v>10201000</v>
          </cell>
          <cell r="B33" t="str">
            <v>COL CAP - IMPULSO AL CAPITAL</v>
          </cell>
        </row>
        <row r="34">
          <cell r="A34">
            <v>10301000</v>
          </cell>
          <cell r="B34" t="str">
            <v>COL CAP - DESARROLLO INSTRUMENTOS</v>
          </cell>
        </row>
        <row r="35">
          <cell r="A35">
            <v>10401000</v>
          </cell>
          <cell r="B35" t="str">
            <v>COL CAP - DIFUSION RESULTADOS</v>
          </cell>
        </row>
        <row r="36">
          <cell r="A36">
            <v>10501000</v>
          </cell>
          <cell r="B36" t="str">
            <v>COL CAP - ADMINISTRACION</v>
          </cell>
        </row>
        <row r="37">
          <cell r="A37">
            <v>10601000</v>
          </cell>
          <cell r="B37" t="str">
            <v>COL CAP AUDITORIA Y EVALUACION</v>
          </cell>
        </row>
        <row r="38">
          <cell r="A38">
            <v>20201000</v>
          </cell>
          <cell r="B38" t="str">
            <v>INV COL - CAMARA DE COMPENSACION</v>
          </cell>
        </row>
        <row r="39">
          <cell r="A39">
            <v>20301000</v>
          </cell>
          <cell r="B39" t="str">
            <v>INV COL - BOLSA DERIVADOS Y FUTUROS</v>
          </cell>
        </row>
        <row r="40">
          <cell r="A40">
            <v>20401000</v>
          </cell>
          <cell r="B40" t="str">
            <v>INV COL - ADMINISTRACION</v>
          </cell>
        </row>
        <row r="41">
          <cell r="A41">
            <v>20501000</v>
          </cell>
          <cell r="B41" t="str">
            <v>INV COL AUDITORIA Y EVALUACION</v>
          </cell>
        </row>
        <row r="42">
          <cell r="A42" t="str">
            <v>0021A01000</v>
          </cell>
          <cell r="B42" t="str">
            <v>INV COL - SISTEMA DE INFORMACION</v>
          </cell>
        </row>
        <row r="43">
          <cell r="A43" t="str">
            <v>0021B01000</v>
          </cell>
          <cell r="B43" t="str">
            <v>INV COL -GOBIERNO CORPORATIVO</v>
          </cell>
        </row>
        <row r="44">
          <cell r="A44">
            <v>1114</v>
          </cell>
          <cell r="B44" t="str">
            <v>Esstudio de imagen de marca de la BVC</v>
          </cell>
        </row>
        <row r="45">
          <cell r="A45">
            <v>1225</v>
          </cell>
          <cell r="B45" t="str">
            <v>ALOJAMIENTO HUESPEDES PARA EVENTO BEARSTAETEAR</v>
          </cell>
        </row>
        <row r="46">
          <cell r="A46" t="str">
            <v>1-BVC-CT-00073B06</v>
          </cell>
          <cell r="B46" t="str">
            <v>Servicios de asesoría comunicación publicitaria</v>
          </cell>
        </row>
        <row r="47">
          <cell r="A47">
            <v>468</v>
          </cell>
          <cell r="B47" t="str">
            <v>Adquisición de infraestructura para configurar la redundanc</v>
          </cell>
        </row>
        <row r="48">
          <cell r="A48" t="str">
            <v>ANDI</v>
          </cell>
          <cell r="B48" t="str">
            <v>ANDI - Arrendamiento Oficina Proyectos</v>
          </cell>
        </row>
      </sheetData>
      <sheetData sheetId="4" refreshError="1"/>
      <sheetData sheetId="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UENTAS"/>
      <sheetName val="CENTROS DE COSTOS"/>
      <sheetName val="UEN"/>
      <sheetName val="PROYECTOS"/>
      <sheetName val="Hoja1"/>
      <sheetName val="PROVISION"/>
    </sheetNames>
    <sheetDataSet>
      <sheetData sheetId="0" refreshError="1">
        <row r="2">
          <cell r="A2" t="str">
            <v>26</v>
          </cell>
          <cell r="B2" t="str">
            <v xml:space="preserve">	PASIVOS ESTIM Y PROVISIONES</v>
          </cell>
        </row>
        <row r="3">
          <cell r="A3" t="str">
            <v>2605</v>
          </cell>
          <cell r="B3" t="str">
            <v xml:space="preserve">PARA GASTOS                   </v>
          </cell>
        </row>
        <row r="4">
          <cell r="A4" t="str">
            <v>260505</v>
          </cell>
          <cell r="B4" t="str">
            <v>HONORARIOS</v>
          </cell>
        </row>
        <row r="5">
          <cell r="A5" t="str">
            <v>26050500</v>
          </cell>
          <cell r="B5" t="str">
            <v>HONORARIOS</v>
          </cell>
        </row>
        <row r="6">
          <cell r="A6" t="str">
            <v>260515</v>
          </cell>
          <cell r="B6" t="str">
            <v>CONTRIBUCIONES Y AFILIACIONES</v>
          </cell>
        </row>
        <row r="7">
          <cell r="A7" t="str">
            <v>26051500</v>
          </cell>
          <cell r="B7" t="str">
            <v>CONTRIBUCIONES Y AFILIACIONES</v>
          </cell>
        </row>
        <row r="8">
          <cell r="A8" t="str">
            <v>260520</v>
          </cell>
          <cell r="B8" t="str">
            <v>SEGUROS</v>
          </cell>
        </row>
        <row r="9">
          <cell r="A9" t="str">
            <v>26052001</v>
          </cell>
          <cell r="B9" t="str">
            <v>INCENDIO MANEJO Y TERREMOTO</v>
          </cell>
        </row>
        <row r="10">
          <cell r="A10" t="str">
            <v>26052003</v>
          </cell>
          <cell r="B10" t="str">
            <v>CORRIENTE DEBIL EQUIPO ELECTRO</v>
          </cell>
        </row>
        <row r="11">
          <cell r="A11" t="str">
            <v>26052006</v>
          </cell>
          <cell r="B11" t="str">
            <v>SEGURO DE RESPONSABILIDAD CIVI</v>
          </cell>
        </row>
        <row r="12">
          <cell r="A12" t="str">
            <v>26052007</v>
          </cell>
          <cell r="B12" t="str">
            <v>RIESGOS FINANCIEROS INFIDELIDA</v>
          </cell>
        </row>
        <row r="13">
          <cell r="A13" t="str">
            <v>260525</v>
          </cell>
          <cell r="B13" t="str">
            <v>SERVICIOS</v>
          </cell>
        </row>
        <row r="14">
          <cell r="A14" t="str">
            <v>26052500</v>
          </cell>
          <cell r="B14" t="str">
            <v>SERVICIOS</v>
          </cell>
        </row>
        <row r="15">
          <cell r="A15" t="str">
            <v>260535</v>
          </cell>
          <cell r="B15" t="str">
            <v>MANTENIMIENTO Y REPARACIONES</v>
          </cell>
        </row>
        <row r="16">
          <cell r="A16" t="str">
            <v>26053500</v>
          </cell>
          <cell r="B16" t="str">
            <v>MANTENIMIENTO Y REPARACIONES</v>
          </cell>
        </row>
        <row r="17">
          <cell r="A17" t="str">
            <v>260595</v>
          </cell>
          <cell r="B17" t="str">
            <v>OTROS</v>
          </cell>
        </row>
        <row r="18">
          <cell r="A18" t="str">
            <v>26059501</v>
          </cell>
          <cell r="B18" t="str">
            <v>UTILES</v>
          </cell>
        </row>
        <row r="19">
          <cell r="A19" t="str">
            <v>26059502</v>
          </cell>
          <cell r="B19" t="str">
            <v>PAPELERIA</v>
          </cell>
        </row>
        <row r="20">
          <cell r="A20" t="str">
            <v>26059503</v>
          </cell>
          <cell r="B20" t="str">
            <v>FOTOCOPIAS</v>
          </cell>
        </row>
        <row r="21">
          <cell r="A21" t="str">
            <v>26059510</v>
          </cell>
          <cell r="B21" t="str">
            <v>DIVULGACION Y PUBLICIDAD</v>
          </cell>
        </row>
        <row r="22">
          <cell r="A22" t="str">
            <v>26059513</v>
          </cell>
          <cell r="B22" t="str">
            <v>PROPAGANDA</v>
          </cell>
        </row>
        <row r="23">
          <cell r="A23" t="str">
            <v>26059514</v>
          </cell>
          <cell r="B23" t="str">
            <v>CONCURSO PORTAFOLIO</v>
          </cell>
        </row>
        <row r="24">
          <cell r="A24" t="str">
            <v>26059515</v>
          </cell>
          <cell r="B24" t="str">
            <v>SEMINARIOS Y SIMPOSIOS</v>
          </cell>
        </row>
        <row r="25">
          <cell r="A25" t="str">
            <v>26059517</v>
          </cell>
          <cell r="B25" t="str">
            <v>CONGRESO NAL MERCADO DE CAPITA</v>
          </cell>
        </row>
        <row r="26">
          <cell r="A26" t="str">
            <v>26059521</v>
          </cell>
          <cell r="B26" t="str">
            <v>HORAS EXTRAS</v>
          </cell>
        </row>
        <row r="27">
          <cell r="A27" t="str">
            <v>26059522</v>
          </cell>
          <cell r="B27" t="str">
            <v>SALARIO INTEGRAL</v>
          </cell>
        </row>
        <row r="28">
          <cell r="A28" t="str">
            <v>26059523</v>
          </cell>
          <cell r="B28" t="str">
            <v>ACTIVIDADES RECREATIVAS</v>
          </cell>
        </row>
        <row r="29">
          <cell r="A29" t="str">
            <v>26059524</v>
          </cell>
          <cell r="B29" t="str">
            <v>SEGURIDAD SOCIAL</v>
          </cell>
        </row>
        <row r="30">
          <cell r="A30" t="str">
            <v>26059525</v>
          </cell>
          <cell r="B30" t="str">
            <v>INDEMNIZACIONES</v>
          </cell>
        </row>
        <row r="31">
          <cell r="A31" t="str">
            <v>26059526</v>
          </cell>
          <cell r="B31" t="str">
            <v>SUELDOS</v>
          </cell>
        </row>
        <row r="32">
          <cell r="A32" t="str">
            <v>26059527</v>
          </cell>
          <cell r="B32" t="str">
            <v>BONIFICACIONES</v>
          </cell>
        </row>
        <row r="33">
          <cell r="A33" t="str">
            <v>26059528</v>
          </cell>
          <cell r="B33" t="str">
            <v>SEMINARIOS</v>
          </cell>
        </row>
        <row r="34">
          <cell r="A34" t="str">
            <v>26059529</v>
          </cell>
          <cell r="B34" t="str">
            <v>MONETIZACION SENA</v>
          </cell>
        </row>
        <row r="35">
          <cell r="A35" t="str">
            <v>26059540</v>
          </cell>
          <cell r="B35" t="str">
            <v>APORTES BID</v>
          </cell>
        </row>
        <row r="36">
          <cell r="A36" t="str">
            <v>26059560</v>
          </cell>
          <cell r="B36" t="str">
            <v>RELACIONES PUBLICAS</v>
          </cell>
        </row>
        <row r="37">
          <cell r="A37" t="str">
            <v>26059561</v>
          </cell>
          <cell r="B37" t="str">
            <v>ATENCIONES COMISIONISTAS</v>
          </cell>
        </row>
        <row r="38">
          <cell r="A38" t="str">
            <v>26059562</v>
          </cell>
          <cell r="B38" t="str">
            <v>ATENCIONES TARJETAS DE CREDITO</v>
          </cell>
        </row>
        <row r="39">
          <cell r="A39" t="str">
            <v>26059563</v>
          </cell>
          <cell r="B39" t="str">
            <v>OTRAS ATENCIONES</v>
          </cell>
        </row>
        <row r="40">
          <cell r="A40" t="str">
            <v>26059564</v>
          </cell>
          <cell r="B40" t="str">
            <v>ATENCIONES EN CLUBES</v>
          </cell>
        </row>
        <row r="41">
          <cell r="A41" t="str">
            <v>26059570</v>
          </cell>
          <cell r="B41" t="str">
            <v>GASTOS DE VIAJE</v>
          </cell>
        </row>
        <row r="42">
          <cell r="A42" t="str">
            <v>26059599</v>
          </cell>
          <cell r="B42" t="str">
            <v>OPEX PROYECTOS</v>
          </cell>
        </row>
        <row r="43">
          <cell r="A43" t="str">
            <v>2610</v>
          </cell>
          <cell r="B43" t="str">
            <v xml:space="preserve">PARA OBLIGACIONES LABORALES   </v>
          </cell>
        </row>
        <row r="44">
          <cell r="A44" t="str">
            <v>261005</v>
          </cell>
          <cell r="B44" t="str">
            <v>CESANTIAS</v>
          </cell>
        </row>
        <row r="45">
          <cell r="A45" t="str">
            <v>26100501</v>
          </cell>
          <cell r="B45" t="str">
            <v>PROVISION</v>
          </cell>
        </row>
        <row r="46">
          <cell r="A46" t="str">
            <v>26100502</v>
          </cell>
          <cell r="B46" t="str">
            <v>PAGOS PARCIALES</v>
          </cell>
        </row>
        <row r="47">
          <cell r="A47" t="str">
            <v>26100503</v>
          </cell>
          <cell r="B47" t="str">
            <v>PAGOS DEFINITIVOS</v>
          </cell>
        </row>
        <row r="48">
          <cell r="A48" t="str">
            <v>261010</v>
          </cell>
          <cell r="B48" t="str">
            <v>INTERESES SOBRE CESANTIAS</v>
          </cell>
        </row>
        <row r="49">
          <cell r="A49" t="str">
            <v>26101001</v>
          </cell>
          <cell r="B49" t="str">
            <v>PROVISION</v>
          </cell>
        </row>
        <row r="50">
          <cell r="A50" t="str">
            <v>26101002</v>
          </cell>
          <cell r="B50" t="str">
            <v>PAGOS</v>
          </cell>
        </row>
        <row r="51">
          <cell r="A51" t="str">
            <v>261015</v>
          </cell>
          <cell r="B51" t="str">
            <v>VACACIONES</v>
          </cell>
        </row>
        <row r="52">
          <cell r="A52" t="str">
            <v>26101501</v>
          </cell>
          <cell r="B52" t="str">
            <v>PROVISION</v>
          </cell>
        </row>
        <row r="53">
          <cell r="A53" t="str">
            <v>26101502</v>
          </cell>
          <cell r="B53" t="str">
            <v>PAGOS</v>
          </cell>
        </row>
        <row r="54">
          <cell r="A54" t="str">
            <v>261020</v>
          </cell>
          <cell r="B54" t="str">
            <v>PRIMA DE SERVICIOS</v>
          </cell>
        </row>
        <row r="55">
          <cell r="A55" t="str">
            <v>26102001</v>
          </cell>
          <cell r="B55" t="str">
            <v>PROVISION</v>
          </cell>
        </row>
        <row r="56">
          <cell r="A56" t="str">
            <v>26102002</v>
          </cell>
          <cell r="B56" t="str">
            <v>PAGOS</v>
          </cell>
        </row>
        <row r="57">
          <cell r="A57" t="str">
            <v>261025</v>
          </cell>
          <cell r="B57" t="str">
            <v>PRESTACIONES EXTRALEGALES</v>
          </cell>
        </row>
        <row r="58">
          <cell r="A58" t="str">
            <v>26102511</v>
          </cell>
          <cell r="B58" t="str">
            <v>PROVISION</v>
          </cell>
        </row>
        <row r="59">
          <cell r="A59" t="str">
            <v>26102512</v>
          </cell>
          <cell r="B59" t="str">
            <v>PAGOS</v>
          </cell>
        </row>
        <row r="60">
          <cell r="A60" t="str">
            <v>26102521</v>
          </cell>
          <cell r="B60" t="str">
            <v>PROVISION</v>
          </cell>
        </row>
        <row r="61">
          <cell r="A61" t="str">
            <v>26102522</v>
          </cell>
          <cell r="B61" t="str">
            <v>PAGOS</v>
          </cell>
        </row>
        <row r="62">
          <cell r="A62" t="str">
            <v>26102531</v>
          </cell>
          <cell r="B62" t="str">
            <v>PROVISION</v>
          </cell>
        </row>
        <row r="63">
          <cell r="A63" t="str">
            <v>26102532</v>
          </cell>
          <cell r="B63" t="str">
            <v>PAGOS</v>
          </cell>
        </row>
        <row r="64">
          <cell r="A64" t="str">
            <v>26102533</v>
          </cell>
          <cell r="B64" t="str">
            <v>PROVISIO COMPENSACION VARIABLE</v>
          </cell>
        </row>
        <row r="65">
          <cell r="A65" t="str">
            <v>26102541</v>
          </cell>
          <cell r="B65" t="str">
            <v>PROVISION</v>
          </cell>
        </row>
        <row r="66">
          <cell r="A66" t="str">
            <v>26102542</v>
          </cell>
          <cell r="B66" t="str">
            <v>PAGOS</v>
          </cell>
        </row>
        <row r="67">
          <cell r="A67" t="str">
            <v>261095</v>
          </cell>
          <cell r="B67" t="str">
            <v>OTRAS</v>
          </cell>
        </row>
        <row r="68">
          <cell r="A68" t="str">
            <v>26109501</v>
          </cell>
          <cell r="B68" t="str">
            <v>APORTES EPS</v>
          </cell>
        </row>
        <row r="69">
          <cell r="A69" t="str">
            <v>26109502</v>
          </cell>
          <cell r="B69" t="str">
            <v>APORTES PENSION</v>
          </cell>
        </row>
        <row r="70">
          <cell r="A70" t="str">
            <v>26109503</v>
          </cell>
          <cell r="B70" t="str">
            <v>APORTES SOLIDARIDAD Y LEY 797</v>
          </cell>
        </row>
        <row r="71">
          <cell r="A71" t="str">
            <v>26109504</v>
          </cell>
          <cell r="B71" t="str">
            <v>APORTES VOLUNTARIOS</v>
          </cell>
        </row>
        <row r="72">
          <cell r="A72" t="str">
            <v>26109505</v>
          </cell>
          <cell r="B72" t="str">
            <v>APORTES ARP</v>
          </cell>
        </row>
        <row r="73">
          <cell r="A73" t="str">
            <v>2615</v>
          </cell>
          <cell r="B73" t="str">
            <v xml:space="preserve">PARA OBLIGACIONES FISCALES    </v>
          </cell>
        </row>
        <row r="74">
          <cell r="A74" t="str">
            <v>261505</v>
          </cell>
          <cell r="B74" t="str">
            <v>DE RENTA Y COMPLEMENTARIOS</v>
          </cell>
        </row>
        <row r="75">
          <cell r="A75" t="str">
            <v>26150501</v>
          </cell>
          <cell r="B75" t="str">
            <v>PRESENTE AÑO</v>
          </cell>
        </row>
        <row r="76">
          <cell r="A76" t="str">
            <v>261510</v>
          </cell>
          <cell r="B76" t="str">
            <v>DE INDUSTRIA Y COMERCIO</v>
          </cell>
        </row>
        <row r="77">
          <cell r="A77" t="str">
            <v>26151001</v>
          </cell>
          <cell r="B77" t="str">
            <v>INDUSTRIA Y COMERCIO</v>
          </cell>
        </row>
        <row r="78">
          <cell r="A78" t="str">
            <v>26151095</v>
          </cell>
          <cell r="B78" t="str">
            <v>PAGOS INDUSTRIA Y COMERCIO</v>
          </cell>
        </row>
        <row r="79">
          <cell r="A79" t="str">
            <v>5</v>
          </cell>
          <cell r="B79" t="str">
            <v xml:space="preserve">GASTOS </v>
          </cell>
        </row>
        <row r="80">
          <cell r="A80" t="str">
            <v>51</v>
          </cell>
          <cell r="B80" t="str">
            <v>OPERAC DE ADMINISTRACION</v>
          </cell>
        </row>
        <row r="81">
          <cell r="A81" t="str">
            <v>5105</v>
          </cell>
          <cell r="B81" t="str">
            <v xml:space="preserve">GASTOS DEL PERSONAL           </v>
          </cell>
        </row>
        <row r="82">
          <cell r="A82" t="str">
            <v>510503</v>
          </cell>
          <cell r="B82" t="str">
            <v>SALARIO INTEGRAL</v>
          </cell>
        </row>
        <row r="83">
          <cell r="A83" t="str">
            <v>51050301</v>
          </cell>
          <cell r="B83" t="str">
            <v>SALARIO INTEGRAL</v>
          </cell>
        </row>
        <row r="84">
          <cell r="A84" t="str">
            <v>510506</v>
          </cell>
          <cell r="B84" t="str">
            <v>SUELDOS</v>
          </cell>
        </row>
        <row r="85">
          <cell r="A85" t="str">
            <v>51050601</v>
          </cell>
          <cell r="B85" t="str">
            <v>SUELDOS</v>
          </cell>
        </row>
        <row r="86">
          <cell r="A86" t="str">
            <v>51050602</v>
          </cell>
          <cell r="B86" t="str">
            <v>PROVISION SUELDOS</v>
          </cell>
        </row>
        <row r="87">
          <cell r="A87" t="str">
            <v>510512</v>
          </cell>
          <cell r="B87" t="str">
            <v>HORAS EXTRAS Y RECARGOS</v>
          </cell>
        </row>
        <row r="88">
          <cell r="A88" t="str">
            <v>51051201</v>
          </cell>
          <cell r="B88" t="str">
            <v>HORAS EXTRAS</v>
          </cell>
        </row>
        <row r="89">
          <cell r="A89" t="str">
            <v>51051202</v>
          </cell>
          <cell r="B89" t="str">
            <v>RECARGOS</v>
          </cell>
        </row>
        <row r="90">
          <cell r="A90" t="str">
            <v>510521</v>
          </cell>
          <cell r="B90" t="str">
            <v>INCAPACIDADES</v>
          </cell>
        </row>
        <row r="91">
          <cell r="A91" t="str">
            <v>51052100</v>
          </cell>
          <cell r="B91" t="str">
            <v>INCAPACIDADES</v>
          </cell>
        </row>
        <row r="92">
          <cell r="A92" t="str">
            <v>510524</v>
          </cell>
          <cell r="B92" t="str">
            <v>SUBSIDIO DE TRANSPORTE</v>
          </cell>
        </row>
        <row r="93">
          <cell r="A93" t="str">
            <v>51052400</v>
          </cell>
          <cell r="B93" t="str">
            <v>SUBSIDIO DE TRANSPORTE</v>
          </cell>
        </row>
        <row r="94">
          <cell r="A94" t="str">
            <v>510527</v>
          </cell>
          <cell r="B94" t="str">
            <v>CESANTIAS</v>
          </cell>
        </row>
        <row r="95">
          <cell r="A95" t="str">
            <v>51052700</v>
          </cell>
          <cell r="B95" t="str">
            <v>CESANTIAS</v>
          </cell>
        </row>
        <row r="96">
          <cell r="A96" t="str">
            <v>510530</v>
          </cell>
          <cell r="B96" t="str">
            <v>INTERESES SOBRE CESANTIAS</v>
          </cell>
        </row>
        <row r="97">
          <cell r="A97" t="str">
            <v>51053000</v>
          </cell>
          <cell r="B97" t="str">
            <v>INTERESES SOBRE CESANTIAS</v>
          </cell>
        </row>
        <row r="98">
          <cell r="A98" t="str">
            <v>510533</v>
          </cell>
          <cell r="B98" t="str">
            <v>PRIMA DE SERVICIOS</v>
          </cell>
        </row>
        <row r="99">
          <cell r="A99" t="str">
            <v>51053300</v>
          </cell>
          <cell r="B99" t="str">
            <v>PRIMA DE SERVICIOS</v>
          </cell>
        </row>
        <row r="100">
          <cell r="A100" t="str">
            <v>510536</v>
          </cell>
          <cell r="B100" t="str">
            <v>VACACIONES</v>
          </cell>
        </row>
        <row r="101">
          <cell r="A101" t="str">
            <v>51053600</v>
          </cell>
          <cell r="B101" t="str">
            <v>VACACIONES</v>
          </cell>
        </row>
        <row r="102">
          <cell r="A102" t="str">
            <v>510539</v>
          </cell>
          <cell r="B102" t="str">
            <v>PRIMA DE VACACIONES</v>
          </cell>
        </row>
        <row r="103">
          <cell r="A103" t="str">
            <v>51053901</v>
          </cell>
          <cell r="B103" t="str">
            <v>PRIMA DE VACACIONES</v>
          </cell>
        </row>
        <row r="104">
          <cell r="A104" t="str">
            <v>510542</v>
          </cell>
          <cell r="B104" t="str">
            <v>AUXILIOS A TRABAJADORES</v>
          </cell>
        </row>
        <row r="105">
          <cell r="A105" t="str">
            <v>51054201</v>
          </cell>
          <cell r="B105" t="str">
            <v>AUXILIO DE ALIMENTACION</v>
          </cell>
        </row>
        <row r="106">
          <cell r="A106" t="str">
            <v>51054202</v>
          </cell>
          <cell r="B106" t="str">
            <v>AUXILIO SODEXHO GASOLINA</v>
          </cell>
        </row>
        <row r="107">
          <cell r="A107" t="str">
            <v>51054203</v>
          </cell>
          <cell r="B107" t="str">
            <v>AUXILIO MEDICO</v>
          </cell>
        </row>
        <row r="108">
          <cell r="A108" t="str">
            <v>51054204</v>
          </cell>
          <cell r="B108" t="str">
            <v>AUXILIO DE TRASLADO</v>
          </cell>
        </row>
        <row r="109">
          <cell r="A109" t="str">
            <v>51054205</v>
          </cell>
          <cell r="B109" t="str">
            <v>AUXILIO FUNERARIO</v>
          </cell>
        </row>
        <row r="110">
          <cell r="A110" t="str">
            <v>51054206</v>
          </cell>
          <cell r="B110" t="str">
            <v>AUXILIO SODEXHO CANASTA</v>
          </cell>
        </row>
        <row r="111">
          <cell r="A111" t="str">
            <v>51054207</v>
          </cell>
          <cell r="B111" t="str">
            <v>AUXILIO OPTICO</v>
          </cell>
        </row>
        <row r="112">
          <cell r="A112" t="str">
            <v>510545</v>
          </cell>
          <cell r="B112" t="str">
            <v>BONIFICACIONES</v>
          </cell>
        </row>
        <row r="113">
          <cell r="A113" t="str">
            <v>51054501</v>
          </cell>
          <cell r="B113" t="str">
            <v>BONIFICACION ORDINARIA</v>
          </cell>
        </row>
        <row r="114">
          <cell r="A114" t="str">
            <v>51054502</v>
          </cell>
          <cell r="B114" t="str">
            <v>BONIFICACION POR QUINQUENIO</v>
          </cell>
        </row>
        <row r="115">
          <cell r="A115" t="str">
            <v>51054503</v>
          </cell>
          <cell r="B115" t="str">
            <v>BONIFICACION POR RETIRO</v>
          </cell>
        </row>
        <row r="116">
          <cell r="A116" t="str">
            <v>51054504</v>
          </cell>
          <cell r="B116" t="str">
            <v>COMPENSACION VARIABLE</v>
          </cell>
        </row>
        <row r="117">
          <cell r="A117" t="str">
            <v>51054505</v>
          </cell>
          <cell r="B117" t="str">
            <v>BONO FIN DE AÑO</v>
          </cell>
        </row>
        <row r="118">
          <cell r="A118" t="str">
            <v>51054506</v>
          </cell>
          <cell r="B118" t="str">
            <v>BONO EXTRAORDINARIO</v>
          </cell>
        </row>
        <row r="119">
          <cell r="A119" t="str">
            <v>51054507</v>
          </cell>
          <cell r="B119" t="str">
            <v>BONIFICACION NO SALARIAL</v>
          </cell>
        </row>
        <row r="120">
          <cell r="A120" t="str">
            <v>510548</v>
          </cell>
          <cell r="B120" t="str">
            <v>DOTACION Y SUMINISTRO A TRABAJ</v>
          </cell>
        </row>
        <row r="121">
          <cell r="A121" t="str">
            <v>51054801</v>
          </cell>
          <cell r="B121" t="str">
            <v>DOTACION LEGAL</v>
          </cell>
        </row>
        <row r="122">
          <cell r="A122" t="str">
            <v>51054802</v>
          </cell>
          <cell r="B122" t="str">
            <v>DOTACION EXTRALEGAL</v>
          </cell>
        </row>
        <row r="123">
          <cell r="A123" t="str">
            <v>510551</v>
          </cell>
          <cell r="B123" t="str">
            <v>SEGUROS</v>
          </cell>
        </row>
        <row r="124">
          <cell r="A124" t="str">
            <v>51055100</v>
          </cell>
          <cell r="B124" t="str">
            <v>SEGUROS</v>
          </cell>
        </row>
        <row r="125">
          <cell r="A125" t="str">
            <v>510554</v>
          </cell>
          <cell r="B125" t="str">
            <v>INDEMNIZACIONES LABORALES</v>
          </cell>
        </row>
        <row r="126">
          <cell r="A126" t="str">
            <v>51055400</v>
          </cell>
          <cell r="B126" t="str">
            <v>INDEMNIZACIONES LABORALES</v>
          </cell>
        </row>
        <row r="127">
          <cell r="A127" t="str">
            <v>510560</v>
          </cell>
          <cell r="B127" t="str">
            <v>CAPACITACION AL PERSONAL</v>
          </cell>
        </row>
        <row r="128">
          <cell r="A128" t="str">
            <v>51056001</v>
          </cell>
          <cell r="B128" t="str">
            <v>CAPACITACION ESPECIA Y DIPLOM</v>
          </cell>
        </row>
        <row r="129">
          <cell r="A129" t="str">
            <v>51056002</v>
          </cell>
          <cell r="B129" t="str">
            <v>CAPACITACION CURSOS BRECHAS</v>
          </cell>
        </row>
        <row r="130">
          <cell r="A130" t="str">
            <v>51056004</v>
          </cell>
          <cell r="B130" t="str">
            <v>CAPACITACION CURSOS BVC</v>
          </cell>
        </row>
        <row r="131">
          <cell r="A131" t="str">
            <v>51056005</v>
          </cell>
          <cell r="B131" t="str">
            <v>CAPACITACION DESARROLLO</v>
          </cell>
        </row>
        <row r="132">
          <cell r="A132" t="str">
            <v>510563</v>
          </cell>
          <cell r="B132" t="str">
            <v>GASTOS DEPORTIVOS Y DE RECREAC</v>
          </cell>
        </row>
        <row r="133">
          <cell r="A133" t="str">
            <v>51056301</v>
          </cell>
          <cell r="B133" t="str">
            <v>BIENESTAR DEPORTES</v>
          </cell>
        </row>
        <row r="134">
          <cell r="A134" t="str">
            <v>51056302</v>
          </cell>
          <cell r="B134" t="str">
            <v>BIENESTAR  EVENTOS</v>
          </cell>
        </row>
        <row r="135">
          <cell r="A135" t="str">
            <v>51056303</v>
          </cell>
          <cell r="B135" t="str">
            <v>BIENESTAR OBSEQUIOS Y DETALLES</v>
          </cell>
        </row>
        <row r="136">
          <cell r="A136" t="str">
            <v>510566</v>
          </cell>
          <cell r="B136" t="str">
            <v>APORTES POR SALUD</v>
          </cell>
        </row>
        <row r="137">
          <cell r="A137" t="str">
            <v>51056601</v>
          </cell>
          <cell r="B137" t="str">
            <v>EMPRESAS PROMOTORAS DE SALUD</v>
          </cell>
        </row>
        <row r="138">
          <cell r="A138" t="str">
            <v>51056602</v>
          </cell>
          <cell r="B138" t="str">
            <v>MEDICINA PREPAGADA</v>
          </cell>
        </row>
        <row r="139">
          <cell r="A139" t="str">
            <v>51056603</v>
          </cell>
          <cell r="B139" t="str">
            <v>APORTES ARP</v>
          </cell>
        </row>
        <row r="140">
          <cell r="A140" t="str">
            <v>510567</v>
          </cell>
          <cell r="B140" t="str">
            <v>APORTES POR PENSIONES</v>
          </cell>
        </row>
        <row r="141">
          <cell r="A141" t="str">
            <v>51056701</v>
          </cell>
          <cell r="B141" t="str">
            <v>FONDOS DE PENSIONES OBLIGAT</v>
          </cell>
        </row>
        <row r="142">
          <cell r="A142" t="str">
            <v>51056702</v>
          </cell>
          <cell r="B142" t="str">
            <v>FONDO PENSIONES VOLUNTARIAS</v>
          </cell>
        </row>
        <row r="143">
          <cell r="A143" t="str">
            <v>51056703</v>
          </cell>
          <cell r="B143" t="str">
            <v>AFC - AHORRO FOM.CONTRUCC.</v>
          </cell>
        </row>
        <row r="144">
          <cell r="A144" t="str">
            <v>510569</v>
          </cell>
          <cell r="B144" t="str">
            <v>APORTES CAJAS DE COMPENSACION</v>
          </cell>
        </row>
        <row r="145">
          <cell r="A145" t="str">
            <v>51056900</v>
          </cell>
          <cell r="B145" t="str">
            <v>APORTES CAJAS DE COMPENSACION</v>
          </cell>
        </row>
        <row r="146">
          <cell r="A146" t="str">
            <v>510572</v>
          </cell>
          <cell r="B146" t="str">
            <v>APORTES I.C.B.F.</v>
          </cell>
        </row>
        <row r="147">
          <cell r="A147" t="str">
            <v>51057200</v>
          </cell>
          <cell r="B147" t="str">
            <v>APORTES I.C.B.F.</v>
          </cell>
        </row>
        <row r="148">
          <cell r="A148" t="str">
            <v>510575</v>
          </cell>
          <cell r="B148" t="str">
            <v>APORTES AL SENA</v>
          </cell>
        </row>
        <row r="149">
          <cell r="A149" t="str">
            <v>51057500</v>
          </cell>
          <cell r="B149" t="str">
            <v>APORTES AL SENA</v>
          </cell>
        </row>
        <row r="150">
          <cell r="A150" t="str">
            <v>510595</v>
          </cell>
          <cell r="B150" t="str">
            <v>OTROS</v>
          </cell>
        </row>
        <row r="151">
          <cell r="A151" t="str">
            <v>51059501</v>
          </cell>
          <cell r="B151" t="str">
            <v>APORTES FONBOLSA</v>
          </cell>
        </row>
        <row r="152">
          <cell r="A152" t="str">
            <v>51059502</v>
          </cell>
          <cell r="B152" t="str">
            <v>CARNETIZACION EMPLEADOS</v>
          </cell>
        </row>
        <row r="153">
          <cell r="A153" t="str">
            <v>51059503</v>
          </cell>
          <cell r="B153" t="str">
            <v>SELECCION DE PERSONAL</v>
          </cell>
        </row>
        <row r="154">
          <cell r="A154" t="str">
            <v>51059504</v>
          </cell>
          <cell r="B154" t="str">
            <v>DESARROLLO</v>
          </cell>
        </row>
        <row r="155">
          <cell r="A155" t="str">
            <v>51059505</v>
          </cell>
          <cell r="B155" t="str">
            <v>MONETIZACION SENA</v>
          </cell>
        </row>
        <row r="156">
          <cell r="A156" t="str">
            <v>51059506</v>
          </cell>
          <cell r="B156" t="str">
            <v>CUOTA SOSTENIMIENTO APREN SENA</v>
          </cell>
        </row>
        <row r="157">
          <cell r="A157" t="str">
            <v>51059507</v>
          </cell>
          <cell r="B157" t="str">
            <v>CUOTA SOSTENIMIENTO PASANTES</v>
          </cell>
        </row>
        <row r="158">
          <cell r="A158" t="str">
            <v>51059508</v>
          </cell>
          <cell r="B158" t="str">
            <v>SALUD OCUPACIONAL</v>
          </cell>
        </row>
        <row r="159">
          <cell r="A159" t="str">
            <v>5110</v>
          </cell>
          <cell r="B159" t="str">
            <v xml:space="preserve">HONORARIOS                    </v>
          </cell>
        </row>
        <row r="160">
          <cell r="A160" t="str">
            <v>511005</v>
          </cell>
          <cell r="B160" t="str">
            <v>JUNTA DIRECTIVA</v>
          </cell>
        </row>
        <row r="161">
          <cell r="A161" t="str">
            <v>51100501</v>
          </cell>
          <cell r="B161" t="str">
            <v>CONSEJO DIRECTIVO</v>
          </cell>
        </row>
        <row r="162">
          <cell r="A162" t="str">
            <v>51100502</v>
          </cell>
          <cell r="B162" t="str">
            <v>CAMARA DE LA BOLSA</v>
          </cell>
        </row>
        <row r="163">
          <cell r="A163" t="str">
            <v>511010</v>
          </cell>
          <cell r="B163" t="str">
            <v>REVISORIA FISCAL</v>
          </cell>
        </row>
        <row r="164">
          <cell r="A164" t="str">
            <v>51101000</v>
          </cell>
          <cell r="B164" t="str">
            <v>REVISORIA FISCAL</v>
          </cell>
        </row>
        <row r="165">
          <cell r="A165" t="str">
            <v>511015</v>
          </cell>
          <cell r="B165" t="str">
            <v>AUDITORIA EXTERNA</v>
          </cell>
        </row>
        <row r="166">
          <cell r="A166" t="str">
            <v>51101500</v>
          </cell>
          <cell r="B166" t="str">
            <v>AUDITORIA EXTERNA</v>
          </cell>
        </row>
        <row r="167">
          <cell r="A167" t="str">
            <v>511025</v>
          </cell>
          <cell r="B167" t="str">
            <v>ASESORIA JURIDICA</v>
          </cell>
        </row>
        <row r="168">
          <cell r="A168" t="str">
            <v>51102500</v>
          </cell>
          <cell r="B168" t="str">
            <v>ASESORIA JURIDICA</v>
          </cell>
        </row>
        <row r="169">
          <cell r="A169" t="str">
            <v>51102501</v>
          </cell>
          <cell r="B169" t="str">
            <v>ASESORIA TRIBUTARIA</v>
          </cell>
        </row>
        <row r="170">
          <cell r="A170" t="str">
            <v>51102502</v>
          </cell>
          <cell r="B170" t="str">
            <v>ASESORIA LABORAL</v>
          </cell>
        </row>
        <row r="171">
          <cell r="A171" t="str">
            <v>51102504</v>
          </cell>
          <cell r="B171" t="str">
            <v>ASESORIA LEGAL</v>
          </cell>
        </row>
        <row r="172">
          <cell r="A172" t="str">
            <v>511035</v>
          </cell>
          <cell r="B172" t="str">
            <v>ASESORIA TECNICA</v>
          </cell>
        </row>
        <row r="173">
          <cell r="A173" t="str">
            <v>51103510</v>
          </cell>
          <cell r="B173" t="str">
            <v>ASESORIA DE SISTEMAS</v>
          </cell>
        </row>
        <row r="174">
          <cell r="A174" t="str">
            <v>51103530</v>
          </cell>
          <cell r="B174" t="str">
            <v>ASESORIA TECNOLOGICA</v>
          </cell>
        </row>
        <row r="175">
          <cell r="A175" t="str">
            <v>511095</v>
          </cell>
          <cell r="B175" t="str">
            <v>OTROS</v>
          </cell>
        </row>
        <row r="176">
          <cell r="A176" t="str">
            <v>51109502</v>
          </cell>
          <cell r="B176" t="str">
            <v>DOCENTES FORMACION BURSATIL</v>
          </cell>
        </row>
        <row r="177">
          <cell r="A177" t="str">
            <v>51109503</v>
          </cell>
          <cell r="B177" t="str">
            <v>ASESORIAS DESARROLLO DE PRODUC</v>
          </cell>
        </row>
        <row r="178">
          <cell r="A178" t="str">
            <v>51109504</v>
          </cell>
          <cell r="B178" t="str">
            <v>PROYECTOS</v>
          </cell>
        </row>
        <row r="179">
          <cell r="A179" t="str">
            <v>51109505</v>
          </cell>
          <cell r="B179" t="str">
            <v>COMITE DE REGULACION</v>
          </cell>
        </row>
        <row r="180">
          <cell r="A180" t="str">
            <v>51109506</v>
          </cell>
          <cell r="B180" t="str">
            <v>COMITE DE GOBIERNO CORPORATIVO</v>
          </cell>
        </row>
        <row r="181">
          <cell r="A181" t="str">
            <v>51109507</v>
          </cell>
          <cell r="B181" t="str">
            <v>COMITE AUDITORIA</v>
          </cell>
        </row>
        <row r="182">
          <cell r="A182" t="str">
            <v>51109508</v>
          </cell>
          <cell r="B182" t="str">
            <v>COMITE ADMINISTRATIVO Y FINANC</v>
          </cell>
        </row>
        <row r="183">
          <cell r="A183" t="str">
            <v>51109595</v>
          </cell>
          <cell r="B183" t="str">
            <v>OTROS</v>
          </cell>
        </row>
        <row r="184">
          <cell r="A184" t="str">
            <v>5115</v>
          </cell>
          <cell r="B184" t="str">
            <v xml:space="preserve">IMPUESTOS                     </v>
          </cell>
        </row>
        <row r="185">
          <cell r="A185" t="str">
            <v>511505</v>
          </cell>
          <cell r="B185" t="str">
            <v>INDUSTRIA Y COMERCIO</v>
          </cell>
        </row>
        <row r="186">
          <cell r="A186" t="str">
            <v>51150500</v>
          </cell>
          <cell r="B186" t="str">
            <v>INDUSTRIA Y COMERCIO</v>
          </cell>
        </row>
        <row r="187">
          <cell r="A187" t="str">
            <v>511510</v>
          </cell>
          <cell r="B187" t="str">
            <v>DE TIMBRES</v>
          </cell>
        </row>
        <row r="188">
          <cell r="A188" t="str">
            <v>51151000</v>
          </cell>
          <cell r="B188" t="str">
            <v>DE TIMBRES</v>
          </cell>
        </row>
        <row r="189">
          <cell r="A189" t="str">
            <v>511515</v>
          </cell>
          <cell r="B189" t="str">
            <v>A LA PROPIEDAD RAIZ</v>
          </cell>
        </row>
        <row r="190">
          <cell r="A190" t="str">
            <v>51151501</v>
          </cell>
          <cell r="B190" t="str">
            <v>PREDIAL</v>
          </cell>
        </row>
        <row r="191">
          <cell r="A191" t="str">
            <v>511530</v>
          </cell>
          <cell r="B191" t="str">
            <v>DE VEHICULOS</v>
          </cell>
        </row>
        <row r="192">
          <cell r="A192" t="str">
            <v>51153001</v>
          </cell>
          <cell r="B192" t="str">
            <v>VEHICULOS</v>
          </cell>
        </row>
        <row r="193">
          <cell r="A193" t="str">
            <v>511595</v>
          </cell>
          <cell r="B193" t="str">
            <v>OTROS</v>
          </cell>
        </row>
        <row r="194">
          <cell r="A194" t="str">
            <v>51159501</v>
          </cell>
          <cell r="B194" t="str">
            <v>ENTIDADES DEL ESTADO</v>
          </cell>
        </row>
        <row r="195">
          <cell r="A195" t="str">
            <v>51159502</v>
          </cell>
          <cell r="B195" t="str">
            <v>APROXIMACION MULTIPLOS DE MIL</v>
          </cell>
        </row>
        <row r="196">
          <cell r="A196" t="str">
            <v>51159503</v>
          </cell>
          <cell r="B196" t="str">
            <v>IMPUESTO A LAS TRANSACCIONES F</v>
          </cell>
        </row>
        <row r="197">
          <cell r="A197" t="str">
            <v>51159504</v>
          </cell>
          <cell r="B197" t="str">
            <v>IMPUESTO AL PATRIMONIO</v>
          </cell>
        </row>
        <row r="198">
          <cell r="A198" t="str">
            <v>5120</v>
          </cell>
          <cell r="B198" t="str">
            <v xml:space="preserve">ARRENDAMIENTOS                </v>
          </cell>
        </row>
        <row r="199">
          <cell r="A199" t="str">
            <v>512005</v>
          </cell>
          <cell r="B199" t="str">
            <v>EDIFICACIONES</v>
          </cell>
        </row>
        <row r="200">
          <cell r="A200" t="str">
            <v>51200500</v>
          </cell>
          <cell r="B200" t="str">
            <v>EDIFICACIONES</v>
          </cell>
        </row>
        <row r="201">
          <cell r="A201" t="str">
            <v>512010</v>
          </cell>
          <cell r="B201" t="str">
            <v>EQUIPO DE OFICINA</v>
          </cell>
        </row>
        <row r="202">
          <cell r="A202" t="str">
            <v>51201001</v>
          </cell>
          <cell r="B202" t="str">
            <v>EQUIPOS ELECTRONICOS</v>
          </cell>
        </row>
        <row r="203">
          <cell r="A203" t="str">
            <v>512015</v>
          </cell>
          <cell r="B203" t="str">
            <v>EQUIPO DE COMUNICACION Y COMPU</v>
          </cell>
        </row>
        <row r="204">
          <cell r="A204" t="str">
            <v>51201500</v>
          </cell>
          <cell r="B204" t="str">
            <v>EQUIPO DE COMUNICACION Y COMPU</v>
          </cell>
        </row>
        <row r="205">
          <cell r="A205" t="str">
            <v>512095</v>
          </cell>
          <cell r="B205" t="str">
            <v>OTROS</v>
          </cell>
        </row>
        <row r="206">
          <cell r="A206" t="str">
            <v>51209501</v>
          </cell>
          <cell r="B206" t="str">
            <v>ARRENDAMIENTO DE SOFWARE</v>
          </cell>
        </row>
        <row r="207">
          <cell r="A207" t="str">
            <v>51209502</v>
          </cell>
          <cell r="B207" t="str">
            <v>VEHICULOS</v>
          </cell>
        </row>
        <row r="208">
          <cell r="A208" t="str">
            <v>51209505</v>
          </cell>
          <cell r="B208" t="str">
            <v>PLANTA ELECTRICA (BANCO DE CAR</v>
          </cell>
        </row>
        <row r="209">
          <cell r="A209" t="str">
            <v>51209506</v>
          </cell>
          <cell r="B209" t="str">
            <v>DATACENTER ALTERNO</v>
          </cell>
        </row>
        <row r="210">
          <cell r="A210" t="str">
            <v>51209507</v>
          </cell>
          <cell r="B210" t="str">
            <v>OTROS</v>
          </cell>
        </row>
        <row r="211">
          <cell r="A211" t="str">
            <v>51209508</v>
          </cell>
          <cell r="B211" t="str">
            <v>STAND PARA EVENTOS</v>
          </cell>
        </row>
        <row r="212">
          <cell r="A212" t="str">
            <v>5125</v>
          </cell>
          <cell r="B212" t="str">
            <v xml:space="preserve">CONTRIBUCIONES Y AFILIACIONES </v>
          </cell>
        </row>
        <row r="213">
          <cell r="A213" t="str">
            <v>512505</v>
          </cell>
          <cell r="B213" t="str">
            <v>CONTRIBUCIONES</v>
          </cell>
        </row>
        <row r="214">
          <cell r="A214" t="str">
            <v>51250500</v>
          </cell>
          <cell r="B214" t="str">
            <v>CONTRIBUCIONES</v>
          </cell>
        </row>
        <row r="215">
          <cell r="A215" t="str">
            <v>512510</v>
          </cell>
          <cell r="B215" t="str">
            <v>AFILIACIONES</v>
          </cell>
        </row>
        <row r="216">
          <cell r="A216" t="str">
            <v>51251000</v>
          </cell>
          <cell r="B216" t="str">
            <v>AFILIACIONES</v>
          </cell>
        </row>
        <row r="217">
          <cell r="A217" t="str">
            <v>5130</v>
          </cell>
          <cell r="B217" t="str">
            <v xml:space="preserve">SEGUROS                       </v>
          </cell>
        </row>
        <row r="218">
          <cell r="A218" t="str">
            <v>513010</v>
          </cell>
          <cell r="B218" t="str">
            <v>CUMPLIMIENTO</v>
          </cell>
        </row>
        <row r="219">
          <cell r="A219" t="str">
            <v>51301001</v>
          </cell>
          <cell r="B219" t="str">
            <v>POLIZA DE MINCOMUNICACIONES</v>
          </cell>
        </row>
        <row r="220">
          <cell r="A220" t="str">
            <v>51301002</v>
          </cell>
          <cell r="B220" t="str">
            <v>WINSET</v>
          </cell>
        </row>
        <row r="221">
          <cell r="A221" t="str">
            <v>51301003</v>
          </cell>
          <cell r="B221" t="str">
            <v>POR CONTRATOS REALIZADOS</v>
          </cell>
        </row>
        <row r="222">
          <cell r="A222" t="str">
            <v>513095</v>
          </cell>
          <cell r="B222" t="str">
            <v>OTROS</v>
          </cell>
        </row>
        <row r="223">
          <cell r="A223" t="str">
            <v>51309503</v>
          </cell>
          <cell r="B223" t="str">
            <v>SEGURO DE VEHICULOS</v>
          </cell>
        </row>
        <row r="224">
          <cell r="A224" t="str">
            <v>51309505</v>
          </cell>
          <cell r="B224" t="str">
            <v>RIESGOS FINANCIEROS</v>
          </cell>
        </row>
        <row r="225">
          <cell r="A225" t="str">
            <v>51309506</v>
          </cell>
          <cell r="B225" t="str">
            <v>RESPONSABILIDAD CIVIL GASTOS A</v>
          </cell>
        </row>
        <row r="226">
          <cell r="A226" t="str">
            <v>51309507</v>
          </cell>
          <cell r="B226" t="str">
            <v>MULTIRIESGO</v>
          </cell>
        </row>
        <row r="227">
          <cell r="A227" t="str">
            <v>51309508</v>
          </cell>
          <cell r="B227" t="str">
            <v>TRANSPORTE</v>
          </cell>
        </row>
        <row r="228">
          <cell r="A228" t="str">
            <v>5135</v>
          </cell>
          <cell r="B228" t="str">
            <v xml:space="preserve">SERVICIOS                     </v>
          </cell>
        </row>
        <row r="229">
          <cell r="A229" t="str">
            <v>513505</v>
          </cell>
          <cell r="B229" t="str">
            <v>ASEO Y VIGILANCIA</v>
          </cell>
        </row>
        <row r="230">
          <cell r="A230" t="str">
            <v>51350500</v>
          </cell>
          <cell r="B230" t="str">
            <v>ADMINISTRACION CALI</v>
          </cell>
        </row>
        <row r="231">
          <cell r="A231" t="str">
            <v>51350501</v>
          </cell>
          <cell r="B231" t="str">
            <v>ASEO</v>
          </cell>
        </row>
        <row r="232">
          <cell r="A232" t="str">
            <v>51350502</v>
          </cell>
          <cell r="B232" t="str">
            <v>VIGILANCIA</v>
          </cell>
        </row>
        <row r="233">
          <cell r="A233" t="str">
            <v>51350503</v>
          </cell>
          <cell r="B233" t="str">
            <v>ACTUALIZACION BASES DE DATOS</v>
          </cell>
        </row>
        <row r="234">
          <cell r="A234" t="str">
            <v>513510</v>
          </cell>
          <cell r="B234" t="str">
            <v>TEMPORALES</v>
          </cell>
        </row>
        <row r="235">
          <cell r="A235" t="str">
            <v>51351001</v>
          </cell>
          <cell r="B235" t="str">
            <v>OFICINA</v>
          </cell>
        </row>
        <row r="236">
          <cell r="A236" t="str">
            <v>51351002</v>
          </cell>
          <cell r="B236" t="str">
            <v>MENSAJERIA</v>
          </cell>
        </row>
        <row r="237">
          <cell r="A237" t="str">
            <v>51351003</v>
          </cell>
          <cell r="B237" t="str">
            <v>ASEO Y CAFETERIA</v>
          </cell>
        </row>
        <row r="238">
          <cell r="A238" t="str">
            <v>513525</v>
          </cell>
          <cell r="B238" t="str">
            <v>ACUEDUCTO Y ALCANTARILLADO</v>
          </cell>
        </row>
        <row r="239">
          <cell r="A239" t="str">
            <v>51352500</v>
          </cell>
          <cell r="B239" t="str">
            <v>ACUEDUCTO Y ALCANTARILLADO</v>
          </cell>
        </row>
        <row r="240">
          <cell r="A240" t="str">
            <v>513530</v>
          </cell>
          <cell r="B240" t="str">
            <v>ENERGIA ELECTRICA</v>
          </cell>
        </row>
        <row r="241">
          <cell r="A241" t="str">
            <v>51353000</v>
          </cell>
          <cell r="B241" t="str">
            <v>ENERGIA ELECTRICA</v>
          </cell>
        </row>
        <row r="242">
          <cell r="A242" t="str">
            <v>513535</v>
          </cell>
          <cell r="B242" t="str">
            <v>TELEFONO</v>
          </cell>
        </row>
        <row r="243">
          <cell r="A243" t="str">
            <v>51353501</v>
          </cell>
          <cell r="B243" t="str">
            <v>TELEFONOS OFICINAS</v>
          </cell>
        </row>
        <row r="244">
          <cell r="A244" t="str">
            <v>51353503</v>
          </cell>
          <cell r="B244" t="str">
            <v>TARJETAS PREPAGO CELULAR</v>
          </cell>
        </row>
        <row r="245">
          <cell r="A245" t="str">
            <v>51353504</v>
          </cell>
          <cell r="B245" t="str">
            <v>TELEFONOS DISCADOS</v>
          </cell>
        </row>
        <row r="246">
          <cell r="A246" t="str">
            <v>51353505</v>
          </cell>
          <cell r="B246" t="str">
            <v>TARJETAS INTERNET</v>
          </cell>
        </row>
        <row r="247">
          <cell r="A247" t="str">
            <v>513540</v>
          </cell>
          <cell r="B247" t="str">
            <v>CORREO, PORTES Y TELEGRAMAS</v>
          </cell>
        </row>
        <row r="248">
          <cell r="A248" t="str">
            <v>51354000</v>
          </cell>
          <cell r="B248" t="str">
            <v>CORREO, PORTES Y TELEGRAMAS</v>
          </cell>
        </row>
        <row r="249">
          <cell r="A249" t="str">
            <v>513550</v>
          </cell>
          <cell r="B249" t="str">
            <v>TRANSPORTES, FLETES Y ACARREOS</v>
          </cell>
        </row>
        <row r="250">
          <cell r="A250" t="str">
            <v>51355000</v>
          </cell>
          <cell r="B250" t="str">
            <v>TRASPORTES FLETES Y ACARREOS</v>
          </cell>
        </row>
        <row r="251">
          <cell r="A251" t="str">
            <v>513555</v>
          </cell>
          <cell r="B251" t="str">
            <v>ADMINISTRACION INMUEBLES</v>
          </cell>
        </row>
        <row r="252">
          <cell r="A252" t="str">
            <v>51355500</v>
          </cell>
          <cell r="B252" t="str">
            <v>ADMINISTRACION INMUEBLES</v>
          </cell>
        </row>
        <row r="253">
          <cell r="A253" t="str">
            <v>513560</v>
          </cell>
          <cell r="B253" t="str">
            <v>SUSCRIPCIONES</v>
          </cell>
        </row>
        <row r="254">
          <cell r="A254" t="str">
            <v>51356001</v>
          </cell>
          <cell r="B254" t="str">
            <v>A PERIODICOS</v>
          </cell>
        </row>
        <row r="255">
          <cell r="A255" t="str">
            <v>51356002</v>
          </cell>
          <cell r="B255" t="str">
            <v>A REVISTAS</v>
          </cell>
        </row>
        <row r="256">
          <cell r="A256" t="str">
            <v>51356003</v>
          </cell>
          <cell r="B256" t="str">
            <v>A CODIGOS</v>
          </cell>
        </row>
        <row r="257">
          <cell r="A257" t="str">
            <v>51356004</v>
          </cell>
          <cell r="B257" t="str">
            <v>A PAGINAS DE INTERNET</v>
          </cell>
        </row>
        <row r="258">
          <cell r="A258" t="str">
            <v>51356005</v>
          </cell>
          <cell r="B258" t="str">
            <v>A TELEVISION SATELITAL</v>
          </cell>
        </row>
        <row r="259">
          <cell r="A259" t="str">
            <v>513595</v>
          </cell>
          <cell r="B259" t="str">
            <v>OTROS</v>
          </cell>
        </row>
        <row r="260">
          <cell r="A260" t="str">
            <v>51359501</v>
          </cell>
          <cell r="B260" t="str">
            <v>CUSTODIA Y ADMON DE TITULOS</v>
          </cell>
        </row>
        <row r="261">
          <cell r="A261" t="str">
            <v>51359502</v>
          </cell>
          <cell r="B261" t="str">
            <v>SERVICIOS ESP DE COMUNICACION</v>
          </cell>
        </row>
        <row r="262">
          <cell r="A262" t="str">
            <v>51359503</v>
          </cell>
          <cell r="B262" t="str">
            <v>SELECCION DE PERSONAL</v>
          </cell>
        </row>
        <row r="263">
          <cell r="A263" t="str">
            <v>51359504</v>
          </cell>
          <cell r="B263" t="str">
            <v>CONSULTA A LA CENTRAL DE INFOR</v>
          </cell>
        </row>
        <row r="264">
          <cell r="A264" t="str">
            <v>51359505</v>
          </cell>
          <cell r="B264" t="str">
            <v>SISTEMA MONITOR</v>
          </cell>
        </row>
        <row r="265">
          <cell r="A265" t="str">
            <v>51359506</v>
          </cell>
          <cell r="B265" t="str">
            <v>CUSTODIA Y CONSERVACION ARCHIV</v>
          </cell>
        </row>
        <row r="266">
          <cell r="A266" t="str">
            <v>51359507</v>
          </cell>
          <cell r="B266" t="str">
            <v>PAGINA WEB</v>
          </cell>
        </row>
        <row r="267">
          <cell r="A267" t="str">
            <v>51359508</v>
          </cell>
          <cell r="B267" t="str">
            <v>PLAN DE CONTINGENCIA</v>
          </cell>
        </row>
        <row r="268">
          <cell r="A268" t="str">
            <v>51359509</v>
          </cell>
          <cell r="B268" t="str">
            <v>OTROS SERVICIOS</v>
          </cell>
        </row>
        <row r="269">
          <cell r="A269" t="str">
            <v>51359510</v>
          </cell>
          <cell r="B269" t="str">
            <v>CLASIFICACION CORRESPONDENCIA</v>
          </cell>
        </row>
        <row r="270">
          <cell r="A270" t="str">
            <v>51359511</v>
          </cell>
          <cell r="B270" t="str">
            <v>APOYO OPERATIVO DIGITADORES</v>
          </cell>
        </row>
        <row r="271">
          <cell r="A271" t="str">
            <v>5136</v>
          </cell>
          <cell r="B271" t="str">
            <v xml:space="preserve">DIVULGACION Y PUBLICIDAD      </v>
          </cell>
        </row>
        <row r="272">
          <cell r="A272" t="str">
            <v>513605</v>
          </cell>
          <cell r="B272" t="str">
            <v>DIVULGACION</v>
          </cell>
        </row>
        <row r="273">
          <cell r="A273" t="str">
            <v>51360500</v>
          </cell>
          <cell r="B273" t="str">
            <v>DIVULGACION Y PUBLICIDAD</v>
          </cell>
        </row>
        <row r="274">
          <cell r="A274" t="str">
            <v>51360501</v>
          </cell>
          <cell r="B274" t="str">
            <v>AVISOS Y TRANSMISIONES</v>
          </cell>
        </row>
        <row r="275">
          <cell r="A275" t="str">
            <v>51360502</v>
          </cell>
          <cell r="B275" t="str">
            <v>MERCADEO</v>
          </cell>
        </row>
        <row r="276">
          <cell r="A276" t="str">
            <v>51360503</v>
          </cell>
          <cell r="B276" t="str">
            <v>COMUNICACION INTERNA</v>
          </cell>
        </row>
        <row r="277">
          <cell r="A277" t="str">
            <v>51360504</v>
          </cell>
          <cell r="B277" t="str">
            <v>CAPACITACION CLIENTES</v>
          </cell>
        </row>
        <row r="278">
          <cell r="A278" t="str">
            <v>51360505</v>
          </cell>
          <cell r="B278" t="str">
            <v>EVENTOS</v>
          </cell>
        </row>
        <row r="279">
          <cell r="A279" t="str">
            <v>51360509</v>
          </cell>
          <cell r="B279" t="str">
            <v>PATROCINIOS</v>
          </cell>
        </row>
        <row r="280">
          <cell r="A280" t="str">
            <v>513610</v>
          </cell>
          <cell r="B280" t="str">
            <v>PUBLICIDAD</v>
          </cell>
        </row>
        <row r="281">
          <cell r="A281" t="str">
            <v>51361001</v>
          </cell>
          <cell r="B281" t="str">
            <v>PROPAGANDA</v>
          </cell>
        </row>
        <row r="282">
          <cell r="A282" t="str">
            <v>51361002</v>
          </cell>
          <cell r="B282" t="str">
            <v>SEMINARIOS</v>
          </cell>
        </row>
        <row r="283">
          <cell r="A283" t="str">
            <v>51361003</v>
          </cell>
          <cell r="B283" t="str">
            <v>MARTILLOS-DEMOCRATIZ Y SUBAST</v>
          </cell>
        </row>
        <row r="284">
          <cell r="A284" t="str">
            <v>51361004</v>
          </cell>
          <cell r="B284" t="str">
            <v>CONCURSO BOLSA MILLONARIA</v>
          </cell>
        </row>
        <row r="285">
          <cell r="A285" t="str">
            <v>51361005</v>
          </cell>
          <cell r="B285" t="str">
            <v>FOTOGRAFIAS</v>
          </cell>
        </row>
        <row r="286">
          <cell r="A286" t="str">
            <v>51361006</v>
          </cell>
          <cell r="B286" t="str">
            <v>CONCURSO PORTAFOLIO</v>
          </cell>
        </row>
        <row r="287">
          <cell r="A287" t="str">
            <v>51361007</v>
          </cell>
          <cell r="B287" t="str">
            <v>CONCURSO JUGADA MAESTRA</v>
          </cell>
        </row>
        <row r="288">
          <cell r="A288" t="str">
            <v>51361008</v>
          </cell>
          <cell r="B288" t="str">
            <v>CONGRESOS</v>
          </cell>
        </row>
        <row r="289">
          <cell r="A289" t="str">
            <v>51361009</v>
          </cell>
          <cell r="B289" t="str">
            <v>PATROCINIOS</v>
          </cell>
        </row>
        <row r="290">
          <cell r="A290" t="str">
            <v>5137</v>
          </cell>
          <cell r="B290" t="str">
            <v xml:space="preserve">RELACIONES PUBLICAS           </v>
          </cell>
        </row>
        <row r="291">
          <cell r="A291" t="str">
            <v>513705</v>
          </cell>
          <cell r="B291" t="str">
            <v>RELACIONES PUBLICAS</v>
          </cell>
        </row>
        <row r="292">
          <cell r="A292" t="str">
            <v>51370502</v>
          </cell>
          <cell r="B292" t="str">
            <v>ATENCIONES EN CLUBES</v>
          </cell>
        </row>
        <row r="293">
          <cell r="A293" t="str">
            <v>51370503</v>
          </cell>
          <cell r="B293" t="str">
            <v>ATENCIONES CON TARJETA CREDITO</v>
          </cell>
        </row>
        <row r="294">
          <cell r="A294" t="str">
            <v>51370504</v>
          </cell>
          <cell r="B294" t="str">
            <v>ATENCION CONSEJO DIRECTIVO</v>
          </cell>
        </row>
        <row r="295">
          <cell r="A295" t="str">
            <v>51370505</v>
          </cell>
          <cell r="B295" t="str">
            <v>ATENCIONES COMISIONISTAS</v>
          </cell>
        </row>
        <row r="296">
          <cell r="A296" t="str">
            <v>51370506</v>
          </cell>
          <cell r="B296" t="str">
            <v>OTRAS ATENCIONES</v>
          </cell>
        </row>
        <row r="297">
          <cell r="A297" t="str">
            <v>51370507</v>
          </cell>
          <cell r="B297" t="str">
            <v>CUOTAS DE SOSTENIMIENTO CLUBES</v>
          </cell>
        </row>
        <row r="298">
          <cell r="A298" t="str">
            <v>51370508</v>
          </cell>
          <cell r="B298" t="str">
            <v>ATENCIONES FIN DE AÑO</v>
          </cell>
        </row>
        <row r="299">
          <cell r="A299" t="str">
            <v>51370509</v>
          </cell>
          <cell r="B299" t="str">
            <v>EVENTOS</v>
          </cell>
        </row>
        <row r="300">
          <cell r="A300" t="str">
            <v>5138</v>
          </cell>
          <cell r="B300" t="str">
            <v>UTILES, PAPELERIA Y FOTOCOPIAS</v>
          </cell>
        </row>
        <row r="301">
          <cell r="A301" t="str">
            <v>513805</v>
          </cell>
          <cell r="B301" t="str">
            <v>UTILES</v>
          </cell>
        </row>
        <row r="302">
          <cell r="A302" t="str">
            <v>51380500</v>
          </cell>
          <cell r="B302" t="str">
            <v>UTILES</v>
          </cell>
        </row>
        <row r="303">
          <cell r="A303" t="str">
            <v>51380501</v>
          </cell>
          <cell r="B303" t="str">
            <v>UTILES</v>
          </cell>
        </row>
        <row r="304">
          <cell r="A304" t="str">
            <v>51380502</v>
          </cell>
          <cell r="B304" t="str">
            <v>INSUMOS IMPRESORAS</v>
          </cell>
        </row>
        <row r="305">
          <cell r="A305" t="str">
            <v>513810</v>
          </cell>
          <cell r="B305" t="str">
            <v>PAPELERIA</v>
          </cell>
        </row>
        <row r="306">
          <cell r="A306" t="str">
            <v>51381000</v>
          </cell>
          <cell r="B306" t="str">
            <v>PAPELERIA</v>
          </cell>
        </row>
        <row r="307">
          <cell r="A307" t="str">
            <v>51381001</v>
          </cell>
          <cell r="B307" t="str">
            <v>PAPELERIA</v>
          </cell>
        </row>
        <row r="308">
          <cell r="A308" t="str">
            <v>51381002</v>
          </cell>
          <cell r="B308" t="str">
            <v>TARJETAS DE PRESENTACION</v>
          </cell>
        </row>
        <row r="309">
          <cell r="A309" t="str">
            <v>513815</v>
          </cell>
          <cell r="B309" t="str">
            <v>FOTOCOPIAS</v>
          </cell>
        </row>
        <row r="310">
          <cell r="A310" t="str">
            <v>51381500</v>
          </cell>
          <cell r="B310" t="str">
            <v>FOTOCOPIAS</v>
          </cell>
        </row>
        <row r="311">
          <cell r="A311" t="str">
            <v>51381501</v>
          </cell>
          <cell r="B311" t="str">
            <v>FOTOCOPIAS</v>
          </cell>
        </row>
        <row r="312">
          <cell r="A312" t="str">
            <v>51381502</v>
          </cell>
          <cell r="B312" t="str">
            <v>ANILLADOS</v>
          </cell>
        </row>
        <row r="313">
          <cell r="A313" t="str">
            <v>51381503</v>
          </cell>
          <cell r="B313" t="str">
            <v>SCANNER</v>
          </cell>
        </row>
        <row r="314">
          <cell r="A314" t="str">
            <v>5140</v>
          </cell>
          <cell r="B314" t="str">
            <v xml:space="preserve">ASAMBLEAS Y SIMPOSIOS         </v>
          </cell>
        </row>
        <row r="315">
          <cell r="A315" t="str">
            <v>514005</v>
          </cell>
          <cell r="B315" t="str">
            <v>ASAMBLEAS Y SIMPOSIOS</v>
          </cell>
        </row>
        <row r="316">
          <cell r="A316" t="str">
            <v>51400501</v>
          </cell>
          <cell r="B316" t="str">
            <v>GASTOS POR ASAMBLEA</v>
          </cell>
        </row>
        <row r="317">
          <cell r="A317" t="str">
            <v>5141</v>
          </cell>
          <cell r="B317" t="str">
            <v xml:space="preserve">GASTOS LEGALES                </v>
          </cell>
        </row>
        <row r="318">
          <cell r="A318" t="str">
            <v>514105</v>
          </cell>
          <cell r="B318" t="str">
            <v>NOTARIALES</v>
          </cell>
        </row>
        <row r="319">
          <cell r="A319" t="str">
            <v>51410500</v>
          </cell>
          <cell r="B319" t="str">
            <v>REGISTRO MERCANTIL</v>
          </cell>
        </row>
        <row r="320">
          <cell r="A320" t="str">
            <v>514110</v>
          </cell>
          <cell r="B320" t="str">
            <v>REGISTRO MERCANTIL</v>
          </cell>
        </row>
        <row r="321">
          <cell r="A321" t="str">
            <v>51411000</v>
          </cell>
          <cell r="B321" t="str">
            <v>REGISTRO MERCANTIL</v>
          </cell>
        </row>
        <row r="322">
          <cell r="A322" t="str">
            <v>514115</v>
          </cell>
          <cell r="B322" t="str">
            <v>TRAMITES Y  LICENCIAS</v>
          </cell>
        </row>
        <row r="323">
          <cell r="A323" t="str">
            <v>51411500</v>
          </cell>
          <cell r="B323" t="str">
            <v>TRAMITES Y LICENCIAS</v>
          </cell>
        </row>
        <row r="324">
          <cell r="A324" t="str">
            <v>514195</v>
          </cell>
          <cell r="B324" t="str">
            <v>OTROS</v>
          </cell>
        </row>
        <row r="325">
          <cell r="A325" t="str">
            <v>51419500</v>
          </cell>
          <cell r="B325" t="str">
            <v>OTROS</v>
          </cell>
        </row>
        <row r="326">
          <cell r="A326" t="str">
            <v>5145</v>
          </cell>
          <cell r="B326" t="str">
            <v xml:space="preserve">MANTENIMIENTO Y REPARACIONES  </v>
          </cell>
        </row>
        <row r="327">
          <cell r="A327" t="str">
            <v>514512</v>
          </cell>
          <cell r="B327" t="str">
            <v>EDIFICACIONES</v>
          </cell>
        </row>
        <row r="328">
          <cell r="A328" t="str">
            <v>51451200</v>
          </cell>
          <cell r="B328" t="str">
            <v>EDIFICACIONES</v>
          </cell>
        </row>
        <row r="329">
          <cell r="A329" t="str">
            <v>514516</v>
          </cell>
          <cell r="B329" t="str">
            <v>EQUIPOS DE OFICINA</v>
          </cell>
        </row>
        <row r="330">
          <cell r="A330" t="str">
            <v>51451601</v>
          </cell>
          <cell r="B330" t="str">
            <v>EQUIPOS DE ASEO</v>
          </cell>
        </row>
        <row r="331">
          <cell r="A331" t="str">
            <v>51451602</v>
          </cell>
          <cell r="B331" t="str">
            <v>RECARGA EXTINTORES</v>
          </cell>
        </row>
        <row r="332">
          <cell r="A332" t="str">
            <v>51451603</v>
          </cell>
          <cell r="B332" t="str">
            <v>RELOJ MARCADOR</v>
          </cell>
        </row>
        <row r="333">
          <cell r="A333" t="str">
            <v>51451604</v>
          </cell>
          <cell r="B333" t="str">
            <v>FOTOCOPIADORAS</v>
          </cell>
        </row>
        <row r="334">
          <cell r="A334" t="str">
            <v>51451606</v>
          </cell>
          <cell r="B334" t="str">
            <v>MUEBLES</v>
          </cell>
        </row>
        <row r="335">
          <cell r="A335" t="str">
            <v>51451607</v>
          </cell>
          <cell r="B335" t="str">
            <v>VIDEO BEAM</v>
          </cell>
        </row>
        <row r="336">
          <cell r="A336" t="str">
            <v>51451613</v>
          </cell>
          <cell r="B336" t="str">
            <v>CONMUTADOR</v>
          </cell>
        </row>
        <row r="337">
          <cell r="A337" t="str">
            <v>51451615</v>
          </cell>
          <cell r="B337" t="str">
            <v>PISO FALSO</v>
          </cell>
        </row>
        <row r="338">
          <cell r="A338" t="str">
            <v>51451616</v>
          </cell>
          <cell r="B338" t="str">
            <v>AMBIENTAL MAQUINAS</v>
          </cell>
        </row>
        <row r="339">
          <cell r="A339" t="str">
            <v>51451622</v>
          </cell>
          <cell r="B339" t="str">
            <v>LECTORES PISOS</v>
          </cell>
        </row>
        <row r="340">
          <cell r="A340" t="str">
            <v>51451630</v>
          </cell>
          <cell r="B340" t="str">
            <v>OTROS EQUIPOS</v>
          </cell>
        </row>
        <row r="341">
          <cell r="A341" t="str">
            <v>514520</v>
          </cell>
          <cell r="B341" t="str">
            <v>EQUIPO DE COMPUTACION Y COMUNI</v>
          </cell>
        </row>
        <row r="342">
          <cell r="A342" t="str">
            <v>51452003</v>
          </cell>
          <cell r="B342" t="str">
            <v>U.P.S. MANTENIMIENTO</v>
          </cell>
        </row>
        <row r="343">
          <cell r="A343" t="str">
            <v>51452004</v>
          </cell>
          <cell r="B343" t="str">
            <v>MICROCOMPUTADORES E IMPRESORAS</v>
          </cell>
        </row>
        <row r="344">
          <cell r="A344" t="str">
            <v>51452005</v>
          </cell>
          <cell r="B344" t="str">
            <v>SOFTWARE REPLICADOR CONTINGENC</v>
          </cell>
        </row>
        <row r="345">
          <cell r="A345" t="str">
            <v>51452007</v>
          </cell>
          <cell r="B345" t="str">
            <v>PLANTA ELECTRICA</v>
          </cell>
        </row>
        <row r="346">
          <cell r="A346" t="str">
            <v>51452009</v>
          </cell>
          <cell r="B346" t="str">
            <v>AIRE ACONDICIONADO</v>
          </cell>
        </row>
        <row r="347">
          <cell r="A347" t="str">
            <v>51452013</v>
          </cell>
          <cell r="B347" t="str">
            <v>EQUIPOS TANDEM Y SUN</v>
          </cell>
        </row>
        <row r="348">
          <cell r="A348" t="str">
            <v>51452014</v>
          </cell>
          <cell r="B348" t="str">
            <v>APLICACIONES DE SISTEMAS</v>
          </cell>
        </row>
        <row r="349">
          <cell r="A349" t="str">
            <v>51452020</v>
          </cell>
          <cell r="B349" t="str">
            <v>EQUIPOS DE COMUNICACION</v>
          </cell>
        </row>
        <row r="350">
          <cell r="A350" t="str">
            <v>51452021</v>
          </cell>
          <cell r="B350" t="str">
            <v>BASES DE DATOS</v>
          </cell>
        </row>
        <row r="351">
          <cell r="A351" t="str">
            <v>514524</v>
          </cell>
          <cell r="B351" t="str">
            <v>EQUIPO DE TRANSPORTE</v>
          </cell>
        </row>
        <row r="352">
          <cell r="A352" t="str">
            <v>51452400</v>
          </cell>
          <cell r="B352" t="str">
            <v>EQUIPO DE TRANSPORTE</v>
          </cell>
        </row>
        <row r="353">
          <cell r="A353" t="str">
            <v>5150</v>
          </cell>
          <cell r="B353" t="str">
            <v xml:space="preserve">ADECUACION E INSTALACION      </v>
          </cell>
        </row>
        <row r="354">
          <cell r="A354" t="str">
            <v>515005</v>
          </cell>
          <cell r="B354" t="str">
            <v>INSTALACIONES ELECTRICAS</v>
          </cell>
        </row>
        <row r="355">
          <cell r="A355" t="str">
            <v>51500501</v>
          </cell>
          <cell r="B355" t="str">
            <v>ADECUACIONES E INSTALACIONES</v>
          </cell>
        </row>
        <row r="356">
          <cell r="A356" t="str">
            <v>515010</v>
          </cell>
          <cell r="B356" t="str">
            <v>ARREGLOS ORNAMENTALES</v>
          </cell>
        </row>
        <row r="357">
          <cell r="A357" t="str">
            <v>51501000</v>
          </cell>
          <cell r="B357" t="str">
            <v>ARREGLOS ORNAMENTALES</v>
          </cell>
        </row>
        <row r="358">
          <cell r="A358" t="str">
            <v>515015</v>
          </cell>
          <cell r="B358" t="str">
            <v>REPARACIONES LOCATIVAS</v>
          </cell>
        </row>
        <row r="359">
          <cell r="A359" t="str">
            <v>51501500</v>
          </cell>
          <cell r="B359" t="str">
            <v>REPARACIONES LOCATIVAS</v>
          </cell>
        </row>
        <row r="360">
          <cell r="A360" t="str">
            <v>51501501</v>
          </cell>
          <cell r="B360" t="str">
            <v>REPARACIONES LOCATIVAS</v>
          </cell>
        </row>
        <row r="361">
          <cell r="A361" t="str">
            <v>515095</v>
          </cell>
          <cell r="B361" t="str">
            <v>OTROS</v>
          </cell>
        </row>
        <row r="362">
          <cell r="A362" t="str">
            <v>51509500</v>
          </cell>
          <cell r="B362" t="str">
            <v>OTROS</v>
          </cell>
        </row>
        <row r="363">
          <cell r="A363" t="str">
            <v>5155</v>
          </cell>
          <cell r="B363" t="str">
            <v xml:space="preserve">GASTOS DE VIAJE               </v>
          </cell>
        </row>
        <row r="364">
          <cell r="A364" t="str">
            <v>515505</v>
          </cell>
          <cell r="B364" t="str">
            <v>ALOJAMIENTO Y MANUTENCION</v>
          </cell>
        </row>
        <row r="365">
          <cell r="A365" t="str">
            <v>51550501</v>
          </cell>
          <cell r="B365" t="str">
            <v>ALOJAMIENTO</v>
          </cell>
        </row>
        <row r="366">
          <cell r="A366" t="str">
            <v>51550502</v>
          </cell>
          <cell r="B366" t="str">
            <v>ALIMENTACION Y REFRIGERIOS</v>
          </cell>
        </row>
        <row r="367">
          <cell r="A367" t="str">
            <v>51550503</v>
          </cell>
          <cell r="B367" t="str">
            <v>OTROS</v>
          </cell>
        </row>
        <row r="368">
          <cell r="A368" t="str">
            <v>515515</v>
          </cell>
          <cell r="B368" t="str">
            <v>PASAJES AEREOS</v>
          </cell>
        </row>
        <row r="369">
          <cell r="A369" t="str">
            <v>51551501</v>
          </cell>
          <cell r="B369" t="str">
            <v>FUNCIONARIOS BOLSA</v>
          </cell>
        </row>
        <row r="370">
          <cell r="A370" t="str">
            <v>51551502</v>
          </cell>
          <cell r="B370" t="str">
            <v>CONSEJO DIRECTIVO</v>
          </cell>
        </row>
        <row r="371">
          <cell r="A371" t="str">
            <v>51551503</v>
          </cell>
          <cell r="B371" t="str">
            <v>OTROS</v>
          </cell>
        </row>
        <row r="372">
          <cell r="A372" t="str">
            <v>515525</v>
          </cell>
          <cell r="B372" t="str">
            <v>MOVILIZACIONES</v>
          </cell>
        </row>
        <row r="373">
          <cell r="A373" t="str">
            <v>51552501</v>
          </cell>
          <cell r="B373" t="str">
            <v>FUNCIONARIOS BOLSA</v>
          </cell>
        </row>
        <row r="374">
          <cell r="A374" t="str">
            <v>51552502</v>
          </cell>
          <cell r="B374" t="str">
            <v>OTROS</v>
          </cell>
        </row>
        <row r="375">
          <cell r="A375" t="str">
            <v>515555</v>
          </cell>
          <cell r="B375" t="str">
            <v>OTROS</v>
          </cell>
        </row>
        <row r="376">
          <cell r="A376" t="str">
            <v>51555501</v>
          </cell>
          <cell r="B376" t="str">
            <v>OTROS</v>
          </cell>
        </row>
        <row r="377">
          <cell r="A377" t="str">
            <v>515595</v>
          </cell>
          <cell r="B377" t="str">
            <v>OTROS</v>
          </cell>
        </row>
        <row r="378">
          <cell r="A378" t="str">
            <v>51559501</v>
          </cell>
          <cell r="B378" t="str">
            <v>FUNCIONARIOS BOLSA</v>
          </cell>
        </row>
        <row r="379">
          <cell r="A379" t="str">
            <v>51559510</v>
          </cell>
          <cell r="B379" t="str">
            <v>OTROS GASTOS DE VIAJE</v>
          </cell>
        </row>
        <row r="380">
          <cell r="A380" t="str">
            <v>51559520</v>
          </cell>
          <cell r="B380" t="str">
            <v>TRAMITES LEGALES</v>
          </cell>
        </row>
        <row r="381">
          <cell r="A381" t="str">
            <v>51559530</v>
          </cell>
          <cell r="B381" t="str">
            <v>VIATICOS DE MIEMBROS CONSEJO</v>
          </cell>
        </row>
        <row r="382">
          <cell r="A382" t="str">
            <v>5160</v>
          </cell>
          <cell r="B382" t="str">
            <v xml:space="preserve">DEPRECIACIONES                </v>
          </cell>
        </row>
        <row r="383">
          <cell r="A383" t="str">
            <v>516012</v>
          </cell>
          <cell r="B383" t="str">
            <v>EDIFICACIONES</v>
          </cell>
        </row>
        <row r="384">
          <cell r="A384" t="str">
            <v>51601201</v>
          </cell>
          <cell r="B384" t="str">
            <v>EDIFICACION CALLE 72 CON CRA 7</v>
          </cell>
        </row>
        <row r="385">
          <cell r="A385" t="str">
            <v>516016</v>
          </cell>
          <cell r="B385" t="str">
            <v>EQUIPO DE OFICINA</v>
          </cell>
        </row>
        <row r="386">
          <cell r="A386" t="str">
            <v>51601601</v>
          </cell>
          <cell r="B386" t="str">
            <v>MUEBLES Y ENSERES</v>
          </cell>
        </row>
        <row r="387">
          <cell r="A387" t="str">
            <v>51601602</v>
          </cell>
          <cell r="B387" t="str">
            <v>EQUIPO ELECTRONICO</v>
          </cell>
        </row>
        <row r="388">
          <cell r="A388" t="str">
            <v>51601603</v>
          </cell>
          <cell r="B388" t="str">
            <v>PANTALLAS DE PLASMA</v>
          </cell>
        </row>
        <row r="389">
          <cell r="A389" t="str">
            <v>516020</v>
          </cell>
          <cell r="B389" t="str">
            <v>EQUIPO DE COMPUTACION Y COMUNI</v>
          </cell>
        </row>
        <row r="390">
          <cell r="A390" t="str">
            <v>51602002</v>
          </cell>
          <cell r="B390" t="str">
            <v>MICROCOMPUTADORES</v>
          </cell>
        </row>
        <row r="391">
          <cell r="A391" t="str">
            <v>51602003</v>
          </cell>
          <cell r="B391" t="str">
            <v>SERVIDORES</v>
          </cell>
        </row>
        <row r="392">
          <cell r="A392" t="str">
            <v>51602004</v>
          </cell>
          <cell r="B392" t="str">
            <v>EQUIPO DE COMUNICACIONES</v>
          </cell>
        </row>
        <row r="393">
          <cell r="A393" t="str">
            <v>51602005</v>
          </cell>
          <cell r="B393" t="str">
            <v>PLANTA ELECTRICA</v>
          </cell>
        </row>
        <row r="394">
          <cell r="A394" t="str">
            <v>51602006</v>
          </cell>
          <cell r="B394" t="str">
            <v>U.P.S.</v>
          </cell>
        </row>
        <row r="395">
          <cell r="A395" t="str">
            <v>51602007</v>
          </cell>
          <cell r="B395" t="str">
            <v>COMPUTADOR TANDEM</v>
          </cell>
        </row>
        <row r="396">
          <cell r="A396" t="str">
            <v>51602012</v>
          </cell>
          <cell r="B396" t="str">
            <v>BACK OFFICCE</v>
          </cell>
        </row>
        <row r="397">
          <cell r="A397" t="str">
            <v>516024</v>
          </cell>
          <cell r="B397" t="str">
            <v>EQUIPO DE TRANSPORTE</v>
          </cell>
        </row>
        <row r="398">
          <cell r="A398" t="str">
            <v>51602401</v>
          </cell>
          <cell r="B398" t="str">
            <v>VEHICULOS</v>
          </cell>
        </row>
        <row r="399">
          <cell r="A399" t="str">
            <v>5165</v>
          </cell>
          <cell r="B399" t="str">
            <v xml:space="preserve">AMORTIZACIONES                </v>
          </cell>
        </row>
        <row r="400">
          <cell r="A400" t="str">
            <v>516505</v>
          </cell>
          <cell r="B400" t="str">
            <v>ACTIVOS INTANGIBLES</v>
          </cell>
        </row>
        <row r="401">
          <cell r="A401" t="str">
            <v>51650501</v>
          </cell>
          <cell r="B401" t="str">
            <v>NOMBRE MEDELLIN</v>
          </cell>
        </row>
        <row r="402">
          <cell r="A402" t="str">
            <v>51650502</v>
          </cell>
          <cell r="B402" t="str">
            <v>NOMBRE BOGOTA</v>
          </cell>
        </row>
        <row r="403">
          <cell r="A403" t="str">
            <v>516520</v>
          </cell>
          <cell r="B403" t="str">
            <v>ESTUDIOS INVESTIGACIONES Y PRO</v>
          </cell>
        </row>
        <row r="404">
          <cell r="A404" t="str">
            <v>51652001</v>
          </cell>
          <cell r="B404" t="str">
            <v>HONORARIOS</v>
          </cell>
        </row>
        <row r="405">
          <cell r="A405" t="str">
            <v>51652002</v>
          </cell>
          <cell r="B405" t="str">
            <v>IMPUESTOS</v>
          </cell>
        </row>
        <row r="406">
          <cell r="A406" t="str">
            <v>51652003</v>
          </cell>
          <cell r="B406" t="str">
            <v>ARRENDAMIENTOS</v>
          </cell>
        </row>
        <row r="407">
          <cell r="A407" t="str">
            <v>51652004</v>
          </cell>
          <cell r="B407" t="str">
            <v>SERVICIOS TEMPORALES OFICINA</v>
          </cell>
        </row>
        <row r="408">
          <cell r="A408" t="str">
            <v>51652005</v>
          </cell>
          <cell r="B408" t="str">
            <v>SERVICIOS GENERALES</v>
          </cell>
        </row>
        <row r="409">
          <cell r="A409" t="str">
            <v>51652006</v>
          </cell>
          <cell r="B409" t="str">
            <v>DIVULGACION Y PUBLICIDAD</v>
          </cell>
        </row>
        <row r="410">
          <cell r="A410" t="str">
            <v>51652007</v>
          </cell>
          <cell r="B410" t="str">
            <v>RELACIONES PUBLICAS</v>
          </cell>
        </row>
        <row r="411">
          <cell r="A411" t="str">
            <v>51652008</v>
          </cell>
          <cell r="B411" t="str">
            <v>PAPELERIA</v>
          </cell>
        </row>
        <row r="412">
          <cell r="A412" t="str">
            <v>51652009</v>
          </cell>
          <cell r="B412" t="str">
            <v>GASTOS DE VIAJE</v>
          </cell>
        </row>
        <row r="413">
          <cell r="A413" t="str">
            <v>51652010</v>
          </cell>
          <cell r="B413" t="str">
            <v>OTROS GASTOS</v>
          </cell>
        </row>
        <row r="414">
          <cell r="A414" t="str">
            <v>51652011</v>
          </cell>
          <cell r="B414" t="str">
            <v>CAPACITACION</v>
          </cell>
        </row>
        <row r="415">
          <cell r="A415" t="str">
            <v>51652012</v>
          </cell>
          <cell r="B415" t="str">
            <v>CASINO Y RESTAURANTE PROYECTOS</v>
          </cell>
        </row>
        <row r="416">
          <cell r="A416" t="str">
            <v>51652013</v>
          </cell>
          <cell r="B416" t="str">
            <v>TAXIS Y BUSES</v>
          </cell>
        </row>
        <row r="417">
          <cell r="A417" t="str">
            <v>51652014</v>
          </cell>
          <cell r="B417" t="str">
            <v>ADMINISTRACION INMUEBLES</v>
          </cell>
        </row>
        <row r="418">
          <cell r="A418" t="str">
            <v>51652015</v>
          </cell>
          <cell r="B418" t="str">
            <v>GASTOS LEGALES</v>
          </cell>
        </row>
        <row r="419">
          <cell r="A419" t="str">
            <v>51652016</v>
          </cell>
          <cell r="B419" t="str">
            <v>SERVICIOS</v>
          </cell>
        </row>
        <row r="420">
          <cell r="A420" t="str">
            <v>51652017</v>
          </cell>
          <cell r="B420" t="str">
            <v>SERVICIOS PUBLICOS</v>
          </cell>
        </row>
        <row r="421">
          <cell r="A421" t="str">
            <v>51652018</v>
          </cell>
          <cell r="B421" t="str">
            <v>ELEMENTOS DE ASEO Y CAFETERIA</v>
          </cell>
        </row>
        <row r="422">
          <cell r="A422" t="str">
            <v>51652019</v>
          </cell>
          <cell r="B422" t="str">
            <v>SISTEMA ELECTRONICO DE SEGURID</v>
          </cell>
        </row>
        <row r="423">
          <cell r="A423" t="str">
            <v>51652020</v>
          </cell>
          <cell r="B423" t="str">
            <v>MTO EQUIPO DE COMPUTO Y COMUNI</v>
          </cell>
        </row>
        <row r="424">
          <cell r="A424" t="str">
            <v>51652021</v>
          </cell>
          <cell r="B424" t="str">
            <v>VIGILANCIA</v>
          </cell>
        </row>
        <row r="425">
          <cell r="A425" t="str">
            <v>51652022</v>
          </cell>
          <cell r="B425" t="str">
            <v>SERVICIO DE ASEO</v>
          </cell>
        </row>
        <row r="426">
          <cell r="A426" t="str">
            <v>51652099</v>
          </cell>
          <cell r="B426" t="str">
            <v>ACCIONES Y DERIVADOS OMX</v>
          </cell>
        </row>
        <row r="427">
          <cell r="A427" t="str">
            <v>516525</v>
          </cell>
          <cell r="B427" t="str">
            <v>PROGRAMAS PARA COMPUTADOR (SOF</v>
          </cell>
        </row>
        <row r="428">
          <cell r="A428" t="str">
            <v>51652501</v>
          </cell>
          <cell r="B428" t="str">
            <v>SEGUIM.SISTEMA (INFRAEST TECNO</v>
          </cell>
        </row>
        <row r="429">
          <cell r="A429" t="str">
            <v>51652502</v>
          </cell>
          <cell r="B429" t="str">
            <v>LICENCIAMIENTO SOFTWARE APLICA</v>
          </cell>
        </row>
        <row r="430">
          <cell r="A430" t="str">
            <v>51652503</v>
          </cell>
          <cell r="B430" t="str">
            <v>MANTENIMIENTO DE SOFTWARE</v>
          </cell>
        </row>
        <row r="431">
          <cell r="A431" t="str">
            <v>51652504</v>
          </cell>
          <cell r="B431" t="str">
            <v>SOFTWARE BASICO</v>
          </cell>
        </row>
        <row r="432">
          <cell r="A432" t="str">
            <v>51652505</v>
          </cell>
          <cell r="B432" t="str">
            <v>SERVICIOS GAP ANALYSIS</v>
          </cell>
        </row>
        <row r="433">
          <cell r="A433" t="str">
            <v>51652506</v>
          </cell>
          <cell r="B433" t="str">
            <v>SYSTEM INTEGRATION</v>
          </cell>
        </row>
        <row r="434">
          <cell r="A434" t="str">
            <v>51652507</v>
          </cell>
          <cell r="B434" t="str">
            <v>SERVICIOS ESPECIALIZADOS</v>
          </cell>
        </row>
        <row r="435">
          <cell r="A435" t="str">
            <v>51652508</v>
          </cell>
          <cell r="B435" t="str">
            <v>QA TECNICO</v>
          </cell>
        </row>
        <row r="436">
          <cell r="A436" t="str">
            <v>51652509</v>
          </cell>
          <cell r="B436" t="str">
            <v>DESARROLLADORES</v>
          </cell>
        </row>
        <row r="437">
          <cell r="A437" t="str">
            <v>51652510</v>
          </cell>
          <cell r="B437" t="str">
            <v>ADMINISTRADOR DE LA PLATAFORMA</v>
          </cell>
        </row>
        <row r="438">
          <cell r="A438" t="str">
            <v>51652511</v>
          </cell>
          <cell r="B438" t="str">
            <v>MEJORAS</v>
          </cell>
        </row>
        <row r="439">
          <cell r="A439" t="str">
            <v>51652512</v>
          </cell>
          <cell r="B439" t="str">
            <v>OTROS</v>
          </cell>
        </row>
        <row r="440">
          <cell r="A440" t="str">
            <v>51652513</v>
          </cell>
          <cell r="B440" t="str">
            <v>SOFTWARE APLICATIVO</v>
          </cell>
        </row>
        <row r="441">
          <cell r="A441" t="str">
            <v>51652514</v>
          </cell>
          <cell r="B441" t="str">
            <v>SOFTWARE CONECTOR</v>
          </cell>
        </row>
        <row r="442">
          <cell r="A442" t="str">
            <v>51652515</v>
          </cell>
          <cell r="B442" t="str">
            <v>INSTALACION</v>
          </cell>
        </row>
        <row r="443">
          <cell r="A443" t="str">
            <v>51652516</v>
          </cell>
          <cell r="B443" t="str">
            <v>SOFTWARE PARA MICROCOMPUTADORE</v>
          </cell>
        </row>
        <row r="444">
          <cell r="A444" t="str">
            <v>51652517</v>
          </cell>
          <cell r="B444" t="str">
            <v>SOFTWARE PARA COMPUTADORES</v>
          </cell>
        </row>
        <row r="445">
          <cell r="A445" t="str">
            <v>51652518</v>
          </cell>
          <cell r="B445" t="str">
            <v>SOFTWARE PARA EL MEC (S.C.0)</v>
          </cell>
        </row>
        <row r="446">
          <cell r="A446" t="str">
            <v>51652519</v>
          </cell>
          <cell r="B446" t="str">
            <v>TTV'S</v>
          </cell>
        </row>
        <row r="447">
          <cell r="A447" t="str">
            <v>51652520</v>
          </cell>
          <cell r="B447" t="str">
            <v>SOFTWARE PARA INFORMIX</v>
          </cell>
        </row>
        <row r="448">
          <cell r="A448" t="str">
            <v>51652521</v>
          </cell>
          <cell r="B448" t="str">
            <v>SOFTWARE PARA SIMULTANEAS</v>
          </cell>
        </row>
        <row r="449">
          <cell r="A449" t="str">
            <v>51652522</v>
          </cell>
          <cell r="B449" t="str">
            <v>SOFTWARE DEUDA PUBLICA</v>
          </cell>
        </row>
        <row r="450">
          <cell r="A450" t="str">
            <v>51652523</v>
          </cell>
          <cell r="B450" t="str">
            <v>SOFTWARE PARA TANDEM</v>
          </cell>
        </row>
        <row r="451">
          <cell r="A451" t="str">
            <v>51652524</v>
          </cell>
          <cell r="B451" t="str">
            <v>LICENCIAS SIOPEL</v>
          </cell>
        </row>
        <row r="452">
          <cell r="A452" t="str">
            <v>51652525</v>
          </cell>
          <cell r="B452" t="str">
            <v>INFOVAL</v>
          </cell>
        </row>
        <row r="453">
          <cell r="A453" t="str">
            <v>516595</v>
          </cell>
          <cell r="B453" t="str">
            <v>OTRAS</v>
          </cell>
        </row>
        <row r="454">
          <cell r="A454" t="str">
            <v>51659501</v>
          </cell>
          <cell r="B454" t="str">
            <v>C0NTRIBUCIONES</v>
          </cell>
        </row>
        <row r="455">
          <cell r="A455" t="str">
            <v>51659502</v>
          </cell>
          <cell r="B455" t="str">
            <v>AVISO EDIFICIO BOGOTA</v>
          </cell>
        </row>
        <row r="456">
          <cell r="A456" t="str">
            <v>51659503</v>
          </cell>
          <cell r="B456" t="str">
            <v>AVISO EDIFICIO MEDELLIN</v>
          </cell>
        </row>
        <row r="457">
          <cell r="A457" t="str">
            <v>5195</v>
          </cell>
          <cell r="B457" t="str">
            <v xml:space="preserve">DIVERSOS                      </v>
          </cell>
        </row>
        <row r="458">
          <cell r="A458" t="str">
            <v>519505</v>
          </cell>
          <cell r="B458" t="str">
            <v>COMISIONES</v>
          </cell>
        </row>
        <row r="459">
          <cell r="A459" t="str">
            <v>51950501</v>
          </cell>
          <cell r="B459" t="str">
            <v>COMISION VALES SODEXHO</v>
          </cell>
        </row>
        <row r="460">
          <cell r="A460" t="str">
            <v>51950502</v>
          </cell>
          <cell r="B460" t="str">
            <v>COMISIONES VALE SERVICIO TAXI</v>
          </cell>
        </row>
        <row r="461">
          <cell r="A461" t="str">
            <v>519520</v>
          </cell>
          <cell r="B461" t="str">
            <v>ELEMENTOS DE ASEO Y CAFETERIA</v>
          </cell>
        </row>
        <row r="462">
          <cell r="A462" t="str">
            <v>51952001</v>
          </cell>
          <cell r="B462" t="str">
            <v>ELEMENTOS DE ASEO</v>
          </cell>
        </row>
        <row r="463">
          <cell r="A463" t="str">
            <v>51952002</v>
          </cell>
          <cell r="B463" t="str">
            <v>ELEMENTOS DE CAFETERIA</v>
          </cell>
        </row>
        <row r="464">
          <cell r="A464" t="str">
            <v>519525</v>
          </cell>
          <cell r="B464" t="str">
            <v>UTILES, PAPELERIA Y FOTOCOPIAS</v>
          </cell>
        </row>
        <row r="465">
          <cell r="A465" t="str">
            <v>51952500</v>
          </cell>
          <cell r="B465" t="str">
            <v>UTILES, PAPELERIA Y FOTOCOPIAS</v>
          </cell>
        </row>
        <row r="466">
          <cell r="A466" t="str">
            <v>51952501</v>
          </cell>
          <cell r="B466" t="str">
            <v>IMPRESION EXTERNA</v>
          </cell>
        </row>
        <row r="467">
          <cell r="A467" t="str">
            <v>519530</v>
          </cell>
          <cell r="B467" t="str">
            <v>COMBUSTIBLES Y LUBRICANTES</v>
          </cell>
        </row>
        <row r="468">
          <cell r="A468" t="str">
            <v>51953000</v>
          </cell>
          <cell r="B468" t="str">
            <v>COMBUSTIBLES Y LUBRICANTES</v>
          </cell>
        </row>
        <row r="469">
          <cell r="A469" t="str">
            <v>519540</v>
          </cell>
          <cell r="B469" t="str">
            <v>TAXIS Y BUSES</v>
          </cell>
        </row>
        <row r="470">
          <cell r="A470" t="str">
            <v>51954000</v>
          </cell>
          <cell r="B470" t="str">
            <v>TAXIS Y BUSES</v>
          </cell>
        </row>
        <row r="471">
          <cell r="A471" t="str">
            <v>519555</v>
          </cell>
          <cell r="B471" t="str">
            <v>CASINO Y RESTAURANTE</v>
          </cell>
        </row>
        <row r="472">
          <cell r="A472" t="str">
            <v>51955500</v>
          </cell>
          <cell r="B472" t="str">
            <v>CASINO Y RESTAURANTE</v>
          </cell>
        </row>
        <row r="473">
          <cell r="A473" t="str">
            <v>51955501</v>
          </cell>
          <cell r="B473" t="str">
            <v>A EMPLEADOS</v>
          </cell>
        </row>
        <row r="474">
          <cell r="A474" t="str">
            <v>51955502</v>
          </cell>
          <cell r="B474" t="str">
            <v>A COMISIONISTAS</v>
          </cell>
        </row>
        <row r="475">
          <cell r="A475" t="str">
            <v>51955515</v>
          </cell>
          <cell r="B475" t="str">
            <v>A EMPLEADOS</v>
          </cell>
        </row>
        <row r="476">
          <cell r="A476" t="str">
            <v>519560</v>
          </cell>
          <cell r="B476" t="str">
            <v>PARQUEADEROS</v>
          </cell>
        </row>
        <row r="477">
          <cell r="A477" t="str">
            <v>51956000</v>
          </cell>
          <cell r="B477" t="str">
            <v>PARQUEADEROS</v>
          </cell>
        </row>
        <row r="478">
          <cell r="A478" t="str">
            <v>519595</v>
          </cell>
          <cell r="B478" t="str">
            <v>OTROS</v>
          </cell>
        </row>
        <row r="479">
          <cell r="A479" t="str">
            <v>51959500</v>
          </cell>
          <cell r="B479" t="str">
            <v>OTROS</v>
          </cell>
        </row>
        <row r="480">
          <cell r="A480" t="str">
            <v>51959501</v>
          </cell>
          <cell r="B480" t="str">
            <v>AMPLIFICACION DE SONIDO</v>
          </cell>
        </row>
        <row r="481">
          <cell r="A481" t="str">
            <v>51959502</v>
          </cell>
          <cell r="B481" t="str">
            <v>PANTALLAS PLASMA</v>
          </cell>
        </row>
        <row r="482">
          <cell r="A482" t="str">
            <v>51959511</v>
          </cell>
          <cell r="B482" t="str">
            <v>BASES DE DATOS EN MEDIO MAGNET</v>
          </cell>
        </row>
        <row r="483">
          <cell r="A483" t="str">
            <v>51959521</v>
          </cell>
          <cell r="B483" t="str">
            <v>LIBROS PARA BIBLIOTECA</v>
          </cell>
        </row>
        <row r="484">
          <cell r="A484" t="str">
            <v>51959522</v>
          </cell>
          <cell r="B484" t="str">
            <v>LIBROS PARA OTRAS DEPENDENCIAS</v>
          </cell>
        </row>
        <row r="485">
          <cell r="A485" t="str">
            <v>51959523</v>
          </cell>
          <cell r="B485" t="str">
            <v>EMPASTE DE LIBROS</v>
          </cell>
        </row>
        <row r="486">
          <cell r="A486" t="str">
            <v>51959540</v>
          </cell>
          <cell r="B486" t="str">
            <v>INCENTIVO OPERACIÓN MARTILLO</v>
          </cell>
        </row>
        <row r="487">
          <cell r="A487" t="str">
            <v>51959580</v>
          </cell>
          <cell r="B487" t="str">
            <v>VARIOS</v>
          </cell>
        </row>
        <row r="488">
          <cell r="A488" t="str">
            <v>51959599</v>
          </cell>
          <cell r="B488" t="str">
            <v>PROVISION OPEX PROYECTOS</v>
          </cell>
        </row>
        <row r="489">
          <cell r="A489" t="str">
            <v>5199</v>
          </cell>
          <cell r="B489" t="str">
            <v xml:space="preserve">PROVISIONES                   </v>
          </cell>
        </row>
        <row r="490">
          <cell r="A490" t="str">
            <v>519910</v>
          </cell>
          <cell r="B490" t="str">
            <v>DEUDORES</v>
          </cell>
        </row>
        <row r="491">
          <cell r="A491" t="str">
            <v>51991050</v>
          </cell>
          <cell r="B491" t="str">
            <v>CARTERA DUDOSO RECAUDO</v>
          </cell>
        </row>
        <row r="492">
          <cell r="A492" t="str">
            <v>53</v>
          </cell>
          <cell r="B492" t="str">
            <v>NO OPERACIONALES</v>
          </cell>
        </row>
        <row r="493">
          <cell r="A493" t="str">
            <v>5305</v>
          </cell>
          <cell r="B493" t="str">
            <v xml:space="preserve">FINANCIEROS                   </v>
          </cell>
        </row>
        <row r="494">
          <cell r="A494" t="str">
            <v>530505</v>
          </cell>
          <cell r="B494" t="str">
            <v>GASTOS BANCARIOS</v>
          </cell>
        </row>
        <row r="495">
          <cell r="A495" t="str">
            <v>53050500</v>
          </cell>
          <cell r="B495" t="str">
            <v>GASTOS BANCARIOS</v>
          </cell>
        </row>
        <row r="496">
          <cell r="A496" t="str">
            <v>530515</v>
          </cell>
          <cell r="B496" t="str">
            <v>COMISIONES</v>
          </cell>
        </row>
        <row r="497">
          <cell r="A497" t="str">
            <v>53051500</v>
          </cell>
          <cell r="B497" t="str">
            <v>COMISIONES</v>
          </cell>
        </row>
        <row r="498">
          <cell r="A498" t="str">
            <v>530520</v>
          </cell>
          <cell r="B498" t="str">
            <v>INTERESES</v>
          </cell>
        </row>
        <row r="499">
          <cell r="A499" t="str">
            <v>53052001</v>
          </cell>
          <cell r="B499" t="str">
            <v>INTERESES BANCARIOS</v>
          </cell>
        </row>
        <row r="500">
          <cell r="A500" t="str">
            <v>53052002</v>
          </cell>
          <cell r="B500" t="str">
            <v>LEASING INMUEBLE</v>
          </cell>
        </row>
        <row r="501">
          <cell r="A501" t="str">
            <v>53052003</v>
          </cell>
          <cell r="B501" t="str">
            <v>LEASING OTROS</v>
          </cell>
        </row>
        <row r="502">
          <cell r="A502" t="str">
            <v>53052004</v>
          </cell>
          <cell r="B502" t="str">
            <v>INTERESES REPO</v>
          </cell>
        </row>
        <row r="503">
          <cell r="A503" t="str">
            <v>530525</v>
          </cell>
          <cell r="B503" t="str">
            <v>DIFERENCIA EN CAMBIO</v>
          </cell>
        </row>
        <row r="504">
          <cell r="A504" t="str">
            <v>53052500</v>
          </cell>
          <cell r="B504" t="str">
            <v>DIFERENCIA EN CAMBIO</v>
          </cell>
        </row>
        <row r="505">
          <cell r="A505" t="str">
            <v>5310</v>
          </cell>
          <cell r="B505" t="str">
            <v>PERDIDA EN VENTA Y RETIRO DE B</v>
          </cell>
        </row>
        <row r="506">
          <cell r="A506" t="str">
            <v>531035</v>
          </cell>
          <cell r="B506" t="str">
            <v>PERDIDA POR RETIRO DE PROP PLA</v>
          </cell>
        </row>
        <row r="507">
          <cell r="A507" t="str">
            <v>53103501</v>
          </cell>
          <cell r="B507" t="str">
            <v>EQUIPO DE COMPUTO</v>
          </cell>
        </row>
        <row r="508">
          <cell r="A508" t="str">
            <v>53103502</v>
          </cell>
          <cell r="B508" t="str">
            <v>EQUIPO ELECTRONICO</v>
          </cell>
        </row>
        <row r="509">
          <cell r="A509" t="str">
            <v>53103505</v>
          </cell>
          <cell r="B509" t="str">
            <v>VEHICULOS</v>
          </cell>
        </row>
        <row r="510">
          <cell r="A510" t="str">
            <v>53103506</v>
          </cell>
          <cell r="B510" t="str">
            <v>EQUIPO DE TRANSPORTE</v>
          </cell>
        </row>
        <row r="511">
          <cell r="A511" t="str">
            <v>5314</v>
          </cell>
          <cell r="B511" t="str">
            <v>GASTOS NO DEDUCIBLES DEL IMPUE</v>
          </cell>
        </row>
        <row r="512">
          <cell r="A512" t="str">
            <v>531405</v>
          </cell>
          <cell r="B512" t="str">
            <v>MULTAS Y SANCIONES</v>
          </cell>
        </row>
        <row r="513">
          <cell r="A513" t="str">
            <v>53140520</v>
          </cell>
          <cell r="B513" t="str">
            <v>SANCIONES</v>
          </cell>
        </row>
        <row r="514">
          <cell r="A514" t="str">
            <v>53140521</v>
          </cell>
          <cell r="B514" t="str">
            <v>RETENCION EN LA FUENTE</v>
          </cell>
        </row>
        <row r="515">
          <cell r="A515" t="str">
            <v>53140522</v>
          </cell>
          <cell r="B515" t="str">
            <v>INDUSTRIA Y COMERCIO</v>
          </cell>
        </row>
        <row r="516">
          <cell r="A516" t="str">
            <v>53140523</v>
          </cell>
          <cell r="B516" t="str">
            <v>IVA</v>
          </cell>
        </row>
        <row r="517">
          <cell r="A517" t="str">
            <v>531410</v>
          </cell>
          <cell r="B517" t="str">
            <v>INTERESES DE MORA</v>
          </cell>
        </row>
        <row r="518">
          <cell r="A518" t="str">
            <v>53141000</v>
          </cell>
          <cell r="B518" t="str">
            <v>INTERESES DE MORA</v>
          </cell>
        </row>
        <row r="519">
          <cell r="A519" t="str">
            <v>531415</v>
          </cell>
          <cell r="B519" t="str">
            <v>IMPUESTOS ASUMIDOS</v>
          </cell>
        </row>
        <row r="520">
          <cell r="A520" t="str">
            <v>53141501</v>
          </cell>
          <cell r="B520" t="str">
            <v>RETENCION EN LA FUENTE</v>
          </cell>
        </row>
        <row r="521">
          <cell r="A521" t="str">
            <v>53141502</v>
          </cell>
          <cell r="B521" t="str">
            <v>IMPUESTOS POR APROXIM A MILES</v>
          </cell>
        </row>
        <row r="522">
          <cell r="A522" t="str">
            <v>53141503</v>
          </cell>
          <cell r="B522" t="str">
            <v>IVA</v>
          </cell>
        </row>
        <row r="523">
          <cell r="A523" t="str">
            <v>53141504</v>
          </cell>
          <cell r="B523" t="str">
            <v>TIMBRE</v>
          </cell>
        </row>
        <row r="524">
          <cell r="A524" t="str">
            <v>53141505</v>
          </cell>
          <cell r="B524" t="str">
            <v>INDUSTRIA Y COMERCIO</v>
          </cell>
        </row>
        <row r="525">
          <cell r="A525" t="str">
            <v>53141506</v>
          </cell>
          <cell r="B525" t="str">
            <v>RETENCION DE IVA</v>
          </cell>
        </row>
        <row r="526">
          <cell r="A526" t="str">
            <v>5320</v>
          </cell>
          <cell r="B526" t="str">
            <v xml:space="preserve">GASTOS EJERCICIOS ANTERIORES  </v>
          </cell>
        </row>
        <row r="527">
          <cell r="A527" t="str">
            <v>532005</v>
          </cell>
          <cell r="B527" t="str">
            <v>GASTOS EJERCICIOS ANTERIORES</v>
          </cell>
        </row>
        <row r="528">
          <cell r="A528" t="str">
            <v>53200501</v>
          </cell>
          <cell r="B528" t="str">
            <v>GASTOS DE PERSONAL-PRESTACIONE</v>
          </cell>
        </row>
        <row r="529">
          <cell r="A529" t="str">
            <v>53200502</v>
          </cell>
          <cell r="B529" t="str">
            <v>EMPASTE DE LIBROS</v>
          </cell>
        </row>
        <row r="530">
          <cell r="A530" t="str">
            <v>53200503</v>
          </cell>
          <cell r="B530" t="str">
            <v>GASTOS ADMINISTRATIVOS</v>
          </cell>
        </row>
        <row r="531">
          <cell r="A531" t="str">
            <v>53200504</v>
          </cell>
          <cell r="B531" t="str">
            <v>IMPUESTOS</v>
          </cell>
        </row>
        <row r="532">
          <cell r="A532" t="str">
            <v>53200506</v>
          </cell>
          <cell r="B532" t="str">
            <v>VIATICOS Y GASTOS DE VIAJE</v>
          </cell>
        </row>
        <row r="533">
          <cell r="A533" t="str">
            <v>53200507</v>
          </cell>
          <cell r="B533" t="str">
            <v>EVENTOS</v>
          </cell>
        </row>
        <row r="534">
          <cell r="A534" t="str">
            <v>5395</v>
          </cell>
          <cell r="B534" t="str">
            <v xml:space="preserve">GASTOS DIVERSOS               </v>
          </cell>
        </row>
        <row r="535">
          <cell r="A535" t="str">
            <v>539520</v>
          </cell>
          <cell r="B535" t="str">
            <v>MULTAS, SANCIONES Y LITIGIOS</v>
          </cell>
        </row>
        <row r="536">
          <cell r="A536" t="str">
            <v>53952000</v>
          </cell>
          <cell r="B536" t="str">
            <v>MULTAS, SANCIONES Y LITIGIOS</v>
          </cell>
        </row>
        <row r="537">
          <cell r="A537" t="str">
            <v>53952001</v>
          </cell>
          <cell r="B537" t="str">
            <v>MULTAS</v>
          </cell>
        </row>
        <row r="538">
          <cell r="A538" t="str">
            <v>53952002</v>
          </cell>
          <cell r="B538" t="str">
            <v>LITIGIOS Y DEMANDAS</v>
          </cell>
        </row>
        <row r="539">
          <cell r="A539" t="str">
            <v>539525</v>
          </cell>
          <cell r="B539" t="str">
            <v>DONACIONES</v>
          </cell>
        </row>
        <row r="540">
          <cell r="A540" t="str">
            <v>53952500</v>
          </cell>
          <cell r="B540" t="str">
            <v>DONACIONES</v>
          </cell>
        </row>
        <row r="541">
          <cell r="A541" t="str">
            <v>53952501</v>
          </cell>
          <cell r="B541" t="str">
            <v>DONACION DIVODENDO POR COLOMBI</v>
          </cell>
        </row>
        <row r="542">
          <cell r="A542" t="str">
            <v>539595</v>
          </cell>
          <cell r="B542" t="str">
            <v>OTROS</v>
          </cell>
        </row>
        <row r="543">
          <cell r="A543" t="str">
            <v>53959501</v>
          </cell>
          <cell r="B543" t="str">
            <v>CURSO DE OPERACIÓN BURSATIL</v>
          </cell>
        </row>
        <row r="544">
          <cell r="A544" t="str">
            <v>53959502</v>
          </cell>
          <cell r="B544" t="str">
            <v>GASTOS TORNEOS</v>
          </cell>
        </row>
        <row r="545">
          <cell r="A545" t="str">
            <v>53959503</v>
          </cell>
          <cell r="B545" t="str">
            <v>INGRESOS EJERCICIOS ANTERIORES</v>
          </cell>
        </row>
        <row r="546">
          <cell r="A546" t="str">
            <v>53959504</v>
          </cell>
          <cell r="B546" t="str">
            <v>AJUSTE A MILES</v>
          </cell>
        </row>
        <row r="547">
          <cell r="A547" t="str">
            <v>53959505</v>
          </cell>
          <cell r="B547" t="str">
            <v>SOPORTE FINAN Y ADMON ANULADO</v>
          </cell>
        </row>
        <row r="548">
          <cell r="A548" t="str">
            <v>53959506</v>
          </cell>
          <cell r="B548" t="str">
            <v>REINTEGRO DE GASTOS ANULADO</v>
          </cell>
        </row>
        <row r="549">
          <cell r="A549" t="str">
            <v>53959507</v>
          </cell>
          <cell r="B549" t="str">
            <v>IVA INGRESOS EJERCICIOS ANTERI</v>
          </cell>
        </row>
        <row r="550">
          <cell r="A550" t="str">
            <v>54</v>
          </cell>
          <cell r="B550" t="str">
            <v>IMPUESTO DE RENTA Y COMPLEM</v>
          </cell>
        </row>
        <row r="551">
          <cell r="A551" t="str">
            <v>5405</v>
          </cell>
          <cell r="B551" t="str">
            <v>IMPUESTO DE RENTA Y COMPLEMENT</v>
          </cell>
        </row>
        <row r="552">
          <cell r="A552" t="str">
            <v>540505</v>
          </cell>
          <cell r="B552" t="str">
            <v>IMPUESTO DE RENTA Y COMPLEMENT</v>
          </cell>
        </row>
        <row r="553">
          <cell r="A553" t="str">
            <v>54050510</v>
          </cell>
          <cell r="B553" t="str">
            <v>PROVISION PRESENTE AÑO</v>
          </cell>
        </row>
        <row r="554">
          <cell r="A554" t="str">
            <v>59</v>
          </cell>
          <cell r="B554" t="str">
            <v>GANANCIAS Y PERDIDAS</v>
          </cell>
        </row>
        <row r="555">
          <cell r="A555" t="str">
            <v>5905</v>
          </cell>
          <cell r="B555" t="str">
            <v xml:space="preserve">GANANCIAS                     </v>
          </cell>
        </row>
        <row r="556">
          <cell r="A556" t="str">
            <v>590505</v>
          </cell>
          <cell r="B556" t="str">
            <v>GANANCIAS</v>
          </cell>
        </row>
        <row r="557">
          <cell r="A557" t="str">
            <v>59050500</v>
          </cell>
          <cell r="B557" t="str">
            <v>GANANCIAS</v>
          </cell>
        </row>
      </sheetData>
      <sheetData sheetId="1" refreshError="1">
        <row r="2">
          <cell r="A2">
            <v>100</v>
          </cell>
          <cell r="B2" t="str">
            <v>Presidencia</v>
          </cell>
        </row>
        <row r="3">
          <cell r="A3">
            <v>101</v>
          </cell>
          <cell r="B3" t="str">
            <v>Consejo Directivo</v>
          </cell>
        </row>
        <row r="4">
          <cell r="A4">
            <v>200</v>
          </cell>
          <cell r="B4" t="str">
            <v>Auditoria</v>
          </cell>
        </row>
        <row r="5">
          <cell r="A5">
            <v>300</v>
          </cell>
          <cell r="B5" t="str">
            <v>Asesoria de Presidencia</v>
          </cell>
        </row>
        <row r="6">
          <cell r="A6">
            <v>310</v>
          </cell>
          <cell r="B6" t="str">
            <v>Direccion de Asesorias Es</v>
          </cell>
        </row>
        <row r="7">
          <cell r="A7">
            <v>320</v>
          </cell>
          <cell r="B7" t="str">
            <v>Gerencia de Riesgos</v>
          </cell>
        </row>
        <row r="8">
          <cell r="A8">
            <v>330</v>
          </cell>
          <cell r="B8" t="str">
            <v>Direccion O&amp;M</v>
          </cell>
        </row>
        <row r="9">
          <cell r="A9">
            <v>400</v>
          </cell>
          <cell r="B9" t="str">
            <v>Direccion Comunicaciones</v>
          </cell>
        </row>
        <row r="10">
          <cell r="A10">
            <v>500</v>
          </cell>
          <cell r="B10" t="str">
            <v>VP Emisores y Operaciones</v>
          </cell>
        </row>
        <row r="11">
          <cell r="A11">
            <v>520</v>
          </cell>
          <cell r="B11" t="str">
            <v>Gerencia Operacion Emisor</v>
          </cell>
        </row>
        <row r="12">
          <cell r="A12">
            <v>521</v>
          </cell>
          <cell r="B12" t="str">
            <v>Dir Oper Espec y Procesos</v>
          </cell>
        </row>
        <row r="13">
          <cell r="A13">
            <v>530</v>
          </cell>
          <cell r="B13" t="str">
            <v>Gerencia de Emisores</v>
          </cell>
        </row>
        <row r="14">
          <cell r="A14">
            <v>540</v>
          </cell>
          <cell r="B14" t="str">
            <v>Gerencia Colombia Capital</v>
          </cell>
        </row>
        <row r="15">
          <cell r="A15">
            <v>541</v>
          </cell>
          <cell r="B15" t="str">
            <v>Coord Adm Conven BID</v>
          </cell>
        </row>
        <row r="16">
          <cell r="A16">
            <v>600</v>
          </cell>
          <cell r="B16" t="str">
            <v>Gerencia Fin Adm y de RH</v>
          </cell>
        </row>
        <row r="17">
          <cell r="A17">
            <v>610</v>
          </cell>
          <cell r="B17" t="str">
            <v>Direccion financiera</v>
          </cell>
        </row>
        <row r="18">
          <cell r="A18">
            <v>620</v>
          </cell>
          <cell r="B18" t="str">
            <v>Jefatura Administrativa</v>
          </cell>
        </row>
        <row r="19">
          <cell r="A19">
            <v>630</v>
          </cell>
          <cell r="B19" t="str">
            <v>Jefatura Gestion Humana</v>
          </cell>
        </row>
        <row r="20">
          <cell r="A20">
            <v>700</v>
          </cell>
          <cell r="B20" t="str">
            <v>VP Desarrollo de Mercados</v>
          </cell>
        </row>
        <row r="21">
          <cell r="A21">
            <v>710</v>
          </cell>
          <cell r="B21" t="str">
            <v>Gerencia Intermediarios</v>
          </cell>
        </row>
        <row r="22">
          <cell r="A22">
            <v>711</v>
          </cell>
          <cell r="B22" t="str">
            <v>Dir Com Intermediarios</v>
          </cell>
        </row>
        <row r="23">
          <cell r="A23">
            <v>720</v>
          </cell>
          <cell r="B23" t="str">
            <v>Gerencia Cuenta Estado</v>
          </cell>
        </row>
        <row r="24">
          <cell r="A24">
            <v>730</v>
          </cell>
          <cell r="B24" t="str">
            <v>Dir Oper Mercados</v>
          </cell>
        </row>
        <row r="25">
          <cell r="A25">
            <v>800</v>
          </cell>
          <cell r="B25" t="str">
            <v>Regional Medellin</v>
          </cell>
        </row>
        <row r="26">
          <cell r="A26">
            <v>900</v>
          </cell>
          <cell r="B26" t="str">
            <v>Regional Cali</v>
          </cell>
        </row>
        <row r="27">
          <cell r="A27">
            <v>1000</v>
          </cell>
          <cell r="B27" t="str">
            <v>VP Inversionistas</v>
          </cell>
        </row>
        <row r="28">
          <cell r="A28">
            <v>1010</v>
          </cell>
          <cell r="B28" t="str">
            <v>Ger Inv Pers Naturales</v>
          </cell>
        </row>
        <row r="29">
          <cell r="A29">
            <v>1011</v>
          </cell>
          <cell r="B29" t="str">
            <v>Coord de Formacion</v>
          </cell>
        </row>
        <row r="30">
          <cell r="A30">
            <v>1012</v>
          </cell>
          <cell r="B30" t="str">
            <v>Coord Segmentos</v>
          </cell>
        </row>
        <row r="31">
          <cell r="A31">
            <v>1020</v>
          </cell>
          <cell r="B31" t="str">
            <v>Ger Inv Institucionales</v>
          </cell>
        </row>
        <row r="32">
          <cell r="A32">
            <v>1100</v>
          </cell>
          <cell r="B32" t="str">
            <v>VP Tecnologica</v>
          </cell>
        </row>
        <row r="33">
          <cell r="A33">
            <v>1110</v>
          </cell>
          <cell r="B33" t="str">
            <v>Ger de Tecnologí­a</v>
          </cell>
        </row>
        <row r="34">
          <cell r="A34">
            <v>1120</v>
          </cell>
          <cell r="B34" t="str">
            <v>Dir Infra Tecnologica</v>
          </cell>
        </row>
        <row r="35">
          <cell r="A35">
            <v>1130</v>
          </cell>
          <cell r="B35" t="str">
            <v>Dir Oper de Tecnología</v>
          </cell>
        </row>
        <row r="36">
          <cell r="A36">
            <v>1140</v>
          </cell>
          <cell r="B36" t="str">
            <v>Dir Dessarrollo Software</v>
          </cell>
        </row>
        <row r="37">
          <cell r="A37">
            <v>1150</v>
          </cell>
          <cell r="B37" t="str">
            <v>Direccion Mesa de Ayuda</v>
          </cell>
        </row>
        <row r="38">
          <cell r="A38">
            <v>1200</v>
          </cell>
          <cell r="B38" t="str">
            <v>VP Diseño y Desarrollo</v>
          </cell>
        </row>
        <row r="39">
          <cell r="A39">
            <v>1210</v>
          </cell>
          <cell r="B39" t="str">
            <v>Ger Informacion e Infoval</v>
          </cell>
        </row>
        <row r="40">
          <cell r="A40">
            <v>1211</v>
          </cell>
          <cell r="B40" t="str">
            <v>Coord de Informacion</v>
          </cell>
        </row>
        <row r="41">
          <cell r="A41">
            <v>1212</v>
          </cell>
          <cell r="B41" t="str">
            <v>Coord de Infoval</v>
          </cell>
        </row>
        <row r="42">
          <cell r="A42">
            <v>1213</v>
          </cell>
          <cell r="B42" t="str">
            <v>Dir Biblioteca Virtual</v>
          </cell>
        </row>
        <row r="43">
          <cell r="A43">
            <v>1220</v>
          </cell>
          <cell r="B43" t="str">
            <v>Dir Desarrollo y Análisis Técnico</v>
          </cell>
        </row>
        <row r="44">
          <cell r="A44">
            <v>1221</v>
          </cell>
          <cell r="B44" t="str">
            <v>Sub Des y Análisis Técnico</v>
          </cell>
        </row>
        <row r="45">
          <cell r="A45">
            <v>1222</v>
          </cell>
          <cell r="B45" t="str">
            <v>Sub Desarrollo Infoval</v>
          </cell>
        </row>
        <row r="46">
          <cell r="A46">
            <v>1230</v>
          </cell>
          <cell r="B46" t="str">
            <v>Gerencia Proyecto Camara</v>
          </cell>
        </row>
        <row r="47">
          <cell r="A47">
            <v>1240</v>
          </cell>
          <cell r="B47" t="str">
            <v>Gerencia Proyecto SIOPEL</v>
          </cell>
        </row>
        <row r="48">
          <cell r="A48">
            <v>1250</v>
          </cell>
          <cell r="B48" t="str">
            <v>Gerencia de Proyectos Especiales</v>
          </cell>
        </row>
        <row r="49">
          <cell r="A49">
            <v>1300</v>
          </cell>
          <cell r="B49" t="str">
            <v>VP Juridica</v>
          </cell>
        </row>
        <row r="50">
          <cell r="A50">
            <v>1310</v>
          </cell>
          <cell r="B50" t="str">
            <v>Direccion Legal</v>
          </cell>
        </row>
        <row r="51">
          <cell r="A51">
            <v>1320</v>
          </cell>
          <cell r="B51" t="str">
            <v>Direccion de Regulacion</v>
          </cell>
        </row>
        <row r="52">
          <cell r="A52">
            <v>1330</v>
          </cell>
          <cell r="B52" t="str">
            <v>Supervisión</v>
          </cell>
        </row>
        <row r="53">
          <cell r="A53">
            <v>1400</v>
          </cell>
          <cell r="B53" t="str">
            <v>Gerencia Admon de Mercado</v>
          </cell>
        </row>
        <row r="54">
          <cell r="A54">
            <v>1410</v>
          </cell>
          <cell r="B54" t="str">
            <v>Direccion de Negociacion</v>
          </cell>
        </row>
        <row r="55">
          <cell r="A55">
            <v>1420</v>
          </cell>
          <cell r="B55" t="str">
            <v>Direccion de Cumplimiento</v>
          </cell>
        </row>
        <row r="56">
          <cell r="A56">
            <v>1500</v>
          </cell>
          <cell r="B56" t="str">
            <v>Corporativo</v>
          </cell>
        </row>
      </sheetData>
      <sheetData sheetId="2" refreshError="1">
        <row r="2">
          <cell r="A2">
            <v>10</v>
          </cell>
          <cell r="B2" t="str">
            <v>individuos</v>
          </cell>
        </row>
        <row r="3">
          <cell r="A3">
            <v>20</v>
          </cell>
          <cell r="B3" t="str">
            <v>inversionistas institucionales</v>
          </cell>
        </row>
        <row r="4">
          <cell r="A4">
            <v>30</v>
          </cell>
          <cell r="B4" t="str">
            <v>Intermediarios</v>
          </cell>
        </row>
        <row r="5">
          <cell r="A5">
            <v>40</v>
          </cell>
          <cell r="B5" t="str">
            <v>emisores</v>
          </cell>
        </row>
        <row r="6">
          <cell r="A6">
            <v>60</v>
          </cell>
          <cell r="B6" t="str">
            <v>dia dia</v>
          </cell>
        </row>
      </sheetData>
      <sheetData sheetId="3" refreshError="1">
        <row r="2">
          <cell r="A2">
            <v>1000</v>
          </cell>
          <cell r="B2" t="str">
            <v>BVC DIA A DIA</v>
          </cell>
        </row>
        <row r="3">
          <cell r="A3">
            <v>1001</v>
          </cell>
          <cell r="B3" t="str">
            <v>MEC PLUS FASE II, III Y IV</v>
          </cell>
        </row>
        <row r="4">
          <cell r="A4">
            <v>1002</v>
          </cell>
          <cell r="B4" t="str">
            <v>Derivados</v>
          </cell>
        </row>
        <row r="5">
          <cell r="A5">
            <v>1003</v>
          </cell>
          <cell r="B5" t="str">
            <v>CRCC</v>
          </cell>
        </row>
        <row r="6">
          <cell r="A6">
            <v>1004</v>
          </cell>
          <cell r="B6" t="str">
            <v>Acciones</v>
          </cell>
        </row>
        <row r="7">
          <cell r="A7">
            <v>1005</v>
          </cell>
          <cell r="B7" t="str">
            <v>DWH</v>
          </cell>
        </row>
        <row r="8">
          <cell r="A8">
            <v>1006</v>
          </cell>
          <cell r="B8" t="str">
            <v>Bus de Integración</v>
          </cell>
        </row>
        <row r="9">
          <cell r="A9">
            <v>1007</v>
          </cell>
          <cell r="B9" t="str">
            <v>Gestión de Contenido</v>
          </cell>
        </row>
        <row r="10">
          <cell r="A10">
            <v>1008</v>
          </cell>
          <cell r="B10" t="str">
            <v>IT Strategy</v>
          </cell>
        </row>
        <row r="11">
          <cell r="A11">
            <v>1009</v>
          </cell>
          <cell r="B11" t="str">
            <v>Minitoreo del Mercado</v>
          </cell>
        </row>
        <row r="12">
          <cell r="A12">
            <v>1010</v>
          </cell>
          <cell r="B12" t="str">
            <v>Reemplazo de Back Office</v>
          </cell>
        </row>
        <row r="13">
          <cell r="A13">
            <v>1011</v>
          </cell>
          <cell r="B13" t="str">
            <v>Sistema de Garantías</v>
          </cell>
        </row>
        <row r="14">
          <cell r="A14">
            <v>1012</v>
          </cell>
          <cell r="B14" t="str">
            <v>CRM</v>
          </cell>
        </row>
        <row r="15">
          <cell r="A15">
            <v>1013</v>
          </cell>
          <cell r="B15" t="str">
            <v>ERP</v>
          </cell>
        </row>
        <row r="16">
          <cell r="A16">
            <v>1014</v>
          </cell>
          <cell r="B16" t="str">
            <v>SCB Agora</v>
          </cell>
        </row>
        <row r="17">
          <cell r="A17">
            <v>1015</v>
          </cell>
          <cell r="B17" t="str">
            <v>Gestión de Riesgo</v>
          </cell>
        </row>
        <row r="18">
          <cell r="A18">
            <v>1016</v>
          </cell>
          <cell r="B18" t="str">
            <v>Proyectos de Infraestructura Técnologica</v>
          </cell>
        </row>
        <row r="19">
          <cell r="A19">
            <v>1017</v>
          </cell>
          <cell r="B19" t="str">
            <v>Upgrade INFOVAL</v>
          </cell>
        </row>
        <row r="20">
          <cell r="A20">
            <v>1018</v>
          </cell>
          <cell r="B20" t="str">
            <v>Indices Generales</v>
          </cell>
        </row>
        <row r="21">
          <cell r="A21">
            <v>1019</v>
          </cell>
          <cell r="B21" t="str">
            <v>Integración BMV - BOVESPA</v>
          </cell>
        </row>
        <row r="22">
          <cell r="A22">
            <v>1020</v>
          </cell>
          <cell r="B22" t="str">
            <v>Integración BOVESPA</v>
          </cell>
        </row>
        <row r="23">
          <cell r="A23">
            <v>1021</v>
          </cell>
          <cell r="B23" t="str">
            <v>Continuidad del Negocio</v>
          </cell>
        </row>
        <row r="24">
          <cell r="A24">
            <v>1022</v>
          </cell>
          <cell r="B24" t="str">
            <v>IT SERVICE MANAGEMENT</v>
          </cell>
        </row>
        <row r="25">
          <cell r="A25">
            <v>1023</v>
          </cell>
          <cell r="B25" t="str">
            <v>Punto BVC</v>
          </cell>
        </row>
        <row r="26">
          <cell r="A26">
            <v>1024</v>
          </cell>
          <cell r="B26" t="str">
            <v>Concurso Bolsa Millonaria</v>
          </cell>
        </row>
        <row r="27">
          <cell r="A27">
            <v>1025</v>
          </cell>
          <cell r="B27" t="str">
            <v>MEC Plus Fase I</v>
          </cell>
        </row>
        <row r="28">
          <cell r="A28">
            <v>1027</v>
          </cell>
          <cell r="B28" t="str">
            <v>Boletín Diario</v>
          </cell>
        </row>
        <row r="29">
          <cell r="A29">
            <v>1028</v>
          </cell>
          <cell r="B29" t="str">
            <v>BVCMovil</v>
          </cell>
        </row>
        <row r="30">
          <cell r="A30">
            <v>2000</v>
          </cell>
          <cell r="B30" t="str">
            <v>BVC Medellín día a día</v>
          </cell>
        </row>
        <row r="31">
          <cell r="A31">
            <v>3000</v>
          </cell>
          <cell r="B31" t="str">
            <v>BVC Cali Día a Día</v>
          </cell>
        </row>
        <row r="32">
          <cell r="A32">
            <v>10101000</v>
          </cell>
          <cell r="B32" t="str">
            <v>COL CAP - EMISORES POR PRIMERA VEZ</v>
          </cell>
        </row>
        <row r="33">
          <cell r="A33">
            <v>10201000</v>
          </cell>
          <cell r="B33" t="str">
            <v>COL CAP - IMPULSO AL CAPITAL</v>
          </cell>
        </row>
        <row r="34">
          <cell r="A34">
            <v>10301000</v>
          </cell>
          <cell r="B34" t="str">
            <v>COL CAP - DESARROLLO INSTRUMENTOS</v>
          </cell>
        </row>
        <row r="35">
          <cell r="A35">
            <v>10401000</v>
          </cell>
          <cell r="B35" t="str">
            <v>COL CAP - DIFUSION RESULTADOS</v>
          </cell>
        </row>
        <row r="36">
          <cell r="A36">
            <v>10501000</v>
          </cell>
          <cell r="B36" t="str">
            <v>COL CAP - ADMINISTRACION</v>
          </cell>
        </row>
        <row r="37">
          <cell r="A37">
            <v>10601000</v>
          </cell>
          <cell r="B37" t="str">
            <v>COL CAP AUDITORIA Y EVALUACION</v>
          </cell>
        </row>
        <row r="38">
          <cell r="A38">
            <v>20201000</v>
          </cell>
          <cell r="B38" t="str">
            <v>INV COL - CAMARA DE COMPENSACION</v>
          </cell>
        </row>
        <row r="39">
          <cell r="A39">
            <v>20301000</v>
          </cell>
          <cell r="B39" t="str">
            <v>INV COL - BOLSA DERIVADOS Y FUTUROS</v>
          </cell>
        </row>
        <row r="40">
          <cell r="A40">
            <v>20401000</v>
          </cell>
          <cell r="B40" t="str">
            <v>INV COL - ADMINISTRACION</v>
          </cell>
        </row>
        <row r="41">
          <cell r="A41">
            <v>20501000</v>
          </cell>
          <cell r="B41" t="str">
            <v>INV COL AUDITORIA Y EVALUACION</v>
          </cell>
        </row>
        <row r="42">
          <cell r="A42" t="str">
            <v>0021A01000</v>
          </cell>
          <cell r="B42" t="str">
            <v>INV COL - SISTEMA DE INFORMACION</v>
          </cell>
        </row>
        <row r="43">
          <cell r="A43" t="str">
            <v>0021B01000</v>
          </cell>
          <cell r="B43" t="str">
            <v>INV COL -GOBIERNO CORPORATIVO</v>
          </cell>
        </row>
        <row r="44">
          <cell r="A44">
            <v>1114</v>
          </cell>
          <cell r="B44" t="str">
            <v>Esstudio de imagen de marca de la BVC</v>
          </cell>
        </row>
        <row r="45">
          <cell r="A45">
            <v>1225</v>
          </cell>
          <cell r="B45" t="str">
            <v>ALOJAMIENTO HUESPEDES PARA EVENTO BEARSTAETEAR</v>
          </cell>
        </row>
        <row r="46">
          <cell r="A46" t="str">
            <v>1-BVC-CT-00073B06</v>
          </cell>
          <cell r="B46" t="str">
            <v>Servicios de asesoría comunicación publicitaria</v>
          </cell>
        </row>
        <row r="47">
          <cell r="A47">
            <v>468</v>
          </cell>
          <cell r="B47" t="str">
            <v>Adquisición de infraestructura para configurar la redundanc</v>
          </cell>
        </row>
        <row r="48">
          <cell r="A48" t="str">
            <v>ANDI</v>
          </cell>
          <cell r="B48" t="str">
            <v>ANDI - Arrendamiento Oficina Proyectos</v>
          </cell>
        </row>
      </sheetData>
      <sheetData sheetId="4" refreshError="1"/>
      <sheetData sheetId="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datos formato 1011"/>
      <sheetName val="conceptos"/>
    </sheetNames>
    <sheetDataSet>
      <sheetData sheetId="0" refreshError="1"/>
      <sheetData sheetId="1">
        <row r="1">
          <cell r="A1">
            <v>1105</v>
          </cell>
        </row>
        <row r="2">
          <cell r="A2">
            <v>1401</v>
          </cell>
        </row>
        <row r="3">
          <cell r="A3">
            <v>1402</v>
          </cell>
        </row>
        <row r="4">
          <cell r="A4">
            <v>1403</v>
          </cell>
        </row>
        <row r="5">
          <cell r="A5">
            <v>1404</v>
          </cell>
        </row>
        <row r="6">
          <cell r="A6">
            <v>1405</v>
          </cell>
        </row>
        <row r="7">
          <cell r="A7">
            <v>1406</v>
          </cell>
        </row>
        <row r="8">
          <cell r="A8">
            <v>1407</v>
          </cell>
        </row>
        <row r="9">
          <cell r="A9">
            <v>1408</v>
          </cell>
        </row>
        <row r="10">
          <cell r="A10">
            <v>1409</v>
          </cell>
        </row>
        <row r="11">
          <cell r="A11">
            <v>1410</v>
          </cell>
        </row>
        <row r="12">
          <cell r="A12">
            <v>1411</v>
          </cell>
        </row>
        <row r="13">
          <cell r="A13">
            <v>1412</v>
          </cell>
        </row>
        <row r="14">
          <cell r="A14">
            <v>1501</v>
          </cell>
        </row>
        <row r="15">
          <cell r="A15">
            <v>1502</v>
          </cell>
        </row>
        <row r="16">
          <cell r="A16">
            <v>1503</v>
          </cell>
        </row>
        <row r="17">
          <cell r="A17">
            <v>1504</v>
          </cell>
        </row>
        <row r="18">
          <cell r="A18">
            <v>1505</v>
          </cell>
        </row>
        <row r="19">
          <cell r="A19">
            <v>1507</v>
          </cell>
        </row>
        <row r="20">
          <cell r="A20">
            <v>1509</v>
          </cell>
        </row>
        <row r="21">
          <cell r="A21">
            <v>1510</v>
          </cell>
        </row>
        <row r="22">
          <cell r="A22">
            <v>1511</v>
          </cell>
        </row>
        <row r="23">
          <cell r="A23">
            <v>1512</v>
          </cell>
        </row>
        <row r="24">
          <cell r="A24">
            <v>1513</v>
          </cell>
        </row>
        <row r="25">
          <cell r="A25">
            <v>1514</v>
          </cell>
        </row>
        <row r="26">
          <cell r="A26">
            <v>1515</v>
          </cell>
        </row>
        <row r="27">
          <cell r="A27">
            <v>1516</v>
          </cell>
        </row>
        <row r="28">
          <cell r="A28">
            <v>1517</v>
          </cell>
        </row>
        <row r="29">
          <cell r="A29">
            <v>8001</v>
          </cell>
        </row>
        <row r="30">
          <cell r="A30">
            <v>8002</v>
          </cell>
        </row>
        <row r="31">
          <cell r="A31">
            <v>8003</v>
          </cell>
        </row>
        <row r="32">
          <cell r="A32">
            <v>8101</v>
          </cell>
        </row>
        <row r="33">
          <cell r="A33">
            <v>8102</v>
          </cell>
        </row>
        <row r="34">
          <cell r="A34">
            <v>8103</v>
          </cell>
        </row>
        <row r="35">
          <cell r="A35">
            <v>8104</v>
          </cell>
        </row>
        <row r="36">
          <cell r="A36">
            <v>8105</v>
          </cell>
        </row>
        <row r="37">
          <cell r="A37">
            <v>8106</v>
          </cell>
        </row>
        <row r="38">
          <cell r="A38">
            <v>8107</v>
          </cell>
        </row>
        <row r="39">
          <cell r="A39">
            <v>8108</v>
          </cell>
        </row>
        <row r="40">
          <cell r="A40">
            <v>8109</v>
          </cell>
        </row>
        <row r="41">
          <cell r="A41">
            <v>8110</v>
          </cell>
        </row>
        <row r="42">
          <cell r="A42">
            <v>8111</v>
          </cell>
        </row>
        <row r="43">
          <cell r="A43">
            <v>8112</v>
          </cell>
        </row>
        <row r="44">
          <cell r="A44">
            <v>8113</v>
          </cell>
        </row>
        <row r="45">
          <cell r="A45">
            <v>8114</v>
          </cell>
        </row>
        <row r="46">
          <cell r="A46">
            <v>8115</v>
          </cell>
        </row>
        <row r="47">
          <cell r="A47">
            <v>8200</v>
          </cell>
        </row>
        <row r="48">
          <cell r="A48">
            <v>8201</v>
          </cell>
        </row>
        <row r="49">
          <cell r="A49">
            <v>8202</v>
          </cell>
        </row>
        <row r="50">
          <cell r="A50">
            <v>8203</v>
          </cell>
        </row>
        <row r="51">
          <cell r="A51">
            <v>8204</v>
          </cell>
        </row>
        <row r="52">
          <cell r="A52">
            <v>8205</v>
          </cell>
        </row>
        <row r="53">
          <cell r="A53">
            <v>8206</v>
          </cell>
        </row>
        <row r="54">
          <cell r="A54">
            <v>8207</v>
          </cell>
        </row>
        <row r="55">
          <cell r="A55">
            <v>8208</v>
          </cell>
        </row>
        <row r="56">
          <cell r="A56">
            <v>8209</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datos formato 1011"/>
      <sheetName val="conceptos"/>
    </sheetNames>
    <sheetDataSet>
      <sheetData sheetId="0" refreshError="1"/>
      <sheetData sheetId="1">
        <row r="1">
          <cell r="A1">
            <v>1105</v>
          </cell>
        </row>
        <row r="2">
          <cell r="A2">
            <v>1401</v>
          </cell>
        </row>
        <row r="3">
          <cell r="A3">
            <v>1402</v>
          </cell>
        </row>
        <row r="4">
          <cell r="A4">
            <v>1403</v>
          </cell>
        </row>
        <row r="5">
          <cell r="A5">
            <v>1404</v>
          </cell>
        </row>
        <row r="6">
          <cell r="A6">
            <v>1405</v>
          </cell>
        </row>
        <row r="7">
          <cell r="A7">
            <v>1406</v>
          </cell>
        </row>
        <row r="8">
          <cell r="A8">
            <v>1407</v>
          </cell>
        </row>
        <row r="9">
          <cell r="A9">
            <v>1408</v>
          </cell>
        </row>
        <row r="10">
          <cell r="A10">
            <v>1409</v>
          </cell>
        </row>
        <row r="11">
          <cell r="A11">
            <v>1410</v>
          </cell>
        </row>
        <row r="12">
          <cell r="A12">
            <v>1411</v>
          </cell>
        </row>
        <row r="13">
          <cell r="A13">
            <v>1412</v>
          </cell>
        </row>
        <row r="14">
          <cell r="A14">
            <v>1501</v>
          </cell>
        </row>
        <row r="15">
          <cell r="A15">
            <v>1502</v>
          </cell>
        </row>
        <row r="16">
          <cell r="A16">
            <v>1503</v>
          </cell>
        </row>
        <row r="17">
          <cell r="A17">
            <v>1504</v>
          </cell>
        </row>
        <row r="18">
          <cell r="A18">
            <v>1505</v>
          </cell>
        </row>
        <row r="19">
          <cell r="A19">
            <v>1507</v>
          </cell>
        </row>
        <row r="20">
          <cell r="A20">
            <v>1509</v>
          </cell>
        </row>
        <row r="21">
          <cell r="A21">
            <v>1510</v>
          </cell>
        </row>
        <row r="22">
          <cell r="A22">
            <v>1511</v>
          </cell>
        </row>
        <row r="23">
          <cell r="A23">
            <v>1512</v>
          </cell>
        </row>
        <row r="24">
          <cell r="A24">
            <v>1513</v>
          </cell>
        </row>
        <row r="25">
          <cell r="A25">
            <v>1514</v>
          </cell>
        </row>
        <row r="26">
          <cell r="A26">
            <v>1515</v>
          </cell>
        </row>
        <row r="27">
          <cell r="A27">
            <v>1516</v>
          </cell>
        </row>
        <row r="28">
          <cell r="A28">
            <v>1517</v>
          </cell>
        </row>
        <row r="29">
          <cell r="A29">
            <v>8001</v>
          </cell>
        </row>
        <row r="30">
          <cell r="A30">
            <v>8002</v>
          </cell>
        </row>
        <row r="31">
          <cell r="A31">
            <v>8003</v>
          </cell>
        </row>
        <row r="32">
          <cell r="A32">
            <v>8101</v>
          </cell>
        </row>
        <row r="33">
          <cell r="A33">
            <v>8102</v>
          </cell>
        </row>
        <row r="34">
          <cell r="A34">
            <v>8103</v>
          </cell>
        </row>
        <row r="35">
          <cell r="A35">
            <v>8104</v>
          </cell>
        </row>
        <row r="36">
          <cell r="A36">
            <v>8105</v>
          </cell>
        </row>
        <row r="37">
          <cell r="A37">
            <v>8106</v>
          </cell>
        </row>
        <row r="38">
          <cell r="A38">
            <v>8107</v>
          </cell>
        </row>
        <row r="39">
          <cell r="A39">
            <v>8108</v>
          </cell>
        </row>
        <row r="40">
          <cell r="A40">
            <v>8109</v>
          </cell>
        </row>
        <row r="41">
          <cell r="A41">
            <v>8110</v>
          </cell>
        </row>
        <row r="42">
          <cell r="A42">
            <v>8111</v>
          </cell>
        </row>
        <row r="43">
          <cell r="A43">
            <v>8112</v>
          </cell>
        </row>
        <row r="44">
          <cell r="A44">
            <v>8113</v>
          </cell>
        </row>
        <row r="45">
          <cell r="A45">
            <v>8114</v>
          </cell>
        </row>
        <row r="46">
          <cell r="A46">
            <v>8115</v>
          </cell>
        </row>
        <row r="47">
          <cell r="A47">
            <v>8200</v>
          </cell>
        </row>
        <row r="48">
          <cell r="A48">
            <v>8201</v>
          </cell>
        </row>
        <row r="49">
          <cell r="A49">
            <v>8202</v>
          </cell>
        </row>
        <row r="50">
          <cell r="A50">
            <v>8203</v>
          </cell>
        </row>
        <row r="51">
          <cell r="A51">
            <v>8204</v>
          </cell>
        </row>
        <row r="52">
          <cell r="A52">
            <v>8205</v>
          </cell>
        </row>
        <row r="53">
          <cell r="A53">
            <v>8206</v>
          </cell>
        </row>
        <row r="54">
          <cell r="A54">
            <v>8207</v>
          </cell>
        </row>
        <row r="55">
          <cell r="A55">
            <v>8208</v>
          </cell>
        </row>
        <row r="56">
          <cell r="A56">
            <v>8209</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ENTROS DE COSTOS"/>
      <sheetName val="UEN"/>
      <sheetName val="septiembre 08 "/>
      <sheetName val="septiembre 08 MARGARITA"/>
      <sheetName val="CUENTAS"/>
      <sheetName val="PROYECTOS"/>
    </sheetNames>
    <sheetDataSet>
      <sheetData sheetId="0" refreshError="1">
        <row r="2">
          <cell r="A2" t="str">
            <v>Presidencia</v>
          </cell>
          <cell r="B2" t="str">
            <v>01000000</v>
          </cell>
        </row>
        <row r="3">
          <cell r="A3" t="str">
            <v>Consejo Directivo</v>
          </cell>
          <cell r="B3" t="str">
            <v>01010000</v>
          </cell>
        </row>
        <row r="4">
          <cell r="A4" t="str">
            <v>Comunicaciones</v>
          </cell>
          <cell r="B4" t="str">
            <v>02000000</v>
          </cell>
        </row>
        <row r="5">
          <cell r="A5" t="str">
            <v>Atención de Inversionistas</v>
          </cell>
          <cell r="B5" t="str">
            <v>03000000</v>
          </cell>
        </row>
        <row r="6">
          <cell r="A6" t="str">
            <v>Emisores</v>
          </cell>
          <cell r="B6" t="str">
            <v>05200000</v>
          </cell>
        </row>
        <row r="7">
          <cell r="A7" t="str">
            <v>Operaciones Especiales</v>
          </cell>
          <cell r="B7" t="str">
            <v>05210000</v>
          </cell>
        </row>
        <row r="8">
          <cell r="A8" t="str">
            <v>Colombia Capital</v>
          </cell>
          <cell r="B8" t="str">
            <v>05400000</v>
          </cell>
        </row>
        <row r="9">
          <cell r="A9" t="str">
            <v>Planeación y Finanzas</v>
          </cell>
          <cell r="B9" t="str">
            <v>06000000</v>
          </cell>
        </row>
        <row r="10">
          <cell r="A10" t="str">
            <v>Vicepresidencia de Desarrollo Organizacional</v>
          </cell>
          <cell r="B10" t="str">
            <v>06100000</v>
          </cell>
        </row>
        <row r="11">
          <cell r="A11" t="str">
            <v>Gestión de Riesgos</v>
          </cell>
          <cell r="B11" t="str">
            <v>06200000</v>
          </cell>
        </row>
        <row r="12">
          <cell r="A12" t="str">
            <v>Gestión Humana</v>
          </cell>
          <cell r="B12" t="str">
            <v>06300000</v>
          </cell>
        </row>
        <row r="13">
          <cell r="A13" t="str">
            <v>Vicepresidencia de Intermediarios e Inversionistas</v>
          </cell>
          <cell r="B13" t="str">
            <v>07000000</v>
          </cell>
        </row>
        <row r="14">
          <cell r="A14" t="str">
            <v>Intermediarios</v>
          </cell>
          <cell r="B14" t="str">
            <v>07100000</v>
          </cell>
        </row>
        <row r="15">
          <cell r="A15" t="str">
            <v>Regional Medellín</v>
          </cell>
          <cell r="B15" t="str">
            <v>08000000</v>
          </cell>
        </row>
        <row r="16">
          <cell r="A16" t="str">
            <v>Regional Cali</v>
          </cell>
          <cell r="B16" t="str">
            <v>09000000</v>
          </cell>
        </row>
        <row r="17">
          <cell r="A17" t="str">
            <v>Inversionistas Personas Naturales</v>
          </cell>
          <cell r="B17" t="str">
            <v>10100000</v>
          </cell>
        </row>
        <row r="18">
          <cell r="A18" t="str">
            <v>Inversionistas Institucionales</v>
          </cell>
          <cell r="B18" t="str">
            <v>10200000</v>
          </cell>
        </row>
        <row r="19">
          <cell r="A19" t="str">
            <v>Vicepresidencia de Tecnología</v>
          </cell>
          <cell r="B19" t="str">
            <v>11000000</v>
          </cell>
        </row>
        <row r="20">
          <cell r="A20" t="str">
            <v>Arquitectura</v>
          </cell>
          <cell r="B20" t="str">
            <v>11100000</v>
          </cell>
        </row>
        <row r="21">
          <cell r="A21" t="str">
            <v>Servicios de Infraestructura</v>
          </cell>
          <cell r="B21" t="str">
            <v>11200000</v>
          </cell>
        </row>
        <row r="22">
          <cell r="A22" t="str">
            <v>Vicepresidencia de Administración y Gestión de Proyectos</v>
          </cell>
          <cell r="B22" t="str">
            <v>12000000</v>
          </cell>
        </row>
        <row r="23">
          <cell r="A23" t="str">
            <v>Gestión de Aplicaciones</v>
          </cell>
          <cell r="B23" t="str">
            <v>12400000</v>
          </cell>
        </row>
        <row r="24">
          <cell r="A24" t="str">
            <v>Gestión de Proyectos</v>
          </cell>
          <cell r="B24" t="str">
            <v>12500000</v>
          </cell>
        </row>
        <row r="25">
          <cell r="A25" t="str">
            <v>Vicepresidencia Jurídica y Secretaría General</v>
          </cell>
          <cell r="B25" t="str">
            <v>13000000</v>
          </cell>
        </row>
        <row r="26">
          <cell r="A26" t="str">
            <v>Legal</v>
          </cell>
          <cell r="B26" t="str">
            <v>13100000</v>
          </cell>
        </row>
        <row r="27">
          <cell r="A27" t="str">
            <v>Regulación</v>
          </cell>
          <cell r="B27" t="str">
            <v>13200000</v>
          </cell>
        </row>
        <row r="28">
          <cell r="A28" t="str">
            <v>Administración de Mercados</v>
          </cell>
          <cell r="B28" t="str">
            <v>14000000</v>
          </cell>
        </row>
        <row r="29">
          <cell r="A29" t="str">
            <v>Negociación</v>
          </cell>
          <cell r="B29" t="str">
            <v>14100000</v>
          </cell>
        </row>
        <row r="30">
          <cell r="A30" t="str">
            <v>Cumplimiento, Compensación y Garantías</v>
          </cell>
          <cell r="B30" t="str">
            <v>14200000</v>
          </cell>
        </row>
        <row r="31">
          <cell r="A31" t="str">
            <v>Vicepresidencia de Administración de Mercados</v>
          </cell>
          <cell r="B31" t="str">
            <v>14300000</v>
          </cell>
        </row>
        <row r="32">
          <cell r="A32" t="str">
            <v>Información e INFOVAL</v>
          </cell>
          <cell r="B32" t="str">
            <v>14400000</v>
          </cell>
        </row>
        <row r="33">
          <cell r="A33" t="str">
            <v>Corporativo</v>
          </cell>
          <cell r="B33" t="str">
            <v>15000000</v>
          </cell>
        </row>
      </sheetData>
      <sheetData sheetId="1" refreshError="1">
        <row r="2">
          <cell r="A2" t="str">
            <v>Inversionistas Personas Naturales</v>
          </cell>
        </row>
        <row r="3">
          <cell r="A3" t="str">
            <v>Inversionistas Institucionales</v>
          </cell>
        </row>
        <row r="4">
          <cell r="A4" t="str">
            <v>Intermediarios</v>
          </cell>
        </row>
        <row r="5">
          <cell r="A5" t="str">
            <v>Emisores</v>
          </cell>
        </row>
        <row r="6">
          <cell r="A6" t="str">
            <v>Dia Dia</v>
          </cell>
        </row>
      </sheetData>
      <sheetData sheetId="2" refreshError="1"/>
      <sheetData sheetId="3" refreshError="1"/>
      <sheetData sheetId="4" refreshError="1">
        <row r="2">
          <cell r="A2" t="str">
            <v>HONORARIOS</v>
          </cell>
          <cell r="B2" t="str">
            <v>26050500</v>
          </cell>
        </row>
        <row r="3">
          <cell r="A3" t="str">
            <v>CONTRIBUCIONES Y AFILIACIONES</v>
          </cell>
          <cell r="B3" t="str">
            <v>26051500</v>
          </cell>
        </row>
        <row r="4">
          <cell r="A4" t="str">
            <v>SEGUROS - INCENDIO MANEJO Y TERREMOTO</v>
          </cell>
          <cell r="B4" t="str">
            <v>26052001</v>
          </cell>
        </row>
        <row r="5">
          <cell r="A5" t="str">
            <v>SEGUROS - CORRIENTE DEBIL EQUIPO ELECTRO</v>
          </cell>
          <cell r="B5" t="str">
            <v>26052003</v>
          </cell>
        </row>
        <row r="6">
          <cell r="A6" t="str">
            <v>SEGUROS - SEGURO DE RESPONSABILIDAD CIVI</v>
          </cell>
          <cell r="B6" t="str">
            <v>26052006</v>
          </cell>
        </row>
        <row r="7">
          <cell r="A7" t="str">
            <v>SEGUROS - RIESGOS FINANCIEROS INFIDELIDA</v>
          </cell>
          <cell r="B7" t="str">
            <v>26052007</v>
          </cell>
        </row>
        <row r="8">
          <cell r="A8" t="str">
            <v>SERVICIOS</v>
          </cell>
          <cell r="B8" t="str">
            <v>26052500</v>
          </cell>
        </row>
        <row r="9">
          <cell r="A9" t="str">
            <v>MANTENIMIENTO Y REPARACIONES</v>
          </cell>
          <cell r="B9" t="str">
            <v>26053500</v>
          </cell>
        </row>
        <row r="10">
          <cell r="A10" t="str">
            <v>UTILES</v>
          </cell>
          <cell r="B10" t="str">
            <v>26059501</v>
          </cell>
        </row>
        <row r="11">
          <cell r="A11" t="str">
            <v>PAPELERIA</v>
          </cell>
          <cell r="B11" t="str">
            <v>26059502</v>
          </cell>
        </row>
        <row r="12">
          <cell r="A12" t="str">
            <v>FOTOCOPIAS</v>
          </cell>
          <cell r="B12" t="str">
            <v>26059503</v>
          </cell>
        </row>
        <row r="13">
          <cell r="A13" t="str">
            <v>DIVULGACION Y PUBLICIDAD</v>
          </cell>
          <cell r="B13" t="str">
            <v>26059510</v>
          </cell>
        </row>
        <row r="14">
          <cell r="A14" t="str">
            <v>PROPAGANDA</v>
          </cell>
          <cell r="B14" t="str">
            <v>26059513</v>
          </cell>
        </row>
        <row r="15">
          <cell r="A15" t="str">
            <v>CONCURSO PORTAFOLIO</v>
          </cell>
          <cell r="B15" t="str">
            <v>26059514</v>
          </cell>
        </row>
        <row r="16">
          <cell r="A16" t="str">
            <v>SEMINARIOS Y SIMPOSIOS</v>
          </cell>
          <cell r="B16" t="str">
            <v>26059515</v>
          </cell>
        </row>
        <row r="17">
          <cell r="A17" t="str">
            <v>CONGRESO NAL MERCADO DE CAPITA</v>
          </cell>
          <cell r="B17" t="str">
            <v>26059517</v>
          </cell>
        </row>
        <row r="18">
          <cell r="A18" t="str">
            <v>HORAS EXTRAS</v>
          </cell>
          <cell r="B18" t="str">
            <v>26059521</v>
          </cell>
        </row>
        <row r="19">
          <cell r="A19" t="str">
            <v>SALARIO INTEGRAL</v>
          </cell>
          <cell r="B19" t="str">
            <v>26059522</v>
          </cell>
        </row>
        <row r="20">
          <cell r="A20" t="str">
            <v>ACTIVIDADES RECREATIVAS</v>
          </cell>
          <cell r="B20" t="str">
            <v>26059523</v>
          </cell>
        </row>
        <row r="21">
          <cell r="A21" t="str">
            <v>SEGURIDAD SOCIAL</v>
          </cell>
          <cell r="B21" t="str">
            <v>26059524</v>
          </cell>
        </row>
        <row r="22">
          <cell r="A22" t="str">
            <v>INDEMNIZACIONES</v>
          </cell>
          <cell r="B22" t="str">
            <v>26059525</v>
          </cell>
        </row>
        <row r="23">
          <cell r="A23" t="str">
            <v>SUELDOS</v>
          </cell>
          <cell r="B23" t="str">
            <v>26059526</v>
          </cell>
        </row>
        <row r="24">
          <cell r="A24" t="str">
            <v>BONIFICACIONES</v>
          </cell>
          <cell r="B24" t="str">
            <v>26059527</v>
          </cell>
        </row>
        <row r="25">
          <cell r="A25" t="str">
            <v>SEMINARIOS</v>
          </cell>
          <cell r="B25" t="str">
            <v>26059528</v>
          </cell>
        </row>
        <row r="26">
          <cell r="A26" t="str">
            <v>MONETIZACION SENA</v>
          </cell>
          <cell r="B26" t="str">
            <v>26059529</v>
          </cell>
        </row>
        <row r="27">
          <cell r="A27" t="str">
            <v>APORTES BID</v>
          </cell>
          <cell r="B27" t="str">
            <v>26059540</v>
          </cell>
        </row>
        <row r="28">
          <cell r="A28" t="str">
            <v>RELACIONES PUBLICAS</v>
          </cell>
          <cell r="B28" t="str">
            <v>26059560</v>
          </cell>
        </row>
        <row r="29">
          <cell r="A29" t="str">
            <v>ATENCIONES COMISIONISTAS</v>
          </cell>
          <cell r="B29" t="str">
            <v>26059561</v>
          </cell>
        </row>
        <row r="30">
          <cell r="A30" t="str">
            <v>ATENCIONES TARJETAS DE CREDITO</v>
          </cell>
          <cell r="B30" t="str">
            <v>26059562</v>
          </cell>
        </row>
        <row r="31">
          <cell r="A31" t="str">
            <v>OTRAS ATENCIONES</v>
          </cell>
          <cell r="B31" t="str">
            <v>26059563</v>
          </cell>
        </row>
        <row r="32">
          <cell r="A32" t="str">
            <v>ATENCIONES EN CLUBES</v>
          </cell>
          <cell r="B32" t="str">
            <v>26059564</v>
          </cell>
        </row>
        <row r="33">
          <cell r="A33" t="str">
            <v>GASTOS DE VIAJE</v>
          </cell>
          <cell r="B33" t="str">
            <v>26059570</v>
          </cell>
        </row>
        <row r="34">
          <cell r="A34" t="str">
            <v>OPEX PROYECTOS</v>
          </cell>
          <cell r="B34" t="str">
            <v>26059599</v>
          </cell>
        </row>
        <row r="37">
          <cell r="A37" t="str">
            <v>BIENESTAR  EVENTOS</v>
          </cell>
          <cell r="B37" t="str">
            <v>51056302</v>
          </cell>
        </row>
        <row r="38">
          <cell r="A38" t="str">
            <v>CAPACITACION</v>
          </cell>
          <cell r="B38">
            <v>51056005</v>
          </cell>
        </row>
        <row r="39">
          <cell r="A39" t="str">
            <v>HONORARIOS -CONSEJO DIRECTIVO</v>
          </cell>
          <cell r="B39" t="str">
            <v>51100501</v>
          </cell>
        </row>
        <row r="40">
          <cell r="A40" t="str">
            <v>HONORARIOS -CAMARA DE LA BOLSA</v>
          </cell>
          <cell r="B40" t="str">
            <v>51100502</v>
          </cell>
        </row>
        <row r="41">
          <cell r="A41" t="str">
            <v>HONORARIOS -REVISORIA FISCAL</v>
          </cell>
          <cell r="B41" t="str">
            <v>51101000</v>
          </cell>
        </row>
        <row r="42">
          <cell r="A42" t="str">
            <v>HONORARIOS -AUDITORIA EXTERNA</v>
          </cell>
          <cell r="B42" t="str">
            <v>51101500</v>
          </cell>
        </row>
        <row r="43">
          <cell r="A43" t="str">
            <v>HONORARIOS -ASESORIA JURIDICA</v>
          </cell>
          <cell r="B43" t="str">
            <v>51102500</v>
          </cell>
        </row>
        <row r="44">
          <cell r="A44" t="str">
            <v>HONORARIOS -ASESORIA TRIBUTARIA</v>
          </cell>
          <cell r="B44" t="str">
            <v>51102501</v>
          </cell>
        </row>
        <row r="45">
          <cell r="A45" t="str">
            <v>HONORARIOS -ASESORIA LABORAL</v>
          </cell>
          <cell r="B45" t="str">
            <v>51102502</v>
          </cell>
        </row>
        <row r="46">
          <cell r="A46" t="str">
            <v>HONORARIOS -ASESORIA LEGAL</v>
          </cell>
          <cell r="B46" t="str">
            <v>51102504</v>
          </cell>
        </row>
        <row r="47">
          <cell r="A47" t="str">
            <v>HONORARIOS -ASESORIA DE SISTEMAS</v>
          </cell>
          <cell r="B47" t="str">
            <v>51103510</v>
          </cell>
        </row>
        <row r="48">
          <cell r="A48" t="str">
            <v>HONORARIOS -ASESORIA TECNOLOGICA</v>
          </cell>
          <cell r="B48" t="str">
            <v>51103530</v>
          </cell>
        </row>
        <row r="49">
          <cell r="A49" t="str">
            <v>HONORARIOS -DOCENTES FORMACION BURSATIL</v>
          </cell>
          <cell r="B49" t="str">
            <v>51109502</v>
          </cell>
        </row>
        <row r="50">
          <cell r="A50" t="str">
            <v>HONORARIOS -ASESORIAS DESARROLLO DE PRODUC</v>
          </cell>
          <cell r="B50" t="str">
            <v>51109503</v>
          </cell>
        </row>
        <row r="51">
          <cell r="A51" t="str">
            <v>HONORARIOS -PROYECTOS</v>
          </cell>
          <cell r="B51" t="str">
            <v>51109504</v>
          </cell>
        </row>
        <row r="52">
          <cell r="A52" t="str">
            <v>HONORARIOS -COMITE DE REGULACION</v>
          </cell>
          <cell r="B52" t="str">
            <v>51109505</v>
          </cell>
        </row>
        <row r="53">
          <cell r="A53" t="str">
            <v>HONORARIOS -COMITE DE GOBIERNO CORPORATIVO</v>
          </cell>
          <cell r="B53" t="str">
            <v>51109506</v>
          </cell>
        </row>
        <row r="54">
          <cell r="A54" t="str">
            <v>HONORARIOS -COMITE AUDITORIA</v>
          </cell>
          <cell r="B54" t="str">
            <v>51109507</v>
          </cell>
        </row>
        <row r="55">
          <cell r="A55" t="str">
            <v>HONORARIOS -COMITE ADMINISTRATIVO Y FINANC</v>
          </cell>
          <cell r="B55" t="str">
            <v>51109508</v>
          </cell>
        </row>
        <row r="56">
          <cell r="A56" t="str">
            <v>HONORARIOS -OTROS</v>
          </cell>
          <cell r="B56" t="str">
            <v>51109595</v>
          </cell>
        </row>
        <row r="57">
          <cell r="A57" t="str">
            <v>ARRENDAMIENTOS - EDIFICACIONES</v>
          </cell>
          <cell r="B57" t="str">
            <v>51200500</v>
          </cell>
        </row>
        <row r="58">
          <cell r="A58" t="str">
            <v>ARRENDAMIENTOS - EQUIPOS ELECTRONICOS</v>
          </cell>
          <cell r="B58" t="str">
            <v>51201001</v>
          </cell>
        </row>
        <row r="59">
          <cell r="A59" t="str">
            <v>ARRENDAMIENTOS - EQUIPO DE COMUNICACION Y COMPU</v>
          </cell>
          <cell r="B59" t="str">
            <v>51201500</v>
          </cell>
        </row>
        <row r="60">
          <cell r="A60" t="str">
            <v>ARRENDAMIENTOS - ARRENDAMIENTO DE SOFWARE</v>
          </cell>
          <cell r="B60" t="str">
            <v>51209501</v>
          </cell>
        </row>
        <row r="61">
          <cell r="A61" t="str">
            <v>ARRENDAMIENTOS - VEHICULOS</v>
          </cell>
          <cell r="B61" t="str">
            <v>51209502</v>
          </cell>
        </row>
        <row r="62">
          <cell r="A62" t="str">
            <v>ARRENDAMIENTOS - PLANTA ELECTRICA (BANCO DE CAR</v>
          </cell>
          <cell r="B62" t="str">
            <v>51209505</v>
          </cell>
        </row>
        <row r="63">
          <cell r="A63" t="str">
            <v>ARRENDAMIENTOS - DATACENTER ALTERNO</v>
          </cell>
          <cell r="B63" t="str">
            <v>51209506</v>
          </cell>
        </row>
        <row r="64">
          <cell r="A64" t="str">
            <v>ARRENDAMIENTOS - OTROS</v>
          </cell>
          <cell r="B64" t="str">
            <v>51209507</v>
          </cell>
        </row>
        <row r="65">
          <cell r="A65" t="str">
            <v>ARRENDAMIENTOS - STAND PARA EVENTOS</v>
          </cell>
          <cell r="B65" t="str">
            <v>51209508</v>
          </cell>
        </row>
        <row r="66">
          <cell r="A66" t="str">
            <v>CONTRIBUCIONES</v>
          </cell>
          <cell r="B66" t="str">
            <v>51250500</v>
          </cell>
        </row>
        <row r="67">
          <cell r="A67" t="str">
            <v>AFILIACIONES</v>
          </cell>
          <cell r="B67" t="str">
            <v>51251000</v>
          </cell>
        </row>
        <row r="68">
          <cell r="A68" t="str">
            <v>SEGUROS - POLIZA DE MINCOMUNICACIONES</v>
          </cell>
          <cell r="B68" t="str">
            <v>51301001</v>
          </cell>
        </row>
        <row r="69">
          <cell r="A69" t="str">
            <v>SEGUROS - WINSET</v>
          </cell>
          <cell r="B69" t="str">
            <v>51301002</v>
          </cell>
        </row>
        <row r="70">
          <cell r="A70" t="str">
            <v>SEGUROS - POR CONTRATOS REALIZADOS</v>
          </cell>
          <cell r="B70" t="str">
            <v>51301003</v>
          </cell>
        </row>
        <row r="71">
          <cell r="A71" t="str">
            <v>SEGUROS - SEGURO DE VEHICULOS</v>
          </cell>
          <cell r="B71" t="str">
            <v>51309503</v>
          </cell>
        </row>
        <row r="72">
          <cell r="A72" t="str">
            <v>SEGUROS - RIESGOS FINANCIEROS</v>
          </cell>
          <cell r="B72" t="str">
            <v>51309505</v>
          </cell>
        </row>
        <row r="73">
          <cell r="A73" t="str">
            <v>SEGUROS - RESPONSABILIDAD CIVIL GASTOS A</v>
          </cell>
          <cell r="B73" t="str">
            <v>51309506</v>
          </cell>
        </row>
        <row r="74">
          <cell r="A74" t="str">
            <v>SEGUROS - MULTIRIESGO</v>
          </cell>
          <cell r="B74" t="str">
            <v>51309507</v>
          </cell>
        </row>
        <row r="75">
          <cell r="A75" t="str">
            <v>SEGUROS - TRANSPORTE</v>
          </cell>
          <cell r="B75" t="str">
            <v>51309508</v>
          </cell>
        </row>
        <row r="76">
          <cell r="A76" t="str">
            <v>SERVICIOS - ADMINISTRACION CALI</v>
          </cell>
          <cell r="B76" t="str">
            <v>51350500</v>
          </cell>
        </row>
        <row r="77">
          <cell r="A77" t="str">
            <v>SERVICIOS - ASEO</v>
          </cell>
          <cell r="B77" t="str">
            <v>51350501</v>
          </cell>
        </row>
        <row r="78">
          <cell r="A78" t="str">
            <v>SERVICIOS - VIGILANCIA</v>
          </cell>
          <cell r="B78" t="str">
            <v>51350502</v>
          </cell>
        </row>
        <row r="79">
          <cell r="A79" t="str">
            <v>SERVICIOS - ACTUALIZACION BASES DE DATOS</v>
          </cell>
          <cell r="B79" t="str">
            <v>51350503</v>
          </cell>
        </row>
        <row r="80">
          <cell r="A80" t="str">
            <v>SERVICIOS - OFICINA</v>
          </cell>
          <cell r="B80" t="str">
            <v>51351001</v>
          </cell>
        </row>
        <row r="81">
          <cell r="A81" t="str">
            <v>SERVICIOS - MENSAJERIA</v>
          </cell>
          <cell r="B81" t="str">
            <v>51351002</v>
          </cell>
        </row>
        <row r="82">
          <cell r="A82" t="str">
            <v>SERVICIOS - ASEO Y CAFETERIA</v>
          </cell>
          <cell r="B82" t="str">
            <v>51351003</v>
          </cell>
        </row>
        <row r="83">
          <cell r="A83" t="str">
            <v>SERVICIOS - ACUEDUCTO Y ALCANTARILLADO</v>
          </cell>
          <cell r="B83" t="str">
            <v>51352500</v>
          </cell>
        </row>
        <row r="84">
          <cell r="A84" t="str">
            <v>SERVICIOS - ENERGIA ELECTRICA</v>
          </cell>
          <cell r="B84" t="str">
            <v>51353000</v>
          </cell>
        </row>
        <row r="85">
          <cell r="A85" t="str">
            <v>SERVICIOS - TELEFONOS OFICINAS</v>
          </cell>
          <cell r="B85" t="str">
            <v>51353501</v>
          </cell>
        </row>
        <row r="86">
          <cell r="A86" t="str">
            <v>SERVICIOS - TARJETAS PREPAGO CELULAR</v>
          </cell>
          <cell r="B86" t="str">
            <v>51353503</v>
          </cell>
        </row>
        <row r="87">
          <cell r="A87" t="str">
            <v>SERVICIOS - TELEFONOS DISCADOS</v>
          </cell>
          <cell r="B87" t="str">
            <v>51353504</v>
          </cell>
        </row>
        <row r="88">
          <cell r="A88" t="str">
            <v>SERVICIOS - TARJETAS INTERNET</v>
          </cell>
          <cell r="B88" t="str">
            <v>51353505</v>
          </cell>
        </row>
        <row r="89">
          <cell r="A89" t="str">
            <v>SERVICIOS - CORREO, PORTES Y TELEGRAMAS</v>
          </cell>
          <cell r="B89" t="str">
            <v>51354000</v>
          </cell>
        </row>
        <row r="90">
          <cell r="A90" t="str">
            <v>SERVICIOS - TRASPORTES FLETES Y ACARREOS</v>
          </cell>
          <cell r="B90" t="str">
            <v>51355000</v>
          </cell>
        </row>
        <row r="91">
          <cell r="A91" t="str">
            <v>SERVICIOS - ADMINISTRACION INMUEBLES</v>
          </cell>
          <cell r="B91" t="str">
            <v>51355500</v>
          </cell>
        </row>
        <row r="92">
          <cell r="A92" t="str">
            <v>SERVICIOS - SUSCRIPCIONES A PERIODICOS</v>
          </cell>
          <cell r="B92" t="str">
            <v>51356001</v>
          </cell>
        </row>
        <row r="93">
          <cell r="A93" t="str">
            <v>SERVICIOS - SUSCRIPCIONES A REVISTAS</v>
          </cell>
          <cell r="B93" t="str">
            <v>51356002</v>
          </cell>
        </row>
        <row r="94">
          <cell r="A94" t="str">
            <v>SERVICIOS - SUSCRIPCIONES A CODIGOS</v>
          </cell>
          <cell r="B94" t="str">
            <v>51356003</v>
          </cell>
        </row>
        <row r="95">
          <cell r="A95" t="str">
            <v>SERVICIOS - SUSCRIPCIONES A PAGINAS DE INTERNET</v>
          </cell>
          <cell r="B95" t="str">
            <v>51356004</v>
          </cell>
        </row>
        <row r="96">
          <cell r="A96" t="str">
            <v>SERVICIOS - SUSCRIPCIONES A TELEVISION SATELITAL</v>
          </cell>
          <cell r="B96" t="str">
            <v>51356005</v>
          </cell>
        </row>
        <row r="97">
          <cell r="A97" t="str">
            <v>SERVICIOS - CUSTODIA Y ADMON DE TITULOS</v>
          </cell>
          <cell r="B97" t="str">
            <v>51359501</v>
          </cell>
        </row>
        <row r="98">
          <cell r="A98" t="str">
            <v>SERVICIOS - SERVICIOS ESP DE COMUNICACION</v>
          </cell>
          <cell r="B98" t="str">
            <v>51359502</v>
          </cell>
        </row>
        <row r="99">
          <cell r="A99" t="str">
            <v>SERVICIOS - SELECCION DE PERSONAL</v>
          </cell>
          <cell r="B99" t="str">
            <v>51359503</v>
          </cell>
        </row>
        <row r="100">
          <cell r="A100" t="str">
            <v>SERVICIOS - CONSULTA A LA CENTRAL DE INFOR</v>
          </cell>
          <cell r="B100" t="str">
            <v>51359504</v>
          </cell>
        </row>
        <row r="101">
          <cell r="A101" t="str">
            <v>SERVICIOS - SISTEMA MONITOR</v>
          </cell>
          <cell r="B101" t="str">
            <v>51359505</v>
          </cell>
        </row>
        <row r="102">
          <cell r="A102" t="str">
            <v>SERVICIOS - CUSTODIA Y CONSERVACION ARCHIV</v>
          </cell>
          <cell r="B102" t="str">
            <v>51359506</v>
          </cell>
        </row>
        <row r="103">
          <cell r="A103" t="str">
            <v>SERVICIOS - PAGINA WEB</v>
          </cell>
          <cell r="B103" t="str">
            <v>51359507</v>
          </cell>
        </row>
        <row r="104">
          <cell r="A104" t="str">
            <v>SERVICIOS - PLAN DE CONTINGENCIA</v>
          </cell>
          <cell r="B104" t="str">
            <v>51359508</v>
          </cell>
        </row>
        <row r="105">
          <cell r="A105" t="str">
            <v>SERVICIOS - OTROS SERVICIOS</v>
          </cell>
          <cell r="B105" t="str">
            <v>51359509</v>
          </cell>
        </row>
        <row r="106">
          <cell r="A106" t="str">
            <v>SERVICIOS - CLASIFICACION CORRESPONDENCIA</v>
          </cell>
          <cell r="B106" t="str">
            <v>51359510</v>
          </cell>
        </row>
        <row r="107">
          <cell r="A107" t="str">
            <v>SERVICIOS - APOYO OPERATIVO DIGITADORES</v>
          </cell>
          <cell r="B107" t="str">
            <v>51359511</v>
          </cell>
        </row>
        <row r="108">
          <cell r="A108" t="str">
            <v>DIVULGACION - DIVULGACION</v>
          </cell>
          <cell r="B108">
            <v>51360500</v>
          </cell>
        </row>
        <row r="109">
          <cell r="A109" t="str">
            <v>DIVULGACION - AVISOS Y TRANSMISIONES</v>
          </cell>
          <cell r="B109" t="str">
            <v>51360501</v>
          </cell>
        </row>
        <row r="110">
          <cell r="A110" t="str">
            <v>DIVULGACION - MERCADEO</v>
          </cell>
          <cell r="B110" t="str">
            <v>51360502</v>
          </cell>
        </row>
        <row r="111">
          <cell r="A111" t="str">
            <v>DIVULGACION - COMUNICACION INTERNA</v>
          </cell>
          <cell r="B111" t="str">
            <v>51360503</v>
          </cell>
        </row>
        <row r="112">
          <cell r="A112" t="str">
            <v>DIVULGACION - CAPACITACION CLIENTES</v>
          </cell>
          <cell r="B112" t="str">
            <v>51360504</v>
          </cell>
        </row>
        <row r="113">
          <cell r="A113" t="str">
            <v>DIVULGACION - EVENTOS</v>
          </cell>
          <cell r="B113" t="str">
            <v>51360505</v>
          </cell>
        </row>
        <row r="114">
          <cell r="A114" t="str">
            <v>DIVULGACION - PATROCINIOS</v>
          </cell>
          <cell r="B114" t="str">
            <v>51360509</v>
          </cell>
        </row>
        <row r="115">
          <cell r="A115" t="str">
            <v>PUBLICIDAD - PROPAGANDA</v>
          </cell>
          <cell r="B115" t="str">
            <v>51361001</v>
          </cell>
        </row>
        <row r="116">
          <cell r="A116" t="str">
            <v>PUBLICIDAD - SEMINARIOS</v>
          </cell>
          <cell r="B116" t="str">
            <v>51361002</v>
          </cell>
        </row>
        <row r="117">
          <cell r="A117" t="str">
            <v>PUBLICIDAD - MARTILLOS-DEMOCRATIZ Y SUBAST</v>
          </cell>
          <cell r="B117" t="str">
            <v>51361003</v>
          </cell>
        </row>
        <row r="118">
          <cell r="A118" t="str">
            <v>PUBLICIDAD - CONCURSO BOLSA MILLONARIA</v>
          </cell>
          <cell r="B118" t="str">
            <v>51361004</v>
          </cell>
        </row>
        <row r="119">
          <cell r="A119" t="str">
            <v>PUBLICIDAD - FOTOGRAFIAS</v>
          </cell>
          <cell r="B119" t="str">
            <v>51361005</v>
          </cell>
        </row>
        <row r="120">
          <cell r="A120" t="str">
            <v>PUBLICIDAD - CONCURSO PORTAFOLIO</v>
          </cell>
          <cell r="B120" t="str">
            <v>51361006</v>
          </cell>
        </row>
        <row r="121">
          <cell r="A121" t="str">
            <v>PUBLICIDAD - CONCURSO JUGADA MAESTRA</v>
          </cell>
          <cell r="B121" t="str">
            <v>51361007</v>
          </cell>
        </row>
        <row r="122">
          <cell r="A122" t="str">
            <v>PUBLICIDAD - CONGRESOS</v>
          </cell>
          <cell r="B122" t="str">
            <v>51361008</v>
          </cell>
        </row>
        <row r="123">
          <cell r="A123" t="str">
            <v>PUBLICIDAD - PATROCINIOS</v>
          </cell>
          <cell r="B123" t="str">
            <v>51361009</v>
          </cell>
        </row>
        <row r="124">
          <cell r="A124" t="str">
            <v>RELACIONES PUBLICAS - ATENCIONES EN CLUBES</v>
          </cell>
          <cell r="B124" t="str">
            <v>51370502</v>
          </cell>
        </row>
        <row r="125">
          <cell r="A125" t="str">
            <v>RELACIONES PUBLICAS - ATENCIONES CON TARJETA CREDITO</v>
          </cell>
          <cell r="B125" t="str">
            <v>51370503</v>
          </cell>
        </row>
        <row r="126">
          <cell r="A126" t="str">
            <v>RELACIONES PUBLICAS - ATENCION CONSEJO DIRECTIVO</v>
          </cell>
          <cell r="B126" t="str">
            <v>51370504</v>
          </cell>
        </row>
        <row r="127">
          <cell r="A127" t="str">
            <v>RELACIONES PUBLICAS - ATENCIONES COMISIONISTAS</v>
          </cell>
          <cell r="B127" t="str">
            <v>51370505</v>
          </cell>
        </row>
        <row r="128">
          <cell r="A128" t="str">
            <v>RELACIONES PUBLICAS - OTRAS ATENCIONES</v>
          </cell>
          <cell r="B128" t="str">
            <v>51370506</v>
          </cell>
        </row>
        <row r="129">
          <cell r="A129" t="str">
            <v>RELACIONES PUBLICAS - CUOTAS DE SOSTENIMIENTO CLUBES</v>
          </cell>
          <cell r="B129" t="str">
            <v>51370507</v>
          </cell>
        </row>
        <row r="130">
          <cell r="A130" t="str">
            <v>RELACIONES PUBLICAS - ATENCIONES FIN DE AÑO</v>
          </cell>
          <cell r="B130" t="str">
            <v>51370508</v>
          </cell>
        </row>
        <row r="131">
          <cell r="A131" t="str">
            <v>RELACIONES PUBLICAS - EVENTOS</v>
          </cell>
          <cell r="B131" t="str">
            <v>51370509</v>
          </cell>
        </row>
        <row r="132">
          <cell r="A132" t="str">
            <v>UTILES</v>
          </cell>
          <cell r="B132" t="str">
            <v>51380501</v>
          </cell>
        </row>
        <row r="133">
          <cell r="A133" t="str">
            <v>INSUMOS IMPRESORAS</v>
          </cell>
          <cell r="B133" t="str">
            <v>51380502</v>
          </cell>
        </row>
        <row r="134">
          <cell r="A134" t="str">
            <v>PAPELERIA</v>
          </cell>
          <cell r="B134" t="str">
            <v>51381001</v>
          </cell>
        </row>
        <row r="135">
          <cell r="A135" t="str">
            <v>TARJETAS DE PRESENTACION</v>
          </cell>
          <cell r="B135" t="str">
            <v>51381002</v>
          </cell>
        </row>
        <row r="136">
          <cell r="A136" t="str">
            <v>FOTOCOPIAS</v>
          </cell>
          <cell r="B136" t="str">
            <v>51381501</v>
          </cell>
        </row>
        <row r="137">
          <cell r="A137" t="str">
            <v>ANILLADOS</v>
          </cell>
          <cell r="B137" t="str">
            <v>51381502</v>
          </cell>
        </row>
        <row r="138">
          <cell r="A138" t="str">
            <v>SCANNER</v>
          </cell>
          <cell r="B138" t="str">
            <v>51381503</v>
          </cell>
        </row>
        <row r="139">
          <cell r="A139" t="str">
            <v>GASTOS POR ASAMBLEA</v>
          </cell>
          <cell r="B139" t="str">
            <v>51400501</v>
          </cell>
        </row>
        <row r="140">
          <cell r="A140" t="str">
            <v>NOTARIALES</v>
          </cell>
          <cell r="B140" t="str">
            <v>51410500</v>
          </cell>
        </row>
        <row r="141">
          <cell r="A141" t="str">
            <v>REGISTRO MERCANTIL</v>
          </cell>
          <cell r="B141" t="str">
            <v>51411000</v>
          </cell>
        </row>
        <row r="142">
          <cell r="A142" t="str">
            <v>TRAMITES Y LICENCIAS</v>
          </cell>
          <cell r="B142" t="str">
            <v>51411500</v>
          </cell>
        </row>
        <row r="143">
          <cell r="A143" t="str">
            <v>OTROS GASTOS LEGALES</v>
          </cell>
          <cell r="B143" t="str">
            <v>51419500</v>
          </cell>
        </row>
        <row r="144">
          <cell r="A144" t="str">
            <v>MANTENIMIENTO Y REPARACIONES   - EDIFICACIONES</v>
          </cell>
          <cell r="B144" t="str">
            <v>51451200</v>
          </cell>
        </row>
        <row r="145">
          <cell r="A145" t="str">
            <v>MANTENIMIENTO Y REPARACIONES   - EQUIPOS DE ASEO</v>
          </cell>
          <cell r="B145" t="str">
            <v>51451601</v>
          </cell>
        </row>
        <row r="146">
          <cell r="A146" t="str">
            <v>MANTENIMIENTO Y REPARACIONES   - RECARGA EXTINTORES</v>
          </cell>
          <cell r="B146" t="str">
            <v>51451602</v>
          </cell>
        </row>
        <row r="147">
          <cell r="A147" t="str">
            <v>MANTENIMIENTO Y REPARACIONES   - RELOJ MARCADOR</v>
          </cell>
          <cell r="B147" t="str">
            <v>51451603</v>
          </cell>
        </row>
        <row r="148">
          <cell r="A148" t="str">
            <v>MANTENIMIENTO Y REPARACIONES   - FOTOCOPIADORAS</v>
          </cell>
          <cell r="B148" t="str">
            <v>51451604</v>
          </cell>
        </row>
        <row r="149">
          <cell r="A149" t="str">
            <v>MANTENIMIENTO Y REPARACIONES   - MUEBLES</v>
          </cell>
          <cell r="B149" t="str">
            <v>51451606</v>
          </cell>
        </row>
        <row r="150">
          <cell r="A150" t="str">
            <v>MANTENIMIENTO Y REPARACIONES   - VIDEO BEAM</v>
          </cell>
          <cell r="B150" t="str">
            <v>51451607</v>
          </cell>
        </row>
        <row r="151">
          <cell r="A151" t="str">
            <v>MANTENIMIENTO Y REPARACIONES   - CONMUTADOR</v>
          </cell>
          <cell r="B151" t="str">
            <v>51451613</v>
          </cell>
        </row>
        <row r="152">
          <cell r="A152" t="str">
            <v>MANTENIMIENTO Y REPARACIONES   - PISO FALSO</v>
          </cell>
          <cell r="B152" t="str">
            <v>51451615</v>
          </cell>
        </row>
        <row r="153">
          <cell r="A153" t="str">
            <v>MANTENIMIENTO Y REPARACIONES   - AMBIENTAL MAQUINAS</v>
          </cell>
          <cell r="B153" t="str">
            <v>51451616</v>
          </cell>
        </row>
        <row r="154">
          <cell r="A154" t="str">
            <v>MANTENIMIENTO Y REPARACIONES   - LECTORES PISOS</v>
          </cell>
          <cell r="B154" t="str">
            <v>51451622</v>
          </cell>
        </row>
        <row r="155">
          <cell r="A155" t="str">
            <v>MANTENIMIENTO Y REPARACIONES   - OTROS EQUIPOS</v>
          </cell>
          <cell r="B155" t="str">
            <v>51451630</v>
          </cell>
        </row>
        <row r="156">
          <cell r="A156" t="str">
            <v>MANTENIMIENTO Y REPARACIONES   - U.P.S. MANTENIMIENTO</v>
          </cell>
          <cell r="B156" t="str">
            <v>51452003</v>
          </cell>
        </row>
        <row r="157">
          <cell r="A157" t="str">
            <v>MANTENIMIENTO Y REPARACIONES   - MICROCOMPUTADORES E IMPRESORAS</v>
          </cell>
          <cell r="B157" t="str">
            <v>51452004</v>
          </cell>
        </row>
        <row r="158">
          <cell r="A158" t="str">
            <v>MANTENIMIENTO Y REPARACIONES   - SOFTWARE REPLICADOR CONTINGENC</v>
          </cell>
          <cell r="B158" t="str">
            <v>51452005</v>
          </cell>
        </row>
        <row r="159">
          <cell r="A159" t="str">
            <v>MANTENIMIENTO Y REPARACIONES   - PLANTA ELECTRICA</v>
          </cell>
          <cell r="B159" t="str">
            <v>51452007</v>
          </cell>
        </row>
        <row r="160">
          <cell r="A160" t="str">
            <v>MANTENIMIENTO Y REPARACIONES   - AIRE ACONDICIONADO</v>
          </cell>
          <cell r="B160" t="str">
            <v>51452009</v>
          </cell>
        </row>
        <row r="161">
          <cell r="A161" t="str">
            <v>MANTENIMIENTO Y REPARACIONES   - EQUIPOS TANDEM Y SUN</v>
          </cell>
          <cell r="B161" t="str">
            <v>51452013</v>
          </cell>
        </row>
        <row r="162">
          <cell r="A162" t="str">
            <v>MANTENIMIENTO Y REPARACIONES   - APLICACIONES DE SISTEMAS</v>
          </cell>
          <cell r="B162" t="str">
            <v>51452014</v>
          </cell>
        </row>
        <row r="163">
          <cell r="A163" t="str">
            <v>MANTENIMIENTO Y REPARACIONES   - EQUIPOS DE COMUNICACION</v>
          </cell>
          <cell r="B163" t="str">
            <v>51452020</v>
          </cell>
        </row>
        <row r="164">
          <cell r="A164" t="str">
            <v>MANTENIMIENTO Y REPARACIONES   - BASES DE DATOS</v>
          </cell>
          <cell r="B164" t="str">
            <v>51452021</v>
          </cell>
        </row>
        <row r="165">
          <cell r="A165" t="str">
            <v>MANTENIMIENTO Y REPARACIONES   - EQUIPO DE TRANSPORTE</v>
          </cell>
          <cell r="B165" t="str">
            <v>51452400</v>
          </cell>
        </row>
        <row r="166">
          <cell r="A166" t="str">
            <v>ADECUACIONES E INSTALACIONES</v>
          </cell>
          <cell r="B166" t="str">
            <v>51500501</v>
          </cell>
        </row>
        <row r="167">
          <cell r="A167" t="str">
            <v>ARREGLOS ORNAMENTALES</v>
          </cell>
          <cell r="B167" t="str">
            <v>51501000</v>
          </cell>
        </row>
        <row r="168">
          <cell r="A168" t="str">
            <v>REPARACIONES LOCATIVAS</v>
          </cell>
          <cell r="B168" t="str">
            <v>51501500</v>
          </cell>
        </row>
        <row r="169">
          <cell r="A169" t="str">
            <v>REPARACIONES LOCATIVAS</v>
          </cell>
          <cell r="B169" t="str">
            <v>51501501</v>
          </cell>
        </row>
        <row r="170">
          <cell r="A170" t="str">
            <v>OTRAS ADECUACIONES</v>
          </cell>
          <cell r="B170" t="str">
            <v>51509500</v>
          </cell>
        </row>
      </sheetData>
      <sheetData sheetId="5" refreshError="1">
        <row r="2">
          <cell r="A2" t="str">
            <v>BVC DIA A DIA</v>
          </cell>
          <cell r="B2" t="str">
            <v>0000001000</v>
          </cell>
        </row>
        <row r="3">
          <cell r="A3" t="str">
            <v>Derivados y Acciones</v>
          </cell>
          <cell r="B3" t="str">
            <v>0000001002</v>
          </cell>
        </row>
        <row r="4">
          <cell r="A4" t="str">
            <v>CRCC</v>
          </cell>
          <cell r="B4" t="str">
            <v>0000001003</v>
          </cell>
        </row>
        <row r="5">
          <cell r="A5" t="str">
            <v>Bus de Datos</v>
          </cell>
          <cell r="B5" t="str">
            <v>0000001006</v>
          </cell>
        </row>
        <row r="6">
          <cell r="A6" t="str">
            <v>Portal Web - Gestión de Contenido</v>
          </cell>
          <cell r="B6" t="str">
            <v>0000001007</v>
          </cell>
        </row>
        <row r="7">
          <cell r="A7" t="str">
            <v>Back Office</v>
          </cell>
          <cell r="B7" t="str">
            <v>0000001010</v>
          </cell>
        </row>
        <row r="8">
          <cell r="A8" t="str">
            <v>CRM</v>
          </cell>
          <cell r="B8" t="str">
            <v>0000001012</v>
          </cell>
        </row>
        <row r="9">
          <cell r="A9" t="str">
            <v>Agora</v>
          </cell>
          <cell r="B9" t="str">
            <v>0000001014</v>
          </cell>
        </row>
        <row r="10">
          <cell r="A10" t="str">
            <v>Indices de Renta Fija</v>
          </cell>
          <cell r="B10" t="str">
            <v>0000001018</v>
          </cell>
        </row>
        <row r="11">
          <cell r="A11" t="str">
            <v>Integración Bolsas México y Brasil</v>
          </cell>
          <cell r="B11" t="str">
            <v>0000001019</v>
          </cell>
        </row>
        <row r="12">
          <cell r="A12" t="str">
            <v>Administración de Ambientes</v>
          </cell>
          <cell r="B12" t="str">
            <v>0000001029</v>
          </cell>
        </row>
        <row r="13">
          <cell r="A13" t="str">
            <v>Mercados de Renta Fija</v>
          </cell>
          <cell r="B13" t="str">
            <v>0000001030</v>
          </cell>
        </row>
        <row r="14">
          <cell r="A14" t="str">
            <v>Primer Escalón</v>
          </cell>
          <cell r="B14" t="str">
            <v>0000001031</v>
          </cell>
        </row>
        <row r="15">
          <cell r="A15" t="str">
            <v>Indices de Acciones</v>
          </cell>
          <cell r="B15" t="str">
            <v>0000001032</v>
          </cell>
        </row>
        <row r="16">
          <cell r="A16" t="str">
            <v>BVC Virtual</v>
          </cell>
          <cell r="B16" t="str">
            <v>0000001033</v>
          </cell>
        </row>
        <row r="17">
          <cell r="A17" t="str">
            <v>Presidencia Perú</v>
          </cell>
          <cell r="B17" t="str">
            <v>0000001034</v>
          </cell>
        </row>
        <row r="18">
          <cell r="A18" t="str">
            <v>COL CAP - EMISORES POR PRIMERA VEZ</v>
          </cell>
          <cell r="B18" t="str">
            <v>0010101000</v>
          </cell>
        </row>
        <row r="19">
          <cell r="A19" t="str">
            <v>COL CAP - IMPULSO AL CAPITAL</v>
          </cell>
          <cell r="B19" t="str">
            <v>0010201000</v>
          </cell>
        </row>
        <row r="20">
          <cell r="A20" t="str">
            <v>COL CAP - DESARROLLO INSTRUMENTOS</v>
          </cell>
          <cell r="B20" t="str">
            <v>0010301000</v>
          </cell>
        </row>
        <row r="21">
          <cell r="A21" t="str">
            <v>COL CAP - DIFUSION RESULTADOS</v>
          </cell>
          <cell r="B21" t="str">
            <v>0010401000</v>
          </cell>
        </row>
        <row r="22">
          <cell r="A22" t="str">
            <v>COL CAP - ADMINISTRACION</v>
          </cell>
          <cell r="B22" t="str">
            <v>0010501000</v>
          </cell>
        </row>
        <row r="23">
          <cell r="A23" t="str">
            <v>COL CAP AUDITORIA Y EVALUACION</v>
          </cell>
          <cell r="B23" t="str">
            <v>0010601000</v>
          </cell>
        </row>
        <row r="24">
          <cell r="A24" t="str">
            <v>INV COL - CAMARA DE COMPENSACION</v>
          </cell>
          <cell r="B24" t="str">
            <v>0020201000</v>
          </cell>
        </row>
        <row r="25">
          <cell r="A25" t="str">
            <v>INV COL - BOLSA DERIVADOS Y FUTUROS</v>
          </cell>
          <cell r="B25" t="str">
            <v>0020301000</v>
          </cell>
        </row>
        <row r="26">
          <cell r="A26" t="str">
            <v>INV COL - ADMINISTRACION</v>
          </cell>
          <cell r="B26" t="str">
            <v>0020401000</v>
          </cell>
        </row>
        <row r="27">
          <cell r="A27" t="str">
            <v>INV COL AUDITORIA Y EVALUACION</v>
          </cell>
          <cell r="B27" t="str">
            <v>0020501000</v>
          </cell>
        </row>
        <row r="28">
          <cell r="A28" t="str">
            <v>INV COL - SISTEMA DE INFORMACION</v>
          </cell>
          <cell r="B28" t="str">
            <v>0021A01000</v>
          </cell>
        </row>
        <row r="29">
          <cell r="A29" t="str">
            <v>INV COL -GOBIERNO CORPORATIVO</v>
          </cell>
          <cell r="B29" t="str">
            <v>0021B01000</v>
          </cell>
        </row>
      </sheetData>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ENTROS DE COSTOS"/>
      <sheetName val="UEN"/>
      <sheetName val="septiembre 08 "/>
      <sheetName val="septiembre 08 MARGARITA"/>
      <sheetName val="CUENTAS"/>
      <sheetName val="PROYECTOS"/>
    </sheetNames>
    <sheetDataSet>
      <sheetData sheetId="0" refreshError="1">
        <row r="2">
          <cell r="A2" t="str">
            <v>Presidencia</v>
          </cell>
          <cell r="B2" t="str">
            <v>01000000</v>
          </cell>
        </row>
        <row r="3">
          <cell r="A3" t="str">
            <v>Consejo Directivo</v>
          </cell>
          <cell r="B3" t="str">
            <v>01010000</v>
          </cell>
        </row>
        <row r="4">
          <cell r="A4" t="str">
            <v>Comunicaciones</v>
          </cell>
          <cell r="B4" t="str">
            <v>02000000</v>
          </cell>
        </row>
        <row r="5">
          <cell r="A5" t="str">
            <v>Atención de Inversionistas</v>
          </cell>
          <cell r="B5" t="str">
            <v>03000000</v>
          </cell>
        </row>
        <row r="6">
          <cell r="A6" t="str">
            <v>Emisores</v>
          </cell>
          <cell r="B6" t="str">
            <v>05200000</v>
          </cell>
        </row>
        <row r="7">
          <cell r="A7" t="str">
            <v>Operaciones Especiales</v>
          </cell>
          <cell r="B7" t="str">
            <v>05210000</v>
          </cell>
        </row>
        <row r="8">
          <cell r="A8" t="str">
            <v>Colombia Capital</v>
          </cell>
          <cell r="B8" t="str">
            <v>05400000</v>
          </cell>
        </row>
        <row r="9">
          <cell r="A9" t="str">
            <v>Planeación y Finanzas</v>
          </cell>
          <cell r="B9" t="str">
            <v>06000000</v>
          </cell>
        </row>
        <row r="10">
          <cell r="A10" t="str">
            <v>Vicepresidencia de Desarrollo Organizacional</v>
          </cell>
          <cell r="B10" t="str">
            <v>06100000</v>
          </cell>
        </row>
        <row r="11">
          <cell r="A11" t="str">
            <v>Gestión de Riesgos</v>
          </cell>
          <cell r="B11" t="str">
            <v>06200000</v>
          </cell>
        </row>
        <row r="12">
          <cell r="A12" t="str">
            <v>Gestión Humana</v>
          </cell>
          <cell r="B12" t="str">
            <v>06300000</v>
          </cell>
        </row>
        <row r="13">
          <cell r="A13" t="str">
            <v>Vicepresidencia de Intermediarios e Inversionistas</v>
          </cell>
          <cell r="B13" t="str">
            <v>07000000</v>
          </cell>
        </row>
        <row r="14">
          <cell r="A14" t="str">
            <v>Intermediarios</v>
          </cell>
          <cell r="B14" t="str">
            <v>07100000</v>
          </cell>
        </row>
        <row r="15">
          <cell r="A15" t="str">
            <v>Regional Medellín</v>
          </cell>
          <cell r="B15" t="str">
            <v>08000000</v>
          </cell>
        </row>
        <row r="16">
          <cell r="A16" t="str">
            <v>Regional Cali</v>
          </cell>
          <cell r="B16" t="str">
            <v>09000000</v>
          </cell>
        </row>
        <row r="17">
          <cell r="A17" t="str">
            <v>Inversionistas Personas Naturales</v>
          </cell>
          <cell r="B17" t="str">
            <v>10100000</v>
          </cell>
        </row>
        <row r="18">
          <cell r="A18" t="str">
            <v>Inversionistas Institucionales</v>
          </cell>
          <cell r="B18" t="str">
            <v>10200000</v>
          </cell>
        </row>
        <row r="19">
          <cell r="A19" t="str">
            <v>Vicepresidencia de Tecnología</v>
          </cell>
          <cell r="B19" t="str">
            <v>11000000</v>
          </cell>
        </row>
        <row r="20">
          <cell r="A20" t="str">
            <v>Arquitectura</v>
          </cell>
          <cell r="B20" t="str">
            <v>11100000</v>
          </cell>
        </row>
        <row r="21">
          <cell r="A21" t="str">
            <v>Servicios de Infraestructura</v>
          </cell>
          <cell r="B21" t="str">
            <v>11200000</v>
          </cell>
        </row>
        <row r="22">
          <cell r="A22" t="str">
            <v>Vicepresidencia de Administración y Gestión de Proyectos</v>
          </cell>
          <cell r="B22" t="str">
            <v>12000000</v>
          </cell>
        </row>
        <row r="23">
          <cell r="A23" t="str">
            <v>Gestión de Aplicaciones</v>
          </cell>
          <cell r="B23" t="str">
            <v>12400000</v>
          </cell>
        </row>
        <row r="24">
          <cell r="A24" t="str">
            <v>Gestión de Proyectos</v>
          </cell>
          <cell r="B24" t="str">
            <v>12500000</v>
          </cell>
        </row>
        <row r="25">
          <cell r="A25" t="str">
            <v>Vicepresidencia Jurídica y Secretaría General</v>
          </cell>
          <cell r="B25" t="str">
            <v>13000000</v>
          </cell>
        </row>
        <row r="26">
          <cell r="A26" t="str">
            <v>Legal</v>
          </cell>
          <cell r="B26" t="str">
            <v>13100000</v>
          </cell>
        </row>
        <row r="27">
          <cell r="A27" t="str">
            <v>Regulación</v>
          </cell>
          <cell r="B27" t="str">
            <v>13200000</v>
          </cell>
        </row>
        <row r="28">
          <cell r="A28" t="str">
            <v>Administración de Mercados</v>
          </cell>
          <cell r="B28" t="str">
            <v>14000000</v>
          </cell>
        </row>
        <row r="29">
          <cell r="A29" t="str">
            <v>Negociación</v>
          </cell>
          <cell r="B29" t="str">
            <v>14100000</v>
          </cell>
        </row>
        <row r="30">
          <cell r="A30" t="str">
            <v>Cumplimiento, Compensación y Garantías</v>
          </cell>
          <cell r="B30" t="str">
            <v>14200000</v>
          </cell>
        </row>
        <row r="31">
          <cell r="A31" t="str">
            <v>Vicepresidencia de Administración de Mercados</v>
          </cell>
          <cell r="B31" t="str">
            <v>14300000</v>
          </cell>
        </row>
        <row r="32">
          <cell r="A32" t="str">
            <v>Información e INFOVAL</v>
          </cell>
          <cell r="B32" t="str">
            <v>14400000</v>
          </cell>
        </row>
        <row r="33">
          <cell r="A33" t="str">
            <v>Corporativo</v>
          </cell>
          <cell r="B33" t="str">
            <v>15000000</v>
          </cell>
        </row>
      </sheetData>
      <sheetData sheetId="1" refreshError="1">
        <row r="2">
          <cell r="A2" t="str">
            <v>Inversionistas Personas Naturales</v>
          </cell>
        </row>
        <row r="3">
          <cell r="A3" t="str">
            <v>Inversionistas Institucionales</v>
          </cell>
        </row>
        <row r="4">
          <cell r="A4" t="str">
            <v>Intermediarios</v>
          </cell>
        </row>
        <row r="5">
          <cell r="A5" t="str">
            <v>Emisores</v>
          </cell>
        </row>
        <row r="6">
          <cell r="A6" t="str">
            <v>Dia Dia</v>
          </cell>
        </row>
      </sheetData>
      <sheetData sheetId="2" refreshError="1"/>
      <sheetData sheetId="3" refreshError="1"/>
      <sheetData sheetId="4" refreshError="1">
        <row r="2">
          <cell r="A2" t="str">
            <v>HONORARIOS</v>
          </cell>
          <cell r="B2" t="str">
            <v>26050500</v>
          </cell>
        </row>
        <row r="3">
          <cell r="A3" t="str">
            <v>CONTRIBUCIONES Y AFILIACIONES</v>
          </cell>
          <cell r="B3" t="str">
            <v>26051500</v>
          </cell>
        </row>
        <row r="4">
          <cell r="A4" t="str">
            <v>SEGUROS - INCENDIO MANEJO Y TERREMOTO</v>
          </cell>
          <cell r="B4" t="str">
            <v>26052001</v>
          </cell>
        </row>
        <row r="5">
          <cell r="A5" t="str">
            <v>SEGUROS - CORRIENTE DEBIL EQUIPO ELECTRO</v>
          </cell>
          <cell r="B5" t="str">
            <v>26052003</v>
          </cell>
        </row>
        <row r="6">
          <cell r="A6" t="str">
            <v>SEGUROS - SEGURO DE RESPONSABILIDAD CIVI</v>
          </cell>
          <cell r="B6" t="str">
            <v>26052006</v>
          </cell>
        </row>
        <row r="7">
          <cell r="A7" t="str">
            <v>SEGUROS - RIESGOS FINANCIEROS INFIDELIDA</v>
          </cell>
          <cell r="B7" t="str">
            <v>26052007</v>
          </cell>
        </row>
        <row r="8">
          <cell r="A8" t="str">
            <v>SERVICIOS</v>
          </cell>
          <cell r="B8" t="str">
            <v>26052500</v>
          </cell>
        </row>
        <row r="9">
          <cell r="A9" t="str">
            <v>MANTENIMIENTO Y REPARACIONES</v>
          </cell>
          <cell r="B9" t="str">
            <v>26053500</v>
          </cell>
        </row>
        <row r="10">
          <cell r="A10" t="str">
            <v>UTILES</v>
          </cell>
          <cell r="B10" t="str">
            <v>26059501</v>
          </cell>
        </row>
        <row r="11">
          <cell r="A11" t="str">
            <v>PAPELERIA</v>
          </cell>
          <cell r="B11" t="str">
            <v>26059502</v>
          </cell>
        </row>
        <row r="12">
          <cell r="A12" t="str">
            <v>FOTOCOPIAS</v>
          </cell>
          <cell r="B12" t="str">
            <v>26059503</v>
          </cell>
        </row>
        <row r="13">
          <cell r="A13" t="str">
            <v>DIVULGACION Y PUBLICIDAD</v>
          </cell>
          <cell r="B13" t="str">
            <v>26059510</v>
          </cell>
        </row>
        <row r="14">
          <cell r="A14" t="str">
            <v>PROPAGANDA</v>
          </cell>
          <cell r="B14" t="str">
            <v>26059513</v>
          </cell>
        </row>
        <row r="15">
          <cell r="A15" t="str">
            <v>CONCURSO PORTAFOLIO</v>
          </cell>
          <cell r="B15" t="str">
            <v>26059514</v>
          </cell>
        </row>
        <row r="16">
          <cell r="A16" t="str">
            <v>SEMINARIOS Y SIMPOSIOS</v>
          </cell>
          <cell r="B16" t="str">
            <v>26059515</v>
          </cell>
        </row>
        <row r="17">
          <cell r="A17" t="str">
            <v>CONGRESO NAL MERCADO DE CAPITA</v>
          </cell>
          <cell r="B17" t="str">
            <v>26059517</v>
          </cell>
        </row>
        <row r="18">
          <cell r="A18" t="str">
            <v>HORAS EXTRAS</v>
          </cell>
          <cell r="B18" t="str">
            <v>26059521</v>
          </cell>
        </row>
        <row r="19">
          <cell r="A19" t="str">
            <v>SALARIO INTEGRAL</v>
          </cell>
          <cell r="B19" t="str">
            <v>26059522</v>
          </cell>
        </row>
        <row r="20">
          <cell r="A20" t="str">
            <v>ACTIVIDADES RECREATIVAS</v>
          </cell>
          <cell r="B20" t="str">
            <v>26059523</v>
          </cell>
        </row>
        <row r="21">
          <cell r="A21" t="str">
            <v>SEGURIDAD SOCIAL</v>
          </cell>
          <cell r="B21" t="str">
            <v>26059524</v>
          </cell>
        </row>
        <row r="22">
          <cell r="A22" t="str">
            <v>INDEMNIZACIONES</v>
          </cell>
          <cell r="B22" t="str">
            <v>26059525</v>
          </cell>
        </row>
        <row r="23">
          <cell r="A23" t="str">
            <v>SUELDOS</v>
          </cell>
          <cell r="B23" t="str">
            <v>26059526</v>
          </cell>
        </row>
        <row r="24">
          <cell r="A24" t="str">
            <v>BONIFICACIONES</v>
          </cell>
          <cell r="B24" t="str">
            <v>26059527</v>
          </cell>
        </row>
        <row r="25">
          <cell r="A25" t="str">
            <v>SEMINARIOS</v>
          </cell>
          <cell r="B25" t="str">
            <v>26059528</v>
          </cell>
        </row>
        <row r="26">
          <cell r="A26" t="str">
            <v>MONETIZACION SENA</v>
          </cell>
          <cell r="B26" t="str">
            <v>26059529</v>
          </cell>
        </row>
        <row r="27">
          <cell r="A27" t="str">
            <v>APORTES BID</v>
          </cell>
          <cell r="B27" t="str">
            <v>26059540</v>
          </cell>
        </row>
        <row r="28">
          <cell r="A28" t="str">
            <v>RELACIONES PUBLICAS</v>
          </cell>
          <cell r="B28" t="str">
            <v>26059560</v>
          </cell>
        </row>
        <row r="29">
          <cell r="A29" t="str">
            <v>ATENCIONES COMISIONISTAS</v>
          </cell>
          <cell r="B29" t="str">
            <v>26059561</v>
          </cell>
        </row>
        <row r="30">
          <cell r="A30" t="str">
            <v>ATENCIONES TARJETAS DE CREDITO</v>
          </cell>
          <cell r="B30" t="str">
            <v>26059562</v>
          </cell>
        </row>
        <row r="31">
          <cell r="A31" t="str">
            <v>OTRAS ATENCIONES</v>
          </cell>
          <cell r="B31" t="str">
            <v>26059563</v>
          </cell>
        </row>
        <row r="32">
          <cell r="A32" t="str">
            <v>ATENCIONES EN CLUBES</v>
          </cell>
          <cell r="B32" t="str">
            <v>26059564</v>
          </cell>
        </row>
        <row r="33">
          <cell r="A33" t="str">
            <v>GASTOS DE VIAJE</v>
          </cell>
          <cell r="B33" t="str">
            <v>26059570</v>
          </cell>
        </row>
        <row r="34">
          <cell r="A34" t="str">
            <v>OPEX PROYECTOS</v>
          </cell>
          <cell r="B34" t="str">
            <v>26059599</v>
          </cell>
        </row>
        <row r="37">
          <cell r="A37" t="str">
            <v>BIENESTAR  EVENTOS</v>
          </cell>
          <cell r="B37" t="str">
            <v>51056302</v>
          </cell>
        </row>
        <row r="38">
          <cell r="A38" t="str">
            <v>CAPACITACION</v>
          </cell>
          <cell r="B38">
            <v>51056005</v>
          </cell>
        </row>
        <row r="39">
          <cell r="A39" t="str">
            <v>HONORARIOS -CONSEJO DIRECTIVO</v>
          </cell>
          <cell r="B39" t="str">
            <v>51100501</v>
          </cell>
        </row>
        <row r="40">
          <cell r="A40" t="str">
            <v>HONORARIOS -CAMARA DE LA BOLSA</v>
          </cell>
          <cell r="B40" t="str">
            <v>51100502</v>
          </cell>
        </row>
        <row r="41">
          <cell r="A41" t="str">
            <v>HONORARIOS -REVISORIA FISCAL</v>
          </cell>
          <cell r="B41" t="str">
            <v>51101000</v>
          </cell>
        </row>
        <row r="42">
          <cell r="A42" t="str">
            <v>HONORARIOS -AUDITORIA EXTERNA</v>
          </cell>
          <cell r="B42" t="str">
            <v>51101500</v>
          </cell>
        </row>
        <row r="43">
          <cell r="A43" t="str">
            <v>HONORARIOS -ASESORIA JURIDICA</v>
          </cell>
          <cell r="B43" t="str">
            <v>51102500</v>
          </cell>
        </row>
        <row r="44">
          <cell r="A44" t="str">
            <v>HONORARIOS -ASESORIA TRIBUTARIA</v>
          </cell>
          <cell r="B44" t="str">
            <v>51102501</v>
          </cell>
        </row>
        <row r="45">
          <cell r="A45" t="str">
            <v>HONORARIOS -ASESORIA LABORAL</v>
          </cell>
          <cell r="B45" t="str">
            <v>51102502</v>
          </cell>
        </row>
        <row r="46">
          <cell r="A46" t="str">
            <v>HONORARIOS -ASESORIA LEGAL</v>
          </cell>
          <cell r="B46" t="str">
            <v>51102504</v>
          </cell>
        </row>
        <row r="47">
          <cell r="A47" t="str">
            <v>HONORARIOS -ASESORIA DE SISTEMAS</v>
          </cell>
          <cell r="B47" t="str">
            <v>51103510</v>
          </cell>
        </row>
        <row r="48">
          <cell r="A48" t="str">
            <v>HONORARIOS -ASESORIA TECNOLOGICA</v>
          </cell>
          <cell r="B48" t="str">
            <v>51103530</v>
          </cell>
        </row>
        <row r="49">
          <cell r="A49" t="str">
            <v>HONORARIOS -DOCENTES FORMACION BURSATIL</v>
          </cell>
          <cell r="B49" t="str">
            <v>51109502</v>
          </cell>
        </row>
        <row r="50">
          <cell r="A50" t="str">
            <v>HONORARIOS -ASESORIAS DESARROLLO DE PRODUC</v>
          </cell>
          <cell r="B50" t="str">
            <v>51109503</v>
          </cell>
        </row>
        <row r="51">
          <cell r="A51" t="str">
            <v>HONORARIOS -PROYECTOS</v>
          </cell>
          <cell r="B51" t="str">
            <v>51109504</v>
          </cell>
        </row>
        <row r="52">
          <cell r="A52" t="str">
            <v>HONORARIOS -COMITE DE REGULACION</v>
          </cell>
          <cell r="B52" t="str">
            <v>51109505</v>
          </cell>
        </row>
        <row r="53">
          <cell r="A53" t="str">
            <v>HONORARIOS -COMITE DE GOBIERNO CORPORATIVO</v>
          </cell>
          <cell r="B53" t="str">
            <v>51109506</v>
          </cell>
        </row>
        <row r="54">
          <cell r="A54" t="str">
            <v>HONORARIOS -COMITE AUDITORIA</v>
          </cell>
          <cell r="B54" t="str">
            <v>51109507</v>
          </cell>
        </row>
        <row r="55">
          <cell r="A55" t="str">
            <v>HONORARIOS -COMITE ADMINISTRATIVO Y FINANC</v>
          </cell>
          <cell r="B55" t="str">
            <v>51109508</v>
          </cell>
        </row>
        <row r="56">
          <cell r="A56" t="str">
            <v>HONORARIOS -OTROS</v>
          </cell>
          <cell r="B56" t="str">
            <v>51109595</v>
          </cell>
        </row>
        <row r="57">
          <cell r="A57" t="str">
            <v>ARRENDAMIENTOS - EDIFICACIONES</v>
          </cell>
          <cell r="B57" t="str">
            <v>51200500</v>
          </cell>
        </row>
        <row r="58">
          <cell r="A58" t="str">
            <v>ARRENDAMIENTOS - EQUIPOS ELECTRONICOS</v>
          </cell>
          <cell r="B58" t="str">
            <v>51201001</v>
          </cell>
        </row>
        <row r="59">
          <cell r="A59" t="str">
            <v>ARRENDAMIENTOS - EQUIPO DE COMUNICACION Y COMPU</v>
          </cell>
          <cell r="B59" t="str">
            <v>51201500</v>
          </cell>
        </row>
        <row r="60">
          <cell r="A60" t="str">
            <v>ARRENDAMIENTOS - ARRENDAMIENTO DE SOFWARE</v>
          </cell>
          <cell r="B60" t="str">
            <v>51209501</v>
          </cell>
        </row>
        <row r="61">
          <cell r="A61" t="str">
            <v>ARRENDAMIENTOS - VEHICULOS</v>
          </cell>
          <cell r="B61" t="str">
            <v>51209502</v>
          </cell>
        </row>
        <row r="62">
          <cell r="A62" t="str">
            <v>ARRENDAMIENTOS - PLANTA ELECTRICA (BANCO DE CAR</v>
          </cell>
          <cell r="B62" t="str">
            <v>51209505</v>
          </cell>
        </row>
        <row r="63">
          <cell r="A63" t="str">
            <v>ARRENDAMIENTOS - DATACENTER ALTERNO</v>
          </cell>
          <cell r="B63" t="str">
            <v>51209506</v>
          </cell>
        </row>
        <row r="64">
          <cell r="A64" t="str">
            <v>ARRENDAMIENTOS - OTROS</v>
          </cell>
          <cell r="B64" t="str">
            <v>51209507</v>
          </cell>
        </row>
        <row r="65">
          <cell r="A65" t="str">
            <v>ARRENDAMIENTOS - STAND PARA EVENTOS</v>
          </cell>
          <cell r="B65" t="str">
            <v>51209508</v>
          </cell>
        </row>
        <row r="66">
          <cell r="A66" t="str">
            <v>CONTRIBUCIONES</v>
          </cell>
          <cell r="B66" t="str">
            <v>51250500</v>
          </cell>
        </row>
        <row r="67">
          <cell r="A67" t="str">
            <v>AFILIACIONES</v>
          </cell>
          <cell r="B67" t="str">
            <v>51251000</v>
          </cell>
        </row>
        <row r="68">
          <cell r="A68" t="str">
            <v>SEGUROS - POLIZA DE MINCOMUNICACIONES</v>
          </cell>
          <cell r="B68" t="str">
            <v>51301001</v>
          </cell>
        </row>
        <row r="69">
          <cell r="A69" t="str">
            <v>SEGUROS - WINSET</v>
          </cell>
          <cell r="B69" t="str">
            <v>51301002</v>
          </cell>
        </row>
        <row r="70">
          <cell r="A70" t="str">
            <v>SEGUROS - POR CONTRATOS REALIZADOS</v>
          </cell>
          <cell r="B70" t="str">
            <v>51301003</v>
          </cell>
        </row>
        <row r="71">
          <cell r="A71" t="str">
            <v>SEGUROS - SEGURO DE VEHICULOS</v>
          </cell>
          <cell r="B71" t="str">
            <v>51309503</v>
          </cell>
        </row>
        <row r="72">
          <cell r="A72" t="str">
            <v>SEGUROS - RIESGOS FINANCIEROS</v>
          </cell>
          <cell r="B72" t="str">
            <v>51309505</v>
          </cell>
        </row>
        <row r="73">
          <cell r="A73" t="str">
            <v>SEGUROS - RESPONSABILIDAD CIVIL GASTOS A</v>
          </cell>
          <cell r="B73" t="str">
            <v>51309506</v>
          </cell>
        </row>
        <row r="74">
          <cell r="A74" t="str">
            <v>SEGUROS - MULTIRIESGO</v>
          </cell>
          <cell r="B74" t="str">
            <v>51309507</v>
          </cell>
        </row>
        <row r="75">
          <cell r="A75" t="str">
            <v>SEGUROS - TRANSPORTE</v>
          </cell>
          <cell r="B75" t="str">
            <v>51309508</v>
          </cell>
        </row>
        <row r="76">
          <cell r="A76" t="str">
            <v>SERVICIOS - ADMINISTRACION CALI</v>
          </cell>
          <cell r="B76" t="str">
            <v>51350500</v>
          </cell>
        </row>
        <row r="77">
          <cell r="A77" t="str">
            <v>SERVICIOS - ASEO</v>
          </cell>
          <cell r="B77" t="str">
            <v>51350501</v>
          </cell>
        </row>
        <row r="78">
          <cell r="A78" t="str">
            <v>SERVICIOS - VIGILANCIA</v>
          </cell>
          <cell r="B78" t="str">
            <v>51350502</v>
          </cell>
        </row>
        <row r="79">
          <cell r="A79" t="str">
            <v>SERVICIOS - ACTUALIZACION BASES DE DATOS</v>
          </cell>
          <cell r="B79" t="str">
            <v>51350503</v>
          </cell>
        </row>
        <row r="80">
          <cell r="A80" t="str">
            <v>SERVICIOS - OFICINA</v>
          </cell>
          <cell r="B80" t="str">
            <v>51351001</v>
          </cell>
        </row>
        <row r="81">
          <cell r="A81" t="str">
            <v>SERVICIOS - MENSAJERIA</v>
          </cell>
          <cell r="B81" t="str">
            <v>51351002</v>
          </cell>
        </row>
        <row r="82">
          <cell r="A82" t="str">
            <v>SERVICIOS - ASEO Y CAFETERIA</v>
          </cell>
          <cell r="B82" t="str">
            <v>51351003</v>
          </cell>
        </row>
        <row r="83">
          <cell r="A83" t="str">
            <v>SERVICIOS - ACUEDUCTO Y ALCANTARILLADO</v>
          </cell>
          <cell r="B83" t="str">
            <v>51352500</v>
          </cell>
        </row>
        <row r="84">
          <cell r="A84" t="str">
            <v>SERVICIOS - ENERGIA ELECTRICA</v>
          </cell>
          <cell r="B84" t="str">
            <v>51353000</v>
          </cell>
        </row>
        <row r="85">
          <cell r="A85" t="str">
            <v>SERVICIOS - TELEFONOS OFICINAS</v>
          </cell>
          <cell r="B85" t="str">
            <v>51353501</v>
          </cell>
        </row>
        <row r="86">
          <cell r="A86" t="str">
            <v>SERVICIOS - TARJETAS PREPAGO CELULAR</v>
          </cell>
          <cell r="B86" t="str">
            <v>51353503</v>
          </cell>
        </row>
        <row r="87">
          <cell r="A87" t="str">
            <v>SERVICIOS - TELEFONOS DISCADOS</v>
          </cell>
          <cell r="B87" t="str">
            <v>51353504</v>
          </cell>
        </row>
        <row r="88">
          <cell r="A88" t="str">
            <v>SERVICIOS - TARJETAS INTERNET</v>
          </cell>
          <cell r="B88" t="str">
            <v>51353505</v>
          </cell>
        </row>
        <row r="89">
          <cell r="A89" t="str">
            <v>SERVICIOS - CORREO, PORTES Y TELEGRAMAS</v>
          </cell>
          <cell r="B89" t="str">
            <v>51354000</v>
          </cell>
        </row>
        <row r="90">
          <cell r="A90" t="str">
            <v>SERVICIOS - TRASPORTES FLETES Y ACARREOS</v>
          </cell>
          <cell r="B90" t="str">
            <v>51355000</v>
          </cell>
        </row>
        <row r="91">
          <cell r="A91" t="str">
            <v>SERVICIOS - ADMINISTRACION INMUEBLES</v>
          </cell>
          <cell r="B91" t="str">
            <v>51355500</v>
          </cell>
        </row>
        <row r="92">
          <cell r="A92" t="str">
            <v>SERVICIOS - SUSCRIPCIONES A PERIODICOS</v>
          </cell>
          <cell r="B92" t="str">
            <v>51356001</v>
          </cell>
        </row>
        <row r="93">
          <cell r="A93" t="str">
            <v>SERVICIOS - SUSCRIPCIONES A REVISTAS</v>
          </cell>
          <cell r="B93" t="str">
            <v>51356002</v>
          </cell>
        </row>
        <row r="94">
          <cell r="A94" t="str">
            <v>SERVICIOS - SUSCRIPCIONES A CODIGOS</v>
          </cell>
          <cell r="B94" t="str">
            <v>51356003</v>
          </cell>
        </row>
        <row r="95">
          <cell r="A95" t="str">
            <v>SERVICIOS - SUSCRIPCIONES A PAGINAS DE INTERNET</v>
          </cell>
          <cell r="B95" t="str">
            <v>51356004</v>
          </cell>
        </row>
        <row r="96">
          <cell r="A96" t="str">
            <v>SERVICIOS - SUSCRIPCIONES A TELEVISION SATELITAL</v>
          </cell>
          <cell r="B96" t="str">
            <v>51356005</v>
          </cell>
        </row>
        <row r="97">
          <cell r="A97" t="str">
            <v>SERVICIOS - CUSTODIA Y ADMON DE TITULOS</v>
          </cell>
          <cell r="B97" t="str">
            <v>51359501</v>
          </cell>
        </row>
        <row r="98">
          <cell r="A98" t="str">
            <v>SERVICIOS - SERVICIOS ESP DE COMUNICACION</v>
          </cell>
          <cell r="B98" t="str">
            <v>51359502</v>
          </cell>
        </row>
        <row r="99">
          <cell r="A99" t="str">
            <v>SERVICIOS - SELECCION DE PERSONAL</v>
          </cell>
          <cell r="B99" t="str">
            <v>51359503</v>
          </cell>
        </row>
        <row r="100">
          <cell r="A100" t="str">
            <v>SERVICIOS - CONSULTA A LA CENTRAL DE INFOR</v>
          </cell>
          <cell r="B100" t="str">
            <v>51359504</v>
          </cell>
        </row>
        <row r="101">
          <cell r="A101" t="str">
            <v>SERVICIOS - SISTEMA MONITOR</v>
          </cell>
          <cell r="B101" t="str">
            <v>51359505</v>
          </cell>
        </row>
        <row r="102">
          <cell r="A102" t="str">
            <v>SERVICIOS - CUSTODIA Y CONSERVACION ARCHIV</v>
          </cell>
          <cell r="B102" t="str">
            <v>51359506</v>
          </cell>
        </row>
        <row r="103">
          <cell r="A103" t="str">
            <v>SERVICIOS - PAGINA WEB</v>
          </cell>
          <cell r="B103" t="str">
            <v>51359507</v>
          </cell>
        </row>
        <row r="104">
          <cell r="A104" t="str">
            <v>SERVICIOS - PLAN DE CONTINGENCIA</v>
          </cell>
          <cell r="B104" t="str">
            <v>51359508</v>
          </cell>
        </row>
        <row r="105">
          <cell r="A105" t="str">
            <v>SERVICIOS - OTROS SERVICIOS</v>
          </cell>
          <cell r="B105" t="str">
            <v>51359509</v>
          </cell>
        </row>
        <row r="106">
          <cell r="A106" t="str">
            <v>SERVICIOS - CLASIFICACION CORRESPONDENCIA</v>
          </cell>
          <cell r="B106" t="str">
            <v>51359510</v>
          </cell>
        </row>
        <row r="107">
          <cell r="A107" t="str">
            <v>SERVICIOS - APOYO OPERATIVO DIGITADORES</v>
          </cell>
          <cell r="B107" t="str">
            <v>51359511</v>
          </cell>
        </row>
        <row r="108">
          <cell r="A108" t="str">
            <v>DIVULGACION - DIVULGACION</v>
          </cell>
          <cell r="B108">
            <v>51360500</v>
          </cell>
        </row>
        <row r="109">
          <cell r="A109" t="str">
            <v>DIVULGACION - AVISOS Y TRANSMISIONES</v>
          </cell>
          <cell r="B109" t="str">
            <v>51360501</v>
          </cell>
        </row>
        <row r="110">
          <cell r="A110" t="str">
            <v>DIVULGACION - MERCADEO</v>
          </cell>
          <cell r="B110" t="str">
            <v>51360502</v>
          </cell>
        </row>
        <row r="111">
          <cell r="A111" t="str">
            <v>DIVULGACION - COMUNICACION INTERNA</v>
          </cell>
          <cell r="B111" t="str">
            <v>51360503</v>
          </cell>
        </row>
        <row r="112">
          <cell r="A112" t="str">
            <v>DIVULGACION - CAPACITACION CLIENTES</v>
          </cell>
          <cell r="B112" t="str">
            <v>51360504</v>
          </cell>
        </row>
        <row r="113">
          <cell r="A113" t="str">
            <v>DIVULGACION - EVENTOS</v>
          </cell>
          <cell r="B113" t="str">
            <v>51360505</v>
          </cell>
        </row>
        <row r="114">
          <cell r="A114" t="str">
            <v>DIVULGACION - PATROCINIOS</v>
          </cell>
          <cell r="B114" t="str">
            <v>51360509</v>
          </cell>
        </row>
        <row r="115">
          <cell r="A115" t="str">
            <v>PUBLICIDAD - PROPAGANDA</v>
          </cell>
          <cell r="B115" t="str">
            <v>51361001</v>
          </cell>
        </row>
        <row r="116">
          <cell r="A116" t="str">
            <v>PUBLICIDAD - SEMINARIOS</v>
          </cell>
          <cell r="B116" t="str">
            <v>51361002</v>
          </cell>
        </row>
        <row r="117">
          <cell r="A117" t="str">
            <v>PUBLICIDAD - MARTILLOS-DEMOCRATIZ Y SUBAST</v>
          </cell>
          <cell r="B117" t="str">
            <v>51361003</v>
          </cell>
        </row>
        <row r="118">
          <cell r="A118" t="str">
            <v>PUBLICIDAD - CONCURSO BOLSA MILLONARIA</v>
          </cell>
          <cell r="B118" t="str">
            <v>51361004</v>
          </cell>
        </row>
        <row r="119">
          <cell r="A119" t="str">
            <v>PUBLICIDAD - FOTOGRAFIAS</v>
          </cell>
          <cell r="B119" t="str">
            <v>51361005</v>
          </cell>
        </row>
        <row r="120">
          <cell r="A120" t="str">
            <v>PUBLICIDAD - CONCURSO PORTAFOLIO</v>
          </cell>
          <cell r="B120" t="str">
            <v>51361006</v>
          </cell>
        </row>
        <row r="121">
          <cell r="A121" t="str">
            <v>PUBLICIDAD - CONCURSO JUGADA MAESTRA</v>
          </cell>
          <cell r="B121" t="str">
            <v>51361007</v>
          </cell>
        </row>
        <row r="122">
          <cell r="A122" t="str">
            <v>PUBLICIDAD - CONGRESOS</v>
          </cell>
          <cell r="B122" t="str">
            <v>51361008</v>
          </cell>
        </row>
        <row r="123">
          <cell r="A123" t="str">
            <v>PUBLICIDAD - PATROCINIOS</v>
          </cell>
          <cell r="B123" t="str">
            <v>51361009</v>
          </cell>
        </row>
        <row r="124">
          <cell r="A124" t="str">
            <v>RELACIONES PUBLICAS - ATENCIONES EN CLUBES</v>
          </cell>
          <cell r="B124" t="str">
            <v>51370502</v>
          </cell>
        </row>
        <row r="125">
          <cell r="A125" t="str">
            <v>RELACIONES PUBLICAS - ATENCIONES CON TARJETA CREDITO</v>
          </cell>
          <cell r="B125" t="str">
            <v>51370503</v>
          </cell>
        </row>
        <row r="126">
          <cell r="A126" t="str">
            <v>RELACIONES PUBLICAS - ATENCION CONSEJO DIRECTIVO</v>
          </cell>
          <cell r="B126" t="str">
            <v>51370504</v>
          </cell>
        </row>
        <row r="127">
          <cell r="A127" t="str">
            <v>RELACIONES PUBLICAS - ATENCIONES COMISIONISTAS</v>
          </cell>
          <cell r="B127" t="str">
            <v>51370505</v>
          </cell>
        </row>
        <row r="128">
          <cell r="A128" t="str">
            <v>RELACIONES PUBLICAS - OTRAS ATENCIONES</v>
          </cell>
          <cell r="B128" t="str">
            <v>51370506</v>
          </cell>
        </row>
        <row r="129">
          <cell r="A129" t="str">
            <v>RELACIONES PUBLICAS - CUOTAS DE SOSTENIMIENTO CLUBES</v>
          </cell>
          <cell r="B129" t="str">
            <v>51370507</v>
          </cell>
        </row>
        <row r="130">
          <cell r="A130" t="str">
            <v>RELACIONES PUBLICAS - ATENCIONES FIN DE AÑO</v>
          </cell>
          <cell r="B130" t="str">
            <v>51370508</v>
          </cell>
        </row>
        <row r="131">
          <cell r="A131" t="str">
            <v>RELACIONES PUBLICAS - EVENTOS</v>
          </cell>
          <cell r="B131" t="str">
            <v>51370509</v>
          </cell>
        </row>
        <row r="132">
          <cell r="A132" t="str">
            <v>UTILES</v>
          </cell>
          <cell r="B132" t="str">
            <v>51380501</v>
          </cell>
        </row>
        <row r="133">
          <cell r="A133" t="str">
            <v>INSUMOS IMPRESORAS</v>
          </cell>
          <cell r="B133" t="str">
            <v>51380502</v>
          </cell>
        </row>
        <row r="134">
          <cell r="A134" t="str">
            <v>PAPELERIA</v>
          </cell>
          <cell r="B134" t="str">
            <v>51381001</v>
          </cell>
        </row>
        <row r="135">
          <cell r="A135" t="str">
            <v>TARJETAS DE PRESENTACION</v>
          </cell>
          <cell r="B135" t="str">
            <v>51381002</v>
          </cell>
        </row>
        <row r="136">
          <cell r="A136" t="str">
            <v>FOTOCOPIAS</v>
          </cell>
          <cell r="B136" t="str">
            <v>51381501</v>
          </cell>
        </row>
        <row r="137">
          <cell r="A137" t="str">
            <v>ANILLADOS</v>
          </cell>
          <cell r="B137" t="str">
            <v>51381502</v>
          </cell>
        </row>
        <row r="138">
          <cell r="A138" t="str">
            <v>SCANNER</v>
          </cell>
          <cell r="B138" t="str">
            <v>51381503</v>
          </cell>
        </row>
        <row r="139">
          <cell r="A139" t="str">
            <v>GASTOS POR ASAMBLEA</v>
          </cell>
          <cell r="B139" t="str">
            <v>51400501</v>
          </cell>
        </row>
        <row r="140">
          <cell r="A140" t="str">
            <v>NOTARIALES</v>
          </cell>
          <cell r="B140" t="str">
            <v>51410500</v>
          </cell>
        </row>
        <row r="141">
          <cell r="A141" t="str">
            <v>REGISTRO MERCANTIL</v>
          </cell>
          <cell r="B141" t="str">
            <v>51411000</v>
          </cell>
        </row>
        <row r="142">
          <cell r="A142" t="str">
            <v>TRAMITES Y LICENCIAS</v>
          </cell>
          <cell r="B142" t="str">
            <v>51411500</v>
          </cell>
        </row>
        <row r="143">
          <cell r="A143" t="str">
            <v>OTROS GASTOS LEGALES</v>
          </cell>
          <cell r="B143" t="str">
            <v>51419500</v>
          </cell>
        </row>
        <row r="144">
          <cell r="A144" t="str">
            <v>MANTENIMIENTO Y REPARACIONES   - EDIFICACIONES</v>
          </cell>
          <cell r="B144" t="str">
            <v>51451200</v>
          </cell>
        </row>
        <row r="145">
          <cell r="A145" t="str">
            <v>MANTENIMIENTO Y REPARACIONES   - EQUIPOS DE ASEO</v>
          </cell>
          <cell r="B145" t="str">
            <v>51451601</v>
          </cell>
        </row>
        <row r="146">
          <cell r="A146" t="str">
            <v>MANTENIMIENTO Y REPARACIONES   - RECARGA EXTINTORES</v>
          </cell>
          <cell r="B146" t="str">
            <v>51451602</v>
          </cell>
        </row>
        <row r="147">
          <cell r="A147" t="str">
            <v>MANTENIMIENTO Y REPARACIONES   - RELOJ MARCADOR</v>
          </cell>
          <cell r="B147" t="str">
            <v>51451603</v>
          </cell>
        </row>
        <row r="148">
          <cell r="A148" t="str">
            <v>MANTENIMIENTO Y REPARACIONES   - FOTOCOPIADORAS</v>
          </cell>
          <cell r="B148" t="str">
            <v>51451604</v>
          </cell>
        </row>
        <row r="149">
          <cell r="A149" t="str">
            <v>MANTENIMIENTO Y REPARACIONES   - MUEBLES</v>
          </cell>
          <cell r="B149" t="str">
            <v>51451606</v>
          </cell>
        </row>
        <row r="150">
          <cell r="A150" t="str">
            <v>MANTENIMIENTO Y REPARACIONES   - VIDEO BEAM</v>
          </cell>
          <cell r="B150" t="str">
            <v>51451607</v>
          </cell>
        </row>
        <row r="151">
          <cell r="A151" t="str">
            <v>MANTENIMIENTO Y REPARACIONES   - CONMUTADOR</v>
          </cell>
          <cell r="B151" t="str">
            <v>51451613</v>
          </cell>
        </row>
        <row r="152">
          <cell r="A152" t="str">
            <v>MANTENIMIENTO Y REPARACIONES   - PISO FALSO</v>
          </cell>
          <cell r="B152" t="str">
            <v>51451615</v>
          </cell>
        </row>
        <row r="153">
          <cell r="A153" t="str">
            <v>MANTENIMIENTO Y REPARACIONES   - AMBIENTAL MAQUINAS</v>
          </cell>
          <cell r="B153" t="str">
            <v>51451616</v>
          </cell>
        </row>
        <row r="154">
          <cell r="A154" t="str">
            <v>MANTENIMIENTO Y REPARACIONES   - LECTORES PISOS</v>
          </cell>
          <cell r="B154" t="str">
            <v>51451622</v>
          </cell>
        </row>
        <row r="155">
          <cell r="A155" t="str">
            <v>MANTENIMIENTO Y REPARACIONES   - OTROS EQUIPOS</v>
          </cell>
          <cell r="B155" t="str">
            <v>51451630</v>
          </cell>
        </row>
        <row r="156">
          <cell r="A156" t="str">
            <v>MANTENIMIENTO Y REPARACIONES   - U.P.S. MANTENIMIENTO</v>
          </cell>
          <cell r="B156" t="str">
            <v>51452003</v>
          </cell>
        </row>
        <row r="157">
          <cell r="A157" t="str">
            <v>MANTENIMIENTO Y REPARACIONES   - MICROCOMPUTADORES E IMPRESORAS</v>
          </cell>
          <cell r="B157" t="str">
            <v>51452004</v>
          </cell>
        </row>
        <row r="158">
          <cell r="A158" t="str">
            <v>MANTENIMIENTO Y REPARACIONES   - SOFTWARE REPLICADOR CONTINGENC</v>
          </cell>
          <cell r="B158" t="str">
            <v>51452005</v>
          </cell>
        </row>
        <row r="159">
          <cell r="A159" t="str">
            <v>MANTENIMIENTO Y REPARACIONES   - PLANTA ELECTRICA</v>
          </cell>
          <cell r="B159" t="str">
            <v>51452007</v>
          </cell>
        </row>
        <row r="160">
          <cell r="A160" t="str">
            <v>MANTENIMIENTO Y REPARACIONES   - AIRE ACONDICIONADO</v>
          </cell>
          <cell r="B160" t="str">
            <v>51452009</v>
          </cell>
        </row>
        <row r="161">
          <cell r="A161" t="str">
            <v>MANTENIMIENTO Y REPARACIONES   - EQUIPOS TANDEM Y SUN</v>
          </cell>
          <cell r="B161" t="str">
            <v>51452013</v>
          </cell>
        </row>
        <row r="162">
          <cell r="A162" t="str">
            <v>MANTENIMIENTO Y REPARACIONES   - APLICACIONES DE SISTEMAS</v>
          </cell>
          <cell r="B162" t="str">
            <v>51452014</v>
          </cell>
        </row>
        <row r="163">
          <cell r="A163" t="str">
            <v>MANTENIMIENTO Y REPARACIONES   - EQUIPOS DE COMUNICACION</v>
          </cell>
          <cell r="B163" t="str">
            <v>51452020</v>
          </cell>
        </row>
        <row r="164">
          <cell r="A164" t="str">
            <v>MANTENIMIENTO Y REPARACIONES   - BASES DE DATOS</v>
          </cell>
          <cell r="B164" t="str">
            <v>51452021</v>
          </cell>
        </row>
        <row r="165">
          <cell r="A165" t="str">
            <v>MANTENIMIENTO Y REPARACIONES   - EQUIPO DE TRANSPORTE</v>
          </cell>
          <cell r="B165" t="str">
            <v>51452400</v>
          </cell>
        </row>
        <row r="166">
          <cell r="A166" t="str">
            <v>ADECUACIONES E INSTALACIONES</v>
          </cell>
          <cell r="B166" t="str">
            <v>51500501</v>
          </cell>
        </row>
        <row r="167">
          <cell r="A167" t="str">
            <v>ARREGLOS ORNAMENTALES</v>
          </cell>
          <cell r="B167" t="str">
            <v>51501000</v>
          </cell>
        </row>
        <row r="168">
          <cell r="A168" t="str">
            <v>REPARACIONES LOCATIVAS</v>
          </cell>
          <cell r="B168" t="str">
            <v>51501500</v>
          </cell>
        </row>
        <row r="169">
          <cell r="A169" t="str">
            <v>REPARACIONES LOCATIVAS</v>
          </cell>
          <cell r="B169" t="str">
            <v>51501501</v>
          </cell>
        </row>
        <row r="170">
          <cell r="A170" t="str">
            <v>OTRAS ADECUACIONES</v>
          </cell>
          <cell r="B170" t="str">
            <v>51509500</v>
          </cell>
        </row>
      </sheetData>
      <sheetData sheetId="5" refreshError="1">
        <row r="2">
          <cell r="A2" t="str">
            <v>BVC DIA A DIA</v>
          </cell>
          <cell r="B2" t="str">
            <v>0000001000</v>
          </cell>
        </row>
        <row r="3">
          <cell r="A3" t="str">
            <v>Derivados y Acciones</v>
          </cell>
          <cell r="B3" t="str">
            <v>0000001002</v>
          </cell>
        </row>
        <row r="4">
          <cell r="A4" t="str">
            <v>CRCC</v>
          </cell>
          <cell r="B4" t="str">
            <v>0000001003</v>
          </cell>
        </row>
        <row r="5">
          <cell r="A5" t="str">
            <v>Bus de Datos</v>
          </cell>
          <cell r="B5" t="str">
            <v>0000001006</v>
          </cell>
        </row>
        <row r="6">
          <cell r="A6" t="str">
            <v>Portal Web - Gestión de Contenido</v>
          </cell>
          <cell r="B6" t="str">
            <v>0000001007</v>
          </cell>
        </row>
        <row r="7">
          <cell r="A7" t="str">
            <v>Back Office</v>
          </cell>
          <cell r="B7" t="str">
            <v>0000001010</v>
          </cell>
        </row>
        <row r="8">
          <cell r="A8" t="str">
            <v>CRM</v>
          </cell>
          <cell r="B8" t="str">
            <v>0000001012</v>
          </cell>
        </row>
        <row r="9">
          <cell r="A9" t="str">
            <v>Agora</v>
          </cell>
          <cell r="B9" t="str">
            <v>0000001014</v>
          </cell>
        </row>
        <row r="10">
          <cell r="A10" t="str">
            <v>Indices de Renta Fija</v>
          </cell>
          <cell r="B10" t="str">
            <v>0000001018</v>
          </cell>
        </row>
        <row r="11">
          <cell r="A11" t="str">
            <v>Integración Bolsas México y Brasil</v>
          </cell>
          <cell r="B11" t="str">
            <v>0000001019</v>
          </cell>
        </row>
        <row r="12">
          <cell r="A12" t="str">
            <v>Administración de Ambientes</v>
          </cell>
          <cell r="B12" t="str">
            <v>0000001029</v>
          </cell>
        </row>
        <row r="13">
          <cell r="A13" t="str">
            <v>Mercados de Renta Fija</v>
          </cell>
          <cell r="B13" t="str">
            <v>0000001030</v>
          </cell>
        </row>
        <row r="14">
          <cell r="A14" t="str">
            <v>Primer Escalón</v>
          </cell>
          <cell r="B14" t="str">
            <v>0000001031</v>
          </cell>
        </row>
        <row r="15">
          <cell r="A15" t="str">
            <v>Indices de Acciones</v>
          </cell>
          <cell r="B15" t="str">
            <v>0000001032</v>
          </cell>
        </row>
        <row r="16">
          <cell r="A16" t="str">
            <v>BVC Virtual</v>
          </cell>
          <cell r="B16" t="str">
            <v>0000001033</v>
          </cell>
        </row>
        <row r="17">
          <cell r="A17" t="str">
            <v>Presidencia Perú</v>
          </cell>
          <cell r="B17" t="str">
            <v>0000001034</v>
          </cell>
        </row>
        <row r="18">
          <cell r="A18" t="str">
            <v>COL CAP - EMISORES POR PRIMERA VEZ</v>
          </cell>
          <cell r="B18" t="str">
            <v>0010101000</v>
          </cell>
        </row>
        <row r="19">
          <cell r="A19" t="str">
            <v>COL CAP - IMPULSO AL CAPITAL</v>
          </cell>
          <cell r="B19" t="str">
            <v>0010201000</v>
          </cell>
        </row>
        <row r="20">
          <cell r="A20" t="str">
            <v>COL CAP - DESARROLLO INSTRUMENTOS</v>
          </cell>
          <cell r="B20" t="str">
            <v>0010301000</v>
          </cell>
        </row>
        <row r="21">
          <cell r="A21" t="str">
            <v>COL CAP - DIFUSION RESULTADOS</v>
          </cell>
          <cell r="B21" t="str">
            <v>0010401000</v>
          </cell>
        </row>
        <row r="22">
          <cell r="A22" t="str">
            <v>COL CAP - ADMINISTRACION</v>
          </cell>
          <cell r="B22" t="str">
            <v>0010501000</v>
          </cell>
        </row>
        <row r="23">
          <cell r="A23" t="str">
            <v>COL CAP AUDITORIA Y EVALUACION</v>
          </cell>
          <cell r="B23" t="str">
            <v>0010601000</v>
          </cell>
        </row>
        <row r="24">
          <cell r="A24" t="str">
            <v>INV COL - CAMARA DE COMPENSACION</v>
          </cell>
          <cell r="B24" t="str">
            <v>0020201000</v>
          </cell>
        </row>
        <row r="25">
          <cell r="A25" t="str">
            <v>INV COL - BOLSA DERIVADOS Y FUTUROS</v>
          </cell>
          <cell r="B25" t="str">
            <v>0020301000</v>
          </cell>
        </row>
        <row r="26">
          <cell r="A26" t="str">
            <v>INV COL - ADMINISTRACION</v>
          </cell>
          <cell r="B26" t="str">
            <v>0020401000</v>
          </cell>
        </row>
        <row r="27">
          <cell r="A27" t="str">
            <v>INV COL AUDITORIA Y EVALUACION</v>
          </cell>
          <cell r="B27" t="str">
            <v>0020501000</v>
          </cell>
        </row>
        <row r="28">
          <cell r="A28" t="str">
            <v>INV COL - SISTEMA DE INFORMACION</v>
          </cell>
          <cell r="B28" t="str">
            <v>0021A01000</v>
          </cell>
        </row>
        <row r="29">
          <cell r="A29" t="str">
            <v>INV COL -GOBIERNO CORPORATIVO</v>
          </cell>
          <cell r="B29" t="str">
            <v>0021B01000</v>
          </cell>
        </row>
      </sheetData>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datos formato 1002"/>
      <sheetName val="dane"/>
    </sheetNames>
    <sheetDataSet>
      <sheetData sheetId="0" refreshError="1"/>
      <sheetData sheetId="1">
        <row r="1">
          <cell r="A1" t="str">
            <v>05</v>
          </cell>
          <cell r="B1" t="str">
            <v>001</v>
          </cell>
        </row>
        <row r="2">
          <cell r="A2" t="str">
            <v>08</v>
          </cell>
          <cell r="B2" t="str">
            <v>002</v>
          </cell>
        </row>
        <row r="3">
          <cell r="A3" t="str">
            <v>11</v>
          </cell>
          <cell r="B3" t="str">
            <v>003</v>
          </cell>
        </row>
        <row r="4">
          <cell r="A4" t="str">
            <v>13</v>
          </cell>
          <cell r="B4" t="str">
            <v>004</v>
          </cell>
        </row>
        <row r="5">
          <cell r="A5" t="str">
            <v>15</v>
          </cell>
          <cell r="B5" t="str">
            <v>006</v>
          </cell>
        </row>
        <row r="6">
          <cell r="A6" t="str">
            <v>17</v>
          </cell>
          <cell r="B6" t="str">
            <v>010</v>
          </cell>
        </row>
        <row r="7">
          <cell r="A7" t="str">
            <v>18</v>
          </cell>
          <cell r="B7" t="str">
            <v>011</v>
          </cell>
        </row>
        <row r="8">
          <cell r="A8" t="str">
            <v>19</v>
          </cell>
          <cell r="B8" t="str">
            <v>013</v>
          </cell>
        </row>
        <row r="9">
          <cell r="A9" t="str">
            <v>20</v>
          </cell>
          <cell r="B9" t="str">
            <v>015</v>
          </cell>
        </row>
        <row r="10">
          <cell r="A10" t="str">
            <v>23</v>
          </cell>
          <cell r="B10" t="str">
            <v>016</v>
          </cell>
        </row>
        <row r="11">
          <cell r="A11" t="str">
            <v>25</v>
          </cell>
          <cell r="B11" t="str">
            <v>019</v>
          </cell>
        </row>
        <row r="12">
          <cell r="A12" t="str">
            <v>27</v>
          </cell>
          <cell r="B12" t="str">
            <v>020</v>
          </cell>
        </row>
        <row r="13">
          <cell r="A13" t="str">
            <v>41</v>
          </cell>
          <cell r="B13" t="str">
            <v>021</v>
          </cell>
        </row>
        <row r="14">
          <cell r="A14" t="str">
            <v>44</v>
          </cell>
          <cell r="B14" t="str">
            <v>022</v>
          </cell>
        </row>
        <row r="15">
          <cell r="A15" t="str">
            <v>47</v>
          </cell>
          <cell r="B15" t="str">
            <v>024</v>
          </cell>
        </row>
        <row r="16">
          <cell r="A16" t="str">
            <v>50</v>
          </cell>
          <cell r="B16" t="str">
            <v>025</v>
          </cell>
        </row>
        <row r="17">
          <cell r="A17" t="str">
            <v>52</v>
          </cell>
          <cell r="B17" t="str">
            <v>026</v>
          </cell>
        </row>
        <row r="18">
          <cell r="A18" t="str">
            <v>54</v>
          </cell>
          <cell r="B18" t="str">
            <v>029</v>
          </cell>
        </row>
        <row r="19">
          <cell r="A19" t="str">
            <v>63</v>
          </cell>
          <cell r="B19" t="str">
            <v>030</v>
          </cell>
        </row>
        <row r="20">
          <cell r="A20" t="str">
            <v>66</v>
          </cell>
          <cell r="B20" t="str">
            <v>031</v>
          </cell>
        </row>
        <row r="21">
          <cell r="A21" t="str">
            <v>68</v>
          </cell>
          <cell r="B21" t="str">
            <v>032</v>
          </cell>
        </row>
        <row r="22">
          <cell r="A22" t="str">
            <v>70</v>
          </cell>
          <cell r="B22" t="str">
            <v>034</v>
          </cell>
        </row>
        <row r="23">
          <cell r="A23" t="str">
            <v>73</v>
          </cell>
          <cell r="B23" t="str">
            <v>035</v>
          </cell>
        </row>
        <row r="24">
          <cell r="A24" t="str">
            <v>76</v>
          </cell>
          <cell r="B24" t="str">
            <v>036</v>
          </cell>
        </row>
        <row r="25">
          <cell r="A25" t="str">
            <v>81</v>
          </cell>
          <cell r="B25" t="str">
            <v>038</v>
          </cell>
        </row>
        <row r="26">
          <cell r="A26" t="str">
            <v>85</v>
          </cell>
          <cell r="B26" t="str">
            <v>040</v>
          </cell>
        </row>
        <row r="27">
          <cell r="A27" t="str">
            <v>86</v>
          </cell>
          <cell r="B27" t="str">
            <v>041</v>
          </cell>
        </row>
        <row r="28">
          <cell r="A28" t="str">
            <v>88</v>
          </cell>
          <cell r="B28" t="str">
            <v>042</v>
          </cell>
        </row>
        <row r="29">
          <cell r="A29" t="str">
            <v>91</v>
          </cell>
          <cell r="B29" t="str">
            <v>043</v>
          </cell>
        </row>
        <row r="30">
          <cell r="A30" t="str">
            <v>94</v>
          </cell>
          <cell r="B30" t="str">
            <v>044</v>
          </cell>
        </row>
        <row r="31">
          <cell r="A31" t="str">
            <v>95</v>
          </cell>
          <cell r="B31" t="str">
            <v>045</v>
          </cell>
        </row>
        <row r="32">
          <cell r="A32" t="str">
            <v>97</v>
          </cell>
          <cell r="B32" t="str">
            <v>047</v>
          </cell>
        </row>
        <row r="33">
          <cell r="A33" t="str">
            <v>99</v>
          </cell>
          <cell r="B33" t="str">
            <v>050</v>
          </cell>
        </row>
        <row r="34">
          <cell r="B34" t="str">
            <v>051</v>
          </cell>
        </row>
        <row r="35">
          <cell r="B35" t="str">
            <v>052</v>
          </cell>
        </row>
        <row r="36">
          <cell r="B36" t="str">
            <v>053</v>
          </cell>
        </row>
        <row r="37">
          <cell r="B37" t="str">
            <v>054</v>
          </cell>
        </row>
        <row r="38">
          <cell r="B38" t="str">
            <v>055</v>
          </cell>
        </row>
        <row r="39">
          <cell r="B39" t="str">
            <v>058</v>
          </cell>
        </row>
        <row r="40">
          <cell r="B40" t="str">
            <v>059</v>
          </cell>
        </row>
        <row r="41">
          <cell r="B41" t="str">
            <v>060</v>
          </cell>
        </row>
        <row r="42">
          <cell r="B42" t="str">
            <v>062</v>
          </cell>
        </row>
        <row r="43">
          <cell r="B43" t="str">
            <v>065</v>
          </cell>
        </row>
        <row r="44">
          <cell r="B44" t="str">
            <v>067</v>
          </cell>
        </row>
        <row r="45">
          <cell r="B45" t="str">
            <v>068</v>
          </cell>
        </row>
        <row r="46">
          <cell r="B46" t="str">
            <v>073</v>
          </cell>
        </row>
        <row r="47">
          <cell r="B47" t="str">
            <v>074</v>
          </cell>
        </row>
        <row r="48">
          <cell r="B48" t="str">
            <v>075</v>
          </cell>
        </row>
        <row r="49">
          <cell r="B49" t="str">
            <v>077</v>
          </cell>
        </row>
        <row r="50">
          <cell r="B50" t="str">
            <v>078</v>
          </cell>
        </row>
        <row r="51">
          <cell r="B51" t="str">
            <v>079</v>
          </cell>
        </row>
        <row r="52">
          <cell r="B52" t="str">
            <v>081</v>
          </cell>
        </row>
        <row r="53">
          <cell r="B53" t="str">
            <v>083</v>
          </cell>
        </row>
        <row r="54">
          <cell r="B54" t="str">
            <v>086</v>
          </cell>
        </row>
        <row r="55">
          <cell r="B55" t="str">
            <v>087</v>
          </cell>
        </row>
        <row r="56">
          <cell r="B56" t="str">
            <v>088</v>
          </cell>
        </row>
        <row r="57">
          <cell r="B57" t="str">
            <v>090</v>
          </cell>
        </row>
        <row r="58">
          <cell r="B58" t="str">
            <v>091</v>
          </cell>
        </row>
        <row r="59">
          <cell r="B59" t="str">
            <v>092</v>
          </cell>
        </row>
        <row r="60">
          <cell r="B60" t="str">
            <v>093</v>
          </cell>
        </row>
        <row r="61">
          <cell r="B61" t="str">
            <v>094</v>
          </cell>
        </row>
        <row r="62">
          <cell r="B62" t="str">
            <v>095</v>
          </cell>
        </row>
        <row r="63">
          <cell r="B63" t="str">
            <v>097</v>
          </cell>
        </row>
        <row r="64">
          <cell r="B64" t="str">
            <v>098</v>
          </cell>
        </row>
        <row r="65">
          <cell r="B65" t="str">
            <v>099</v>
          </cell>
        </row>
        <row r="66">
          <cell r="B66" t="str">
            <v>100</v>
          </cell>
        </row>
        <row r="67">
          <cell r="B67" t="str">
            <v>101</v>
          </cell>
        </row>
        <row r="68">
          <cell r="B68" t="str">
            <v>104</v>
          </cell>
        </row>
        <row r="69">
          <cell r="B69" t="str">
            <v>106</v>
          </cell>
        </row>
        <row r="70">
          <cell r="B70" t="str">
            <v>107</v>
          </cell>
        </row>
        <row r="71">
          <cell r="B71" t="str">
            <v>109</v>
          </cell>
        </row>
        <row r="72">
          <cell r="B72" t="str">
            <v>110</v>
          </cell>
        </row>
        <row r="73">
          <cell r="B73" t="str">
            <v>111</v>
          </cell>
        </row>
        <row r="74">
          <cell r="B74" t="str">
            <v>113</v>
          </cell>
        </row>
        <row r="75">
          <cell r="B75" t="str">
            <v>114</v>
          </cell>
        </row>
        <row r="76">
          <cell r="B76" t="str">
            <v>120</v>
          </cell>
        </row>
        <row r="77">
          <cell r="B77" t="str">
            <v>121</v>
          </cell>
        </row>
        <row r="78">
          <cell r="B78" t="str">
            <v>122</v>
          </cell>
        </row>
        <row r="79">
          <cell r="B79" t="str">
            <v>123</v>
          </cell>
        </row>
        <row r="80">
          <cell r="B80" t="str">
            <v>124</v>
          </cell>
        </row>
        <row r="81">
          <cell r="B81" t="str">
            <v>125</v>
          </cell>
        </row>
        <row r="82">
          <cell r="B82" t="str">
            <v>126</v>
          </cell>
        </row>
        <row r="83">
          <cell r="B83" t="str">
            <v>128</v>
          </cell>
        </row>
        <row r="84">
          <cell r="B84" t="str">
            <v>129</v>
          </cell>
        </row>
        <row r="85">
          <cell r="B85" t="str">
            <v>130</v>
          </cell>
        </row>
        <row r="86">
          <cell r="B86" t="str">
            <v>131</v>
          </cell>
        </row>
        <row r="87">
          <cell r="B87" t="str">
            <v>132</v>
          </cell>
        </row>
        <row r="88">
          <cell r="B88" t="str">
            <v>134</v>
          </cell>
        </row>
        <row r="89">
          <cell r="B89" t="str">
            <v>135</v>
          </cell>
        </row>
        <row r="90">
          <cell r="B90" t="str">
            <v>136</v>
          </cell>
        </row>
        <row r="91">
          <cell r="B91" t="str">
            <v>137</v>
          </cell>
        </row>
        <row r="92">
          <cell r="B92" t="str">
            <v>138</v>
          </cell>
        </row>
        <row r="93">
          <cell r="B93" t="str">
            <v>139</v>
          </cell>
        </row>
        <row r="94">
          <cell r="B94" t="str">
            <v>140</v>
          </cell>
        </row>
        <row r="95">
          <cell r="B95" t="str">
            <v>141</v>
          </cell>
        </row>
        <row r="96">
          <cell r="B96" t="str">
            <v>142</v>
          </cell>
        </row>
        <row r="97">
          <cell r="B97" t="str">
            <v>145</v>
          </cell>
        </row>
        <row r="98">
          <cell r="B98" t="str">
            <v>147</v>
          </cell>
        </row>
        <row r="99">
          <cell r="B99" t="str">
            <v>148</v>
          </cell>
        </row>
        <row r="100">
          <cell r="B100" t="str">
            <v>150</v>
          </cell>
        </row>
        <row r="101">
          <cell r="B101" t="str">
            <v>151</v>
          </cell>
        </row>
        <row r="102">
          <cell r="B102" t="str">
            <v>152</v>
          </cell>
        </row>
        <row r="103">
          <cell r="B103" t="str">
            <v>154</v>
          </cell>
        </row>
        <row r="104">
          <cell r="B104" t="str">
            <v>160</v>
          </cell>
        </row>
        <row r="105">
          <cell r="B105" t="str">
            <v>161</v>
          </cell>
        </row>
        <row r="106">
          <cell r="B106" t="str">
            <v>162</v>
          </cell>
        </row>
        <row r="107">
          <cell r="B107" t="str">
            <v>167</v>
          </cell>
        </row>
        <row r="108">
          <cell r="B108" t="str">
            <v>168</v>
          </cell>
        </row>
        <row r="109">
          <cell r="B109" t="str">
            <v>169</v>
          </cell>
        </row>
        <row r="110">
          <cell r="B110" t="str">
            <v>170</v>
          </cell>
        </row>
        <row r="111">
          <cell r="B111" t="str">
            <v>172</v>
          </cell>
        </row>
        <row r="112">
          <cell r="B112" t="str">
            <v>174</v>
          </cell>
        </row>
        <row r="113">
          <cell r="B113" t="str">
            <v>175</v>
          </cell>
        </row>
        <row r="114">
          <cell r="B114" t="str">
            <v>176</v>
          </cell>
        </row>
        <row r="115">
          <cell r="B115" t="str">
            <v>178</v>
          </cell>
        </row>
        <row r="116">
          <cell r="B116" t="str">
            <v>179</v>
          </cell>
        </row>
        <row r="117">
          <cell r="B117" t="str">
            <v>180</v>
          </cell>
        </row>
        <row r="118">
          <cell r="B118" t="str">
            <v>181</v>
          </cell>
        </row>
        <row r="119">
          <cell r="B119" t="str">
            <v>182</v>
          </cell>
        </row>
        <row r="120">
          <cell r="B120" t="str">
            <v>183</v>
          </cell>
        </row>
        <row r="121">
          <cell r="B121" t="str">
            <v>185</v>
          </cell>
        </row>
        <row r="122">
          <cell r="B122" t="str">
            <v>187</v>
          </cell>
        </row>
        <row r="123">
          <cell r="B123" t="str">
            <v>188</v>
          </cell>
        </row>
        <row r="124">
          <cell r="B124" t="str">
            <v>189</v>
          </cell>
        </row>
        <row r="125">
          <cell r="B125" t="str">
            <v>190</v>
          </cell>
        </row>
        <row r="126">
          <cell r="B126" t="str">
            <v>197</v>
          </cell>
        </row>
        <row r="127">
          <cell r="B127" t="str">
            <v>200</v>
          </cell>
        </row>
        <row r="128">
          <cell r="B128" t="str">
            <v>203</v>
          </cell>
        </row>
        <row r="129">
          <cell r="B129" t="str">
            <v>204</v>
          </cell>
        </row>
        <row r="130">
          <cell r="B130" t="str">
            <v>205</v>
          </cell>
        </row>
        <row r="131">
          <cell r="B131" t="str">
            <v>206</v>
          </cell>
        </row>
        <row r="132">
          <cell r="B132" t="str">
            <v>207</v>
          </cell>
        </row>
        <row r="133">
          <cell r="B133" t="str">
            <v>209</v>
          </cell>
        </row>
        <row r="134">
          <cell r="B134" t="str">
            <v>210</v>
          </cell>
        </row>
        <row r="135">
          <cell r="B135" t="str">
            <v>211</v>
          </cell>
        </row>
        <row r="136">
          <cell r="B136" t="str">
            <v>212</v>
          </cell>
        </row>
        <row r="137">
          <cell r="B137" t="str">
            <v>214</v>
          </cell>
        </row>
        <row r="138">
          <cell r="B138" t="str">
            <v>215</v>
          </cell>
        </row>
        <row r="139">
          <cell r="B139" t="str">
            <v>217</v>
          </cell>
        </row>
        <row r="140">
          <cell r="B140" t="str">
            <v>218</v>
          </cell>
        </row>
        <row r="141">
          <cell r="B141" t="str">
            <v>219</v>
          </cell>
        </row>
        <row r="142">
          <cell r="B142" t="str">
            <v>220</v>
          </cell>
        </row>
        <row r="143">
          <cell r="B143" t="str">
            <v>221</v>
          </cell>
        </row>
        <row r="144">
          <cell r="B144" t="str">
            <v>222</v>
          </cell>
        </row>
        <row r="145">
          <cell r="B145" t="str">
            <v>223</v>
          </cell>
        </row>
        <row r="146">
          <cell r="B146" t="str">
            <v>224</v>
          </cell>
        </row>
        <row r="147">
          <cell r="B147" t="str">
            <v>225</v>
          </cell>
        </row>
        <row r="148">
          <cell r="B148" t="str">
            <v>226</v>
          </cell>
        </row>
        <row r="149">
          <cell r="B149" t="str">
            <v>227</v>
          </cell>
        </row>
        <row r="150">
          <cell r="B150" t="str">
            <v>228</v>
          </cell>
        </row>
        <row r="151">
          <cell r="B151" t="str">
            <v>229</v>
          </cell>
        </row>
        <row r="152">
          <cell r="B152" t="str">
            <v>230</v>
          </cell>
        </row>
        <row r="153">
          <cell r="B153" t="str">
            <v>232</v>
          </cell>
        </row>
        <row r="154">
          <cell r="B154" t="str">
            <v>233</v>
          </cell>
        </row>
        <row r="155">
          <cell r="B155" t="str">
            <v>234</v>
          </cell>
        </row>
        <row r="156">
          <cell r="B156" t="str">
            <v>235</v>
          </cell>
        </row>
        <row r="157">
          <cell r="B157" t="str">
            <v>236</v>
          </cell>
        </row>
        <row r="158">
          <cell r="B158" t="str">
            <v>237</v>
          </cell>
        </row>
        <row r="159">
          <cell r="B159" t="str">
            <v>238</v>
          </cell>
        </row>
        <row r="160">
          <cell r="B160" t="str">
            <v>239</v>
          </cell>
        </row>
        <row r="161">
          <cell r="B161" t="str">
            <v>240</v>
          </cell>
        </row>
        <row r="162">
          <cell r="B162" t="str">
            <v>243</v>
          </cell>
        </row>
        <row r="163">
          <cell r="B163" t="str">
            <v>244</v>
          </cell>
        </row>
        <row r="164">
          <cell r="B164" t="str">
            <v>245</v>
          </cell>
        </row>
        <row r="165">
          <cell r="B165" t="str">
            <v>246</v>
          </cell>
        </row>
        <row r="166">
          <cell r="B166" t="str">
            <v>247</v>
          </cell>
        </row>
        <row r="167">
          <cell r="B167" t="str">
            <v>248</v>
          </cell>
        </row>
        <row r="168">
          <cell r="B168" t="str">
            <v>250</v>
          </cell>
        </row>
        <row r="169">
          <cell r="B169" t="str">
            <v>251</v>
          </cell>
        </row>
        <row r="170">
          <cell r="B170" t="str">
            <v>254</v>
          </cell>
        </row>
        <row r="171">
          <cell r="B171" t="str">
            <v>255</v>
          </cell>
        </row>
        <row r="172">
          <cell r="B172" t="str">
            <v>256</v>
          </cell>
        </row>
        <row r="173">
          <cell r="B173" t="str">
            <v>258</v>
          </cell>
        </row>
        <row r="174">
          <cell r="B174" t="str">
            <v>260</v>
          </cell>
        </row>
        <row r="175">
          <cell r="B175" t="str">
            <v>261</v>
          </cell>
        </row>
        <row r="176">
          <cell r="B176" t="str">
            <v>263</v>
          </cell>
        </row>
        <row r="177">
          <cell r="B177" t="str">
            <v>264</v>
          </cell>
        </row>
        <row r="178">
          <cell r="B178" t="str">
            <v>265</v>
          </cell>
        </row>
        <row r="179">
          <cell r="B179" t="str">
            <v>266</v>
          </cell>
        </row>
        <row r="180">
          <cell r="B180" t="str">
            <v>268</v>
          </cell>
        </row>
        <row r="181">
          <cell r="B181" t="str">
            <v>269</v>
          </cell>
        </row>
        <row r="182">
          <cell r="B182" t="str">
            <v>270</v>
          </cell>
        </row>
        <row r="183">
          <cell r="B183" t="str">
            <v>271</v>
          </cell>
        </row>
        <row r="184">
          <cell r="B184" t="str">
            <v>272</v>
          </cell>
        </row>
        <row r="185">
          <cell r="B185" t="str">
            <v>275</v>
          </cell>
        </row>
        <row r="186">
          <cell r="B186" t="str">
            <v>276</v>
          </cell>
        </row>
        <row r="187">
          <cell r="B187" t="str">
            <v>279</v>
          </cell>
        </row>
        <row r="188">
          <cell r="B188" t="str">
            <v>281</v>
          </cell>
        </row>
        <row r="189">
          <cell r="B189" t="str">
            <v>282</v>
          </cell>
        </row>
        <row r="190">
          <cell r="B190" t="str">
            <v>283</v>
          </cell>
        </row>
        <row r="191">
          <cell r="B191" t="str">
            <v>284</v>
          </cell>
        </row>
        <row r="192">
          <cell r="B192" t="str">
            <v>286</v>
          </cell>
        </row>
        <row r="193">
          <cell r="B193" t="str">
            <v>287</v>
          </cell>
        </row>
        <row r="194">
          <cell r="B194" t="str">
            <v>288</v>
          </cell>
        </row>
        <row r="195">
          <cell r="B195" t="str">
            <v>290</v>
          </cell>
        </row>
        <row r="196">
          <cell r="B196" t="str">
            <v>293</v>
          </cell>
        </row>
        <row r="197">
          <cell r="B197" t="str">
            <v>295</v>
          </cell>
        </row>
        <row r="198">
          <cell r="B198" t="str">
            <v>296</v>
          </cell>
        </row>
        <row r="199">
          <cell r="B199" t="str">
            <v>297</v>
          </cell>
        </row>
        <row r="200">
          <cell r="B200" t="str">
            <v>298</v>
          </cell>
        </row>
        <row r="201">
          <cell r="B201" t="str">
            <v>299</v>
          </cell>
        </row>
        <row r="202">
          <cell r="B202" t="str">
            <v>300</v>
          </cell>
        </row>
        <row r="203">
          <cell r="B203" t="str">
            <v>302</v>
          </cell>
        </row>
        <row r="204">
          <cell r="B204" t="str">
            <v>306</v>
          </cell>
        </row>
        <row r="205">
          <cell r="B205" t="str">
            <v>307</v>
          </cell>
        </row>
        <row r="206">
          <cell r="B206" t="str">
            <v>308</v>
          </cell>
        </row>
        <row r="207">
          <cell r="B207" t="str">
            <v>310</v>
          </cell>
        </row>
        <row r="208">
          <cell r="B208" t="str">
            <v>312</v>
          </cell>
        </row>
        <row r="209">
          <cell r="B209" t="str">
            <v>313</v>
          </cell>
        </row>
        <row r="210">
          <cell r="B210" t="str">
            <v>315</v>
          </cell>
        </row>
        <row r="211">
          <cell r="B211" t="str">
            <v>317</v>
          </cell>
        </row>
        <row r="212">
          <cell r="B212" t="str">
            <v>318</v>
          </cell>
        </row>
        <row r="213">
          <cell r="B213" t="str">
            <v>319</v>
          </cell>
        </row>
        <row r="214">
          <cell r="B214" t="str">
            <v>320</v>
          </cell>
        </row>
        <row r="215">
          <cell r="B215" t="str">
            <v>321</v>
          </cell>
        </row>
        <row r="216">
          <cell r="B216" t="str">
            <v>322</v>
          </cell>
        </row>
        <row r="217">
          <cell r="B217" t="str">
            <v>323</v>
          </cell>
        </row>
        <row r="218">
          <cell r="B218" t="str">
            <v>324</v>
          </cell>
        </row>
        <row r="219">
          <cell r="B219" t="str">
            <v>325</v>
          </cell>
        </row>
        <row r="220">
          <cell r="B220" t="str">
            <v>326</v>
          </cell>
        </row>
        <row r="221">
          <cell r="B221" t="str">
            <v>327</v>
          </cell>
        </row>
        <row r="222">
          <cell r="B222" t="str">
            <v>328</v>
          </cell>
        </row>
        <row r="223">
          <cell r="B223" t="str">
            <v>330</v>
          </cell>
        </row>
        <row r="224">
          <cell r="B224" t="str">
            <v>332</v>
          </cell>
        </row>
        <row r="225">
          <cell r="B225" t="str">
            <v>335</v>
          </cell>
        </row>
        <row r="226">
          <cell r="B226" t="str">
            <v>339</v>
          </cell>
        </row>
        <row r="227">
          <cell r="B227" t="str">
            <v>343</v>
          </cell>
        </row>
        <row r="228">
          <cell r="B228" t="str">
            <v>344</v>
          </cell>
        </row>
        <row r="229">
          <cell r="B229" t="str">
            <v>347</v>
          </cell>
        </row>
        <row r="230">
          <cell r="B230" t="str">
            <v>349</v>
          </cell>
        </row>
        <row r="231">
          <cell r="B231" t="str">
            <v>350</v>
          </cell>
        </row>
        <row r="232">
          <cell r="B232" t="str">
            <v>352</v>
          </cell>
        </row>
        <row r="233">
          <cell r="B233" t="str">
            <v>353</v>
          </cell>
        </row>
        <row r="234">
          <cell r="B234" t="str">
            <v>354</v>
          </cell>
        </row>
        <row r="235">
          <cell r="B235" t="str">
            <v>355</v>
          </cell>
        </row>
        <row r="236">
          <cell r="B236" t="str">
            <v>356</v>
          </cell>
        </row>
        <row r="237">
          <cell r="B237" t="str">
            <v>357</v>
          </cell>
        </row>
        <row r="238">
          <cell r="B238" t="str">
            <v>359</v>
          </cell>
        </row>
        <row r="239">
          <cell r="B239" t="str">
            <v>360</v>
          </cell>
        </row>
        <row r="240">
          <cell r="B240" t="str">
            <v>361</v>
          </cell>
        </row>
        <row r="241">
          <cell r="B241" t="str">
            <v>362</v>
          </cell>
        </row>
        <row r="242">
          <cell r="B242" t="str">
            <v>364</v>
          </cell>
        </row>
        <row r="243">
          <cell r="B243" t="str">
            <v>367</v>
          </cell>
        </row>
        <row r="244">
          <cell r="B244" t="str">
            <v>368</v>
          </cell>
        </row>
        <row r="245">
          <cell r="B245" t="str">
            <v>370</v>
          </cell>
        </row>
        <row r="246">
          <cell r="B246" t="str">
            <v>372</v>
          </cell>
        </row>
        <row r="247">
          <cell r="B247" t="str">
            <v>376</v>
          </cell>
        </row>
        <row r="248">
          <cell r="B248" t="str">
            <v>377</v>
          </cell>
        </row>
        <row r="249">
          <cell r="B249" t="str">
            <v>378</v>
          </cell>
        </row>
        <row r="250">
          <cell r="B250" t="str">
            <v>380</v>
          </cell>
        </row>
        <row r="251">
          <cell r="B251" t="str">
            <v>381</v>
          </cell>
        </row>
        <row r="252">
          <cell r="B252" t="str">
            <v>383</v>
          </cell>
        </row>
        <row r="253">
          <cell r="B253" t="str">
            <v>385</v>
          </cell>
        </row>
        <row r="254">
          <cell r="B254" t="str">
            <v>386</v>
          </cell>
        </row>
        <row r="255">
          <cell r="B255" t="str">
            <v>388</v>
          </cell>
        </row>
        <row r="256">
          <cell r="B256" t="str">
            <v>390</v>
          </cell>
        </row>
        <row r="257">
          <cell r="B257" t="str">
            <v>392</v>
          </cell>
        </row>
        <row r="258">
          <cell r="B258" t="str">
            <v>394</v>
          </cell>
        </row>
        <row r="259">
          <cell r="B259" t="str">
            <v>396</v>
          </cell>
        </row>
        <row r="260">
          <cell r="B260" t="str">
            <v>397</v>
          </cell>
        </row>
        <row r="261">
          <cell r="B261" t="str">
            <v>398</v>
          </cell>
        </row>
        <row r="262">
          <cell r="B262" t="str">
            <v>399</v>
          </cell>
        </row>
        <row r="263">
          <cell r="B263" t="str">
            <v>400</v>
          </cell>
        </row>
        <row r="264">
          <cell r="B264" t="str">
            <v>401</v>
          </cell>
        </row>
        <row r="265">
          <cell r="B265" t="str">
            <v>402</v>
          </cell>
        </row>
        <row r="266">
          <cell r="B266" t="str">
            <v>403</v>
          </cell>
        </row>
        <row r="267">
          <cell r="B267" t="str">
            <v>405</v>
          </cell>
        </row>
        <row r="268">
          <cell r="B268" t="str">
            <v>406</v>
          </cell>
        </row>
        <row r="269">
          <cell r="B269" t="str">
            <v>407</v>
          </cell>
        </row>
        <row r="270">
          <cell r="B270" t="str">
            <v>408</v>
          </cell>
        </row>
        <row r="271">
          <cell r="B271" t="str">
            <v>410</v>
          </cell>
        </row>
        <row r="272">
          <cell r="B272" t="str">
            <v>411</v>
          </cell>
        </row>
        <row r="273">
          <cell r="B273" t="str">
            <v>413</v>
          </cell>
        </row>
        <row r="274">
          <cell r="B274" t="str">
            <v>417</v>
          </cell>
        </row>
        <row r="275">
          <cell r="B275" t="str">
            <v>418</v>
          </cell>
        </row>
        <row r="276">
          <cell r="B276" t="str">
            <v>419</v>
          </cell>
        </row>
        <row r="277">
          <cell r="B277" t="str">
            <v>420</v>
          </cell>
        </row>
        <row r="278">
          <cell r="B278" t="str">
            <v>421</v>
          </cell>
        </row>
        <row r="279">
          <cell r="B279" t="str">
            <v>425</v>
          </cell>
        </row>
        <row r="280">
          <cell r="B280" t="str">
            <v>426</v>
          </cell>
        </row>
        <row r="281">
          <cell r="B281" t="str">
            <v>427</v>
          </cell>
        </row>
        <row r="282">
          <cell r="B282" t="str">
            <v>429</v>
          </cell>
        </row>
        <row r="283">
          <cell r="B283" t="str">
            <v>430</v>
          </cell>
        </row>
        <row r="284">
          <cell r="B284" t="str">
            <v>432</v>
          </cell>
        </row>
        <row r="285">
          <cell r="B285" t="str">
            <v>433</v>
          </cell>
        </row>
        <row r="286">
          <cell r="B286" t="str">
            <v>435</v>
          </cell>
        </row>
        <row r="287">
          <cell r="B287" t="str">
            <v>436</v>
          </cell>
        </row>
        <row r="288">
          <cell r="B288" t="str">
            <v>438</v>
          </cell>
        </row>
        <row r="289">
          <cell r="B289" t="str">
            <v>440</v>
          </cell>
        </row>
        <row r="290">
          <cell r="B290" t="str">
            <v>442</v>
          </cell>
        </row>
        <row r="291">
          <cell r="B291" t="str">
            <v>443</v>
          </cell>
        </row>
        <row r="292">
          <cell r="B292" t="str">
            <v>444</v>
          </cell>
        </row>
        <row r="293">
          <cell r="B293" t="str">
            <v>446</v>
          </cell>
        </row>
        <row r="294">
          <cell r="B294" t="str">
            <v>449</v>
          </cell>
        </row>
        <row r="295">
          <cell r="B295" t="str">
            <v>450</v>
          </cell>
        </row>
        <row r="296">
          <cell r="B296" t="str">
            <v>455</v>
          </cell>
        </row>
        <row r="297">
          <cell r="B297" t="str">
            <v>456</v>
          </cell>
        </row>
        <row r="298">
          <cell r="B298" t="str">
            <v>458</v>
          </cell>
        </row>
        <row r="299">
          <cell r="B299" t="str">
            <v>460</v>
          </cell>
        </row>
        <row r="300">
          <cell r="B300" t="str">
            <v>461</v>
          </cell>
        </row>
        <row r="301">
          <cell r="B301" t="str">
            <v>464</v>
          </cell>
        </row>
        <row r="302">
          <cell r="B302" t="str">
            <v>466</v>
          </cell>
        </row>
        <row r="303">
          <cell r="B303" t="str">
            <v>467</v>
          </cell>
        </row>
        <row r="304">
          <cell r="B304" t="str">
            <v>468</v>
          </cell>
        </row>
        <row r="305">
          <cell r="B305" t="str">
            <v>469</v>
          </cell>
        </row>
        <row r="306">
          <cell r="B306" t="str">
            <v>470</v>
          </cell>
        </row>
        <row r="307">
          <cell r="B307" t="str">
            <v>473</v>
          </cell>
        </row>
        <row r="308">
          <cell r="B308" t="str">
            <v>475</v>
          </cell>
        </row>
        <row r="309">
          <cell r="B309" t="str">
            <v>476</v>
          </cell>
        </row>
        <row r="310">
          <cell r="B310" t="str">
            <v>479</v>
          </cell>
        </row>
        <row r="311">
          <cell r="B311" t="str">
            <v>480</v>
          </cell>
        </row>
        <row r="312">
          <cell r="B312" t="str">
            <v>483</v>
          </cell>
        </row>
        <row r="313">
          <cell r="B313" t="str">
            <v>486</v>
          </cell>
        </row>
        <row r="314">
          <cell r="B314" t="str">
            <v>488</v>
          </cell>
        </row>
        <row r="315">
          <cell r="B315" t="str">
            <v>489</v>
          </cell>
        </row>
        <row r="316">
          <cell r="B316" t="str">
            <v>490</v>
          </cell>
        </row>
        <row r="317">
          <cell r="B317" t="str">
            <v>491</v>
          </cell>
        </row>
        <row r="318">
          <cell r="B318" t="str">
            <v>494</v>
          </cell>
        </row>
        <row r="319">
          <cell r="B319" t="str">
            <v>495</v>
          </cell>
        </row>
        <row r="320">
          <cell r="B320" t="str">
            <v>497</v>
          </cell>
        </row>
        <row r="321">
          <cell r="B321" t="str">
            <v>498</v>
          </cell>
        </row>
        <row r="322">
          <cell r="B322" t="str">
            <v>500</v>
          </cell>
        </row>
        <row r="323">
          <cell r="B323" t="str">
            <v>501</v>
          </cell>
        </row>
        <row r="324">
          <cell r="B324" t="str">
            <v>502</v>
          </cell>
        </row>
        <row r="325">
          <cell r="B325" t="str">
            <v>503</v>
          </cell>
        </row>
        <row r="326">
          <cell r="B326" t="str">
            <v>504</v>
          </cell>
        </row>
        <row r="327">
          <cell r="B327" t="str">
            <v>506</v>
          </cell>
        </row>
        <row r="328">
          <cell r="B328" t="str">
            <v>507</v>
          </cell>
        </row>
        <row r="329">
          <cell r="B329" t="str">
            <v>508</v>
          </cell>
        </row>
        <row r="330">
          <cell r="B330" t="str">
            <v>511</v>
          </cell>
        </row>
        <row r="331">
          <cell r="B331" t="str">
            <v>513</v>
          </cell>
        </row>
        <row r="332">
          <cell r="B332" t="str">
            <v>514</v>
          </cell>
        </row>
        <row r="333">
          <cell r="B333" t="str">
            <v>516</v>
          </cell>
        </row>
        <row r="334">
          <cell r="B334" t="str">
            <v>517</v>
          </cell>
        </row>
        <row r="335">
          <cell r="B335" t="str">
            <v>518</v>
          </cell>
        </row>
        <row r="336">
          <cell r="B336" t="str">
            <v>520</v>
          </cell>
        </row>
        <row r="337">
          <cell r="B337" t="str">
            <v>522</v>
          </cell>
        </row>
        <row r="338">
          <cell r="B338" t="str">
            <v>523</v>
          </cell>
        </row>
        <row r="339">
          <cell r="B339" t="str">
            <v>524</v>
          </cell>
        </row>
        <row r="340">
          <cell r="B340" t="str">
            <v>530</v>
          </cell>
        </row>
        <row r="341">
          <cell r="B341" t="str">
            <v>531</v>
          </cell>
        </row>
        <row r="342">
          <cell r="B342" t="str">
            <v>532</v>
          </cell>
        </row>
        <row r="343">
          <cell r="B343" t="str">
            <v>533</v>
          </cell>
        </row>
        <row r="344">
          <cell r="B344" t="str">
            <v>535</v>
          </cell>
        </row>
        <row r="345">
          <cell r="B345" t="str">
            <v>536</v>
          </cell>
        </row>
        <row r="346">
          <cell r="B346" t="str">
            <v>537</v>
          </cell>
        </row>
        <row r="347">
          <cell r="B347" t="str">
            <v>540</v>
          </cell>
        </row>
        <row r="348">
          <cell r="B348" t="str">
            <v>541</v>
          </cell>
        </row>
        <row r="349">
          <cell r="B349" t="str">
            <v>542</v>
          </cell>
        </row>
        <row r="350">
          <cell r="B350" t="str">
            <v>543</v>
          </cell>
        </row>
        <row r="351">
          <cell r="B351" t="str">
            <v>545</v>
          </cell>
        </row>
        <row r="352">
          <cell r="B352" t="str">
            <v>547</v>
          </cell>
        </row>
        <row r="353">
          <cell r="B353" t="str">
            <v>548</v>
          </cell>
        </row>
        <row r="354">
          <cell r="B354" t="str">
            <v>549</v>
          </cell>
        </row>
        <row r="355">
          <cell r="B355" t="str">
            <v>550</v>
          </cell>
        </row>
        <row r="356">
          <cell r="B356" t="str">
            <v>551</v>
          </cell>
        </row>
        <row r="357">
          <cell r="B357" t="str">
            <v>553</v>
          </cell>
        </row>
        <row r="358">
          <cell r="B358" t="str">
            <v>555</v>
          </cell>
        </row>
        <row r="359">
          <cell r="B359" t="str">
            <v>558</v>
          </cell>
        </row>
        <row r="360">
          <cell r="B360" t="str">
            <v>560</v>
          </cell>
        </row>
        <row r="361">
          <cell r="B361" t="str">
            <v>563</v>
          </cell>
        </row>
        <row r="362">
          <cell r="B362" t="str">
            <v>564</v>
          </cell>
        </row>
        <row r="363">
          <cell r="B363" t="str">
            <v>565</v>
          </cell>
        </row>
        <row r="364">
          <cell r="B364" t="str">
            <v>568</v>
          </cell>
        </row>
        <row r="365">
          <cell r="B365" t="str">
            <v>569</v>
          </cell>
        </row>
        <row r="366">
          <cell r="B366" t="str">
            <v>570</v>
          </cell>
        </row>
        <row r="367">
          <cell r="B367" t="str">
            <v>571</v>
          </cell>
        </row>
        <row r="368">
          <cell r="B368" t="str">
            <v>572</v>
          </cell>
        </row>
        <row r="369">
          <cell r="B369" t="str">
            <v>573</v>
          </cell>
        </row>
        <row r="370">
          <cell r="B370" t="str">
            <v>574</v>
          </cell>
        </row>
        <row r="371">
          <cell r="B371" t="str">
            <v>575</v>
          </cell>
        </row>
        <row r="372">
          <cell r="B372" t="str">
            <v>576</v>
          </cell>
        </row>
        <row r="373">
          <cell r="B373" t="str">
            <v>577</v>
          </cell>
        </row>
        <row r="374">
          <cell r="B374" t="str">
            <v>579</v>
          </cell>
        </row>
        <row r="375">
          <cell r="B375" t="str">
            <v>580</v>
          </cell>
        </row>
        <row r="376">
          <cell r="B376" t="str">
            <v>585</v>
          </cell>
        </row>
        <row r="377">
          <cell r="B377" t="str">
            <v>586</v>
          </cell>
        </row>
        <row r="378">
          <cell r="B378" t="str">
            <v>590</v>
          </cell>
        </row>
        <row r="379">
          <cell r="B379" t="str">
            <v>591</v>
          </cell>
        </row>
        <row r="380">
          <cell r="B380" t="str">
            <v>592</v>
          </cell>
        </row>
        <row r="381">
          <cell r="B381" t="str">
            <v>594</v>
          </cell>
        </row>
        <row r="382">
          <cell r="B382" t="str">
            <v>596</v>
          </cell>
        </row>
        <row r="383">
          <cell r="B383" t="str">
            <v>599</v>
          </cell>
        </row>
        <row r="384">
          <cell r="B384" t="str">
            <v>600</v>
          </cell>
        </row>
        <row r="385">
          <cell r="B385" t="str">
            <v>604</v>
          </cell>
        </row>
        <row r="386">
          <cell r="B386" t="str">
            <v>605</v>
          </cell>
        </row>
        <row r="387">
          <cell r="B387" t="str">
            <v>606</v>
          </cell>
        </row>
        <row r="388">
          <cell r="B388" t="str">
            <v>607</v>
          </cell>
        </row>
        <row r="389">
          <cell r="B389" t="str">
            <v>610</v>
          </cell>
        </row>
        <row r="390">
          <cell r="B390" t="str">
            <v>612</v>
          </cell>
        </row>
        <row r="391">
          <cell r="B391" t="str">
            <v>614</v>
          </cell>
        </row>
        <row r="392">
          <cell r="B392" t="str">
            <v>615</v>
          </cell>
        </row>
        <row r="393">
          <cell r="B393" t="str">
            <v>616</v>
          </cell>
        </row>
        <row r="394">
          <cell r="B394" t="str">
            <v>620</v>
          </cell>
        </row>
        <row r="395">
          <cell r="B395" t="str">
            <v>621</v>
          </cell>
        </row>
        <row r="396">
          <cell r="B396" t="str">
            <v>622</v>
          </cell>
        </row>
        <row r="397">
          <cell r="B397" t="str">
            <v>624</v>
          </cell>
        </row>
        <row r="398">
          <cell r="B398" t="str">
            <v>628</v>
          </cell>
        </row>
        <row r="399">
          <cell r="B399" t="str">
            <v>631</v>
          </cell>
        </row>
        <row r="400">
          <cell r="B400" t="str">
            <v>632</v>
          </cell>
        </row>
        <row r="401">
          <cell r="B401" t="str">
            <v>634</v>
          </cell>
        </row>
        <row r="402">
          <cell r="B402" t="str">
            <v>638</v>
          </cell>
        </row>
        <row r="403">
          <cell r="B403" t="str">
            <v>642</v>
          </cell>
        </row>
        <row r="404">
          <cell r="B404" t="str">
            <v>645</v>
          </cell>
        </row>
        <row r="405">
          <cell r="B405" t="str">
            <v>646</v>
          </cell>
        </row>
        <row r="406">
          <cell r="B406" t="str">
            <v>647</v>
          </cell>
        </row>
        <row r="407">
          <cell r="B407" t="str">
            <v>649</v>
          </cell>
        </row>
        <row r="408">
          <cell r="B408" t="str">
            <v>650</v>
          </cell>
        </row>
        <row r="409">
          <cell r="B409" t="str">
            <v>652</v>
          </cell>
        </row>
        <row r="410">
          <cell r="B410" t="str">
            <v>653</v>
          </cell>
        </row>
        <row r="411">
          <cell r="B411" t="str">
            <v>654</v>
          </cell>
        </row>
        <row r="412">
          <cell r="B412" t="str">
            <v>655</v>
          </cell>
        </row>
        <row r="413">
          <cell r="B413" t="str">
            <v>656</v>
          </cell>
        </row>
        <row r="414">
          <cell r="B414" t="str">
            <v>657</v>
          </cell>
        </row>
        <row r="415">
          <cell r="B415" t="str">
            <v>658</v>
          </cell>
        </row>
        <row r="416">
          <cell r="B416" t="str">
            <v>659</v>
          </cell>
        </row>
        <row r="417">
          <cell r="B417" t="str">
            <v>660</v>
          </cell>
        </row>
        <row r="418">
          <cell r="B418" t="str">
            <v>662</v>
          </cell>
        </row>
        <row r="419">
          <cell r="B419" t="str">
            <v>663</v>
          </cell>
        </row>
        <row r="420">
          <cell r="B420" t="str">
            <v>664</v>
          </cell>
        </row>
        <row r="421">
          <cell r="B421" t="str">
            <v>665</v>
          </cell>
        </row>
        <row r="422">
          <cell r="B422" t="str">
            <v>666</v>
          </cell>
        </row>
        <row r="423">
          <cell r="B423" t="str">
            <v>667</v>
          </cell>
        </row>
        <row r="424">
          <cell r="B424" t="str">
            <v>668</v>
          </cell>
        </row>
        <row r="425">
          <cell r="B425" t="str">
            <v>669</v>
          </cell>
        </row>
        <row r="426">
          <cell r="B426" t="str">
            <v>670</v>
          </cell>
        </row>
        <row r="427">
          <cell r="B427" t="str">
            <v>671</v>
          </cell>
        </row>
        <row r="428">
          <cell r="B428" t="str">
            <v>672</v>
          </cell>
        </row>
        <row r="429">
          <cell r="B429" t="str">
            <v>673</v>
          </cell>
        </row>
        <row r="430">
          <cell r="B430" t="str">
            <v>674</v>
          </cell>
        </row>
        <row r="431">
          <cell r="B431" t="str">
            <v>675</v>
          </cell>
        </row>
        <row r="432">
          <cell r="B432" t="str">
            <v>676</v>
          </cell>
        </row>
        <row r="433">
          <cell r="B433" t="str">
            <v>678</v>
          </cell>
        </row>
        <row r="434">
          <cell r="B434" t="str">
            <v>679</v>
          </cell>
        </row>
        <row r="435">
          <cell r="B435" t="str">
            <v>680</v>
          </cell>
        </row>
        <row r="436">
          <cell r="B436" t="str">
            <v>681</v>
          </cell>
        </row>
        <row r="437">
          <cell r="B437" t="str">
            <v>682</v>
          </cell>
        </row>
        <row r="438">
          <cell r="B438" t="str">
            <v>683</v>
          </cell>
        </row>
        <row r="439">
          <cell r="B439" t="str">
            <v>684</v>
          </cell>
        </row>
        <row r="440">
          <cell r="B440" t="str">
            <v>685</v>
          </cell>
        </row>
        <row r="441">
          <cell r="B441" t="str">
            <v>686</v>
          </cell>
        </row>
        <row r="442">
          <cell r="B442" t="str">
            <v>687</v>
          </cell>
        </row>
        <row r="443">
          <cell r="B443" t="str">
            <v>688</v>
          </cell>
        </row>
        <row r="444">
          <cell r="B444" t="str">
            <v>689</v>
          </cell>
        </row>
        <row r="445">
          <cell r="B445" t="str">
            <v>690</v>
          </cell>
        </row>
        <row r="446">
          <cell r="B446" t="str">
            <v>692</v>
          </cell>
        </row>
        <row r="447">
          <cell r="B447" t="str">
            <v>693</v>
          </cell>
        </row>
        <row r="448">
          <cell r="B448" t="str">
            <v>694</v>
          </cell>
        </row>
        <row r="449">
          <cell r="B449" t="str">
            <v>696</v>
          </cell>
        </row>
        <row r="450">
          <cell r="B450" t="str">
            <v>697</v>
          </cell>
        </row>
        <row r="451">
          <cell r="B451" t="str">
            <v>698</v>
          </cell>
        </row>
        <row r="452">
          <cell r="B452" t="str">
            <v>699</v>
          </cell>
        </row>
        <row r="453">
          <cell r="B453" t="str">
            <v>701</v>
          </cell>
        </row>
        <row r="454">
          <cell r="B454" t="str">
            <v>702</v>
          </cell>
        </row>
        <row r="455">
          <cell r="B455" t="str">
            <v>703</v>
          </cell>
        </row>
        <row r="456">
          <cell r="B456" t="str">
            <v>705</v>
          </cell>
        </row>
        <row r="457">
          <cell r="B457" t="str">
            <v>707</v>
          </cell>
        </row>
        <row r="458">
          <cell r="B458" t="str">
            <v>708</v>
          </cell>
        </row>
        <row r="459">
          <cell r="B459" t="str">
            <v>710</v>
          </cell>
        </row>
        <row r="460">
          <cell r="B460" t="str">
            <v>711</v>
          </cell>
        </row>
        <row r="461">
          <cell r="B461" t="str">
            <v>713</v>
          </cell>
        </row>
        <row r="462">
          <cell r="B462" t="str">
            <v>717</v>
          </cell>
        </row>
        <row r="463">
          <cell r="B463" t="str">
            <v>718</v>
          </cell>
        </row>
        <row r="464">
          <cell r="B464" t="str">
            <v>720</v>
          </cell>
        </row>
        <row r="465">
          <cell r="B465" t="str">
            <v>723</v>
          </cell>
        </row>
        <row r="466">
          <cell r="B466" t="str">
            <v>736</v>
          </cell>
        </row>
        <row r="467">
          <cell r="B467" t="str">
            <v>740</v>
          </cell>
        </row>
        <row r="468">
          <cell r="B468" t="str">
            <v>742</v>
          </cell>
        </row>
        <row r="469">
          <cell r="B469" t="str">
            <v>743</v>
          </cell>
        </row>
        <row r="470">
          <cell r="B470" t="str">
            <v>744</v>
          </cell>
        </row>
        <row r="471">
          <cell r="B471" t="str">
            <v>745</v>
          </cell>
        </row>
        <row r="472">
          <cell r="B472" t="str">
            <v>749</v>
          </cell>
        </row>
        <row r="473">
          <cell r="B473" t="str">
            <v>750</v>
          </cell>
        </row>
        <row r="474">
          <cell r="B474" t="str">
            <v>753</v>
          </cell>
        </row>
        <row r="475">
          <cell r="B475" t="str">
            <v>754</v>
          </cell>
        </row>
        <row r="476">
          <cell r="B476" t="str">
            <v>755</v>
          </cell>
        </row>
        <row r="477">
          <cell r="B477" t="str">
            <v>756</v>
          </cell>
        </row>
        <row r="478">
          <cell r="B478" t="str">
            <v>757</v>
          </cell>
        </row>
        <row r="479">
          <cell r="B479" t="str">
            <v>758</v>
          </cell>
        </row>
        <row r="480">
          <cell r="B480" t="str">
            <v>759</v>
          </cell>
        </row>
        <row r="481">
          <cell r="B481" t="str">
            <v>760</v>
          </cell>
        </row>
        <row r="482">
          <cell r="B482" t="str">
            <v>761</v>
          </cell>
        </row>
        <row r="483">
          <cell r="B483" t="str">
            <v>762</v>
          </cell>
        </row>
        <row r="484">
          <cell r="B484" t="str">
            <v>763</v>
          </cell>
        </row>
        <row r="485">
          <cell r="B485" t="str">
            <v>764</v>
          </cell>
        </row>
        <row r="486">
          <cell r="B486" t="str">
            <v>769</v>
          </cell>
        </row>
        <row r="487">
          <cell r="B487" t="str">
            <v>770</v>
          </cell>
        </row>
        <row r="488">
          <cell r="B488" t="str">
            <v>771</v>
          </cell>
        </row>
        <row r="489">
          <cell r="B489" t="str">
            <v>772</v>
          </cell>
        </row>
        <row r="490">
          <cell r="B490" t="str">
            <v>773</v>
          </cell>
        </row>
        <row r="491">
          <cell r="B491" t="str">
            <v>774</v>
          </cell>
        </row>
        <row r="492">
          <cell r="B492" t="str">
            <v>776</v>
          </cell>
        </row>
        <row r="493">
          <cell r="B493" t="str">
            <v>777</v>
          </cell>
        </row>
        <row r="494">
          <cell r="B494" t="str">
            <v>778</v>
          </cell>
        </row>
        <row r="495">
          <cell r="B495" t="str">
            <v>779</v>
          </cell>
        </row>
        <row r="496">
          <cell r="B496" t="str">
            <v>780</v>
          </cell>
        </row>
        <row r="497">
          <cell r="B497" t="str">
            <v>781</v>
          </cell>
        </row>
        <row r="498">
          <cell r="B498" t="str">
            <v>785</v>
          </cell>
        </row>
        <row r="499">
          <cell r="B499" t="str">
            <v>786</v>
          </cell>
        </row>
        <row r="500">
          <cell r="B500" t="str">
            <v>787</v>
          </cell>
        </row>
        <row r="501">
          <cell r="B501" t="str">
            <v>788</v>
          </cell>
        </row>
        <row r="502">
          <cell r="B502" t="str">
            <v>789</v>
          </cell>
        </row>
        <row r="503">
          <cell r="B503" t="str">
            <v>790</v>
          </cell>
        </row>
        <row r="504">
          <cell r="B504" t="str">
            <v>791</v>
          </cell>
        </row>
        <row r="505">
          <cell r="B505" t="str">
            <v>792</v>
          </cell>
        </row>
        <row r="506">
          <cell r="B506" t="str">
            <v>793</v>
          </cell>
        </row>
        <row r="507">
          <cell r="B507" t="str">
            <v>794</v>
          </cell>
        </row>
        <row r="508">
          <cell r="B508" t="str">
            <v>797</v>
          </cell>
        </row>
        <row r="509">
          <cell r="B509" t="str">
            <v>798</v>
          </cell>
        </row>
        <row r="510">
          <cell r="B510" t="str">
            <v>799</v>
          </cell>
        </row>
        <row r="511">
          <cell r="B511" t="str">
            <v>800</v>
          </cell>
        </row>
        <row r="512">
          <cell r="B512" t="str">
            <v>801</v>
          </cell>
        </row>
        <row r="513">
          <cell r="B513" t="str">
            <v>804</v>
          </cell>
        </row>
        <row r="514">
          <cell r="B514" t="str">
            <v>805</v>
          </cell>
        </row>
        <row r="515">
          <cell r="B515" t="str">
            <v>806</v>
          </cell>
        </row>
        <row r="516">
          <cell r="B516" t="str">
            <v>807</v>
          </cell>
        </row>
        <row r="517">
          <cell r="B517" t="str">
            <v>808</v>
          </cell>
        </row>
        <row r="518">
          <cell r="B518" t="str">
            <v>809</v>
          </cell>
        </row>
        <row r="519">
          <cell r="B519" t="str">
            <v>810</v>
          </cell>
        </row>
        <row r="520">
          <cell r="B520" t="str">
            <v>814</v>
          </cell>
        </row>
        <row r="521">
          <cell r="B521" t="str">
            <v>815</v>
          </cell>
        </row>
        <row r="522">
          <cell r="B522" t="str">
            <v>816</v>
          </cell>
        </row>
        <row r="523">
          <cell r="B523" t="str">
            <v>817</v>
          </cell>
        </row>
        <row r="524">
          <cell r="B524" t="str">
            <v>819</v>
          </cell>
        </row>
        <row r="525">
          <cell r="B525" t="str">
            <v>820</v>
          </cell>
        </row>
        <row r="526">
          <cell r="B526" t="str">
            <v>821</v>
          </cell>
        </row>
        <row r="527">
          <cell r="B527" t="str">
            <v>822</v>
          </cell>
        </row>
        <row r="528">
          <cell r="B528" t="str">
            <v>823</v>
          </cell>
        </row>
        <row r="529">
          <cell r="B529" t="str">
            <v>824</v>
          </cell>
        </row>
        <row r="530">
          <cell r="B530" t="str">
            <v>828</v>
          </cell>
        </row>
        <row r="531">
          <cell r="B531" t="str">
            <v>832</v>
          </cell>
        </row>
        <row r="532">
          <cell r="B532" t="str">
            <v>834</v>
          </cell>
        </row>
        <row r="533">
          <cell r="B533" t="str">
            <v>835</v>
          </cell>
        </row>
        <row r="534">
          <cell r="B534" t="str">
            <v>836</v>
          </cell>
        </row>
        <row r="535">
          <cell r="B535" t="str">
            <v>837</v>
          </cell>
        </row>
        <row r="536">
          <cell r="B536" t="str">
            <v>838</v>
          </cell>
        </row>
        <row r="537">
          <cell r="B537" t="str">
            <v>839</v>
          </cell>
        </row>
        <row r="538">
          <cell r="B538" t="str">
            <v>841</v>
          </cell>
        </row>
        <row r="539">
          <cell r="B539" t="str">
            <v>842</v>
          </cell>
        </row>
        <row r="540">
          <cell r="B540" t="str">
            <v>843</v>
          </cell>
        </row>
        <row r="541">
          <cell r="B541" t="str">
            <v>845</v>
          </cell>
        </row>
        <row r="542">
          <cell r="B542" t="str">
            <v>847</v>
          </cell>
        </row>
        <row r="543">
          <cell r="B543" t="str">
            <v>849</v>
          </cell>
        </row>
        <row r="544">
          <cell r="B544" t="str">
            <v>851</v>
          </cell>
        </row>
        <row r="545">
          <cell r="B545" t="str">
            <v>854</v>
          </cell>
        </row>
        <row r="546">
          <cell r="B546" t="str">
            <v>855</v>
          </cell>
        </row>
        <row r="547">
          <cell r="B547" t="str">
            <v>856</v>
          </cell>
        </row>
        <row r="548">
          <cell r="B548" t="str">
            <v>858</v>
          </cell>
        </row>
        <row r="549">
          <cell r="B549" t="str">
            <v>860</v>
          </cell>
        </row>
        <row r="550">
          <cell r="B550" t="str">
            <v>861</v>
          </cell>
        </row>
        <row r="551">
          <cell r="B551" t="str">
            <v>862</v>
          </cell>
        </row>
        <row r="552">
          <cell r="B552" t="str">
            <v>863</v>
          </cell>
        </row>
        <row r="553">
          <cell r="B553" t="str">
            <v>865</v>
          </cell>
        </row>
        <row r="554">
          <cell r="B554" t="str">
            <v>867</v>
          </cell>
        </row>
        <row r="555">
          <cell r="B555" t="str">
            <v>869</v>
          </cell>
        </row>
        <row r="556">
          <cell r="B556" t="str">
            <v>870</v>
          </cell>
        </row>
        <row r="557">
          <cell r="B557" t="str">
            <v>871</v>
          </cell>
        </row>
        <row r="558">
          <cell r="B558" t="str">
            <v>872</v>
          </cell>
        </row>
        <row r="559">
          <cell r="B559" t="str">
            <v>873</v>
          </cell>
        </row>
        <row r="560">
          <cell r="B560" t="str">
            <v>874</v>
          </cell>
        </row>
        <row r="561">
          <cell r="B561" t="str">
            <v>875</v>
          </cell>
        </row>
        <row r="562">
          <cell r="B562" t="str">
            <v>877</v>
          </cell>
        </row>
        <row r="563">
          <cell r="B563" t="str">
            <v>878</v>
          </cell>
        </row>
        <row r="564">
          <cell r="B564" t="str">
            <v>879</v>
          </cell>
        </row>
        <row r="565">
          <cell r="B565" t="str">
            <v>883</v>
          </cell>
        </row>
        <row r="566">
          <cell r="B566" t="str">
            <v>884</v>
          </cell>
        </row>
        <row r="567">
          <cell r="B567" t="str">
            <v>885</v>
          </cell>
        </row>
        <row r="568">
          <cell r="B568" t="str">
            <v>886</v>
          </cell>
        </row>
        <row r="569">
          <cell r="B569" t="str">
            <v>887</v>
          </cell>
        </row>
        <row r="570">
          <cell r="B570" t="str">
            <v>888</v>
          </cell>
        </row>
        <row r="571">
          <cell r="B571" t="str">
            <v>889</v>
          </cell>
        </row>
        <row r="572">
          <cell r="B572" t="str">
            <v>890</v>
          </cell>
        </row>
        <row r="573">
          <cell r="B573" t="str">
            <v>892</v>
          </cell>
        </row>
        <row r="574">
          <cell r="B574" t="str">
            <v>893</v>
          </cell>
        </row>
        <row r="575">
          <cell r="B575" t="str">
            <v>894</v>
          </cell>
        </row>
        <row r="576">
          <cell r="B576" t="str">
            <v>895</v>
          </cell>
        </row>
        <row r="577">
          <cell r="B577" t="str">
            <v>897</v>
          </cell>
        </row>
        <row r="578">
          <cell r="B578" t="str">
            <v>898</v>
          </cell>
        </row>
        <row r="579">
          <cell r="B579" t="str">
            <v>899</v>
          </cell>
        </row>
        <row r="580">
          <cell r="B580" t="str">
            <v>960</v>
          </cell>
        </row>
        <row r="581">
          <cell r="B581" t="str">
            <v>980</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datos formato 1002"/>
      <sheetName val="dane"/>
    </sheetNames>
    <sheetDataSet>
      <sheetData sheetId="0" refreshError="1"/>
      <sheetData sheetId="1">
        <row r="1">
          <cell r="A1" t="str">
            <v>05</v>
          </cell>
          <cell r="B1" t="str">
            <v>001</v>
          </cell>
        </row>
        <row r="2">
          <cell r="A2" t="str">
            <v>08</v>
          </cell>
          <cell r="B2" t="str">
            <v>002</v>
          </cell>
        </row>
        <row r="3">
          <cell r="A3" t="str">
            <v>11</v>
          </cell>
          <cell r="B3" t="str">
            <v>003</v>
          </cell>
        </row>
        <row r="4">
          <cell r="A4" t="str">
            <v>13</v>
          </cell>
          <cell r="B4" t="str">
            <v>004</v>
          </cell>
        </row>
        <row r="5">
          <cell r="A5" t="str">
            <v>15</v>
          </cell>
          <cell r="B5" t="str">
            <v>006</v>
          </cell>
        </row>
        <row r="6">
          <cell r="A6" t="str">
            <v>17</v>
          </cell>
          <cell r="B6" t="str">
            <v>010</v>
          </cell>
        </row>
        <row r="7">
          <cell r="A7" t="str">
            <v>18</v>
          </cell>
          <cell r="B7" t="str">
            <v>011</v>
          </cell>
        </row>
        <row r="8">
          <cell r="A8" t="str">
            <v>19</v>
          </cell>
          <cell r="B8" t="str">
            <v>013</v>
          </cell>
        </row>
        <row r="9">
          <cell r="A9" t="str">
            <v>20</v>
          </cell>
          <cell r="B9" t="str">
            <v>015</v>
          </cell>
        </row>
        <row r="10">
          <cell r="A10" t="str">
            <v>23</v>
          </cell>
          <cell r="B10" t="str">
            <v>016</v>
          </cell>
        </row>
        <row r="11">
          <cell r="A11" t="str">
            <v>25</v>
          </cell>
          <cell r="B11" t="str">
            <v>019</v>
          </cell>
        </row>
        <row r="12">
          <cell r="A12" t="str">
            <v>27</v>
          </cell>
          <cell r="B12" t="str">
            <v>020</v>
          </cell>
        </row>
        <row r="13">
          <cell r="A13" t="str">
            <v>41</v>
          </cell>
          <cell r="B13" t="str">
            <v>021</v>
          </cell>
        </row>
        <row r="14">
          <cell r="A14" t="str">
            <v>44</v>
          </cell>
          <cell r="B14" t="str">
            <v>022</v>
          </cell>
        </row>
        <row r="15">
          <cell r="A15" t="str">
            <v>47</v>
          </cell>
          <cell r="B15" t="str">
            <v>024</v>
          </cell>
        </row>
        <row r="16">
          <cell r="A16" t="str">
            <v>50</v>
          </cell>
          <cell r="B16" t="str">
            <v>025</v>
          </cell>
        </row>
        <row r="17">
          <cell r="A17" t="str">
            <v>52</v>
          </cell>
          <cell r="B17" t="str">
            <v>026</v>
          </cell>
        </row>
        <row r="18">
          <cell r="A18" t="str">
            <v>54</v>
          </cell>
          <cell r="B18" t="str">
            <v>029</v>
          </cell>
        </row>
        <row r="19">
          <cell r="A19" t="str">
            <v>63</v>
          </cell>
          <cell r="B19" t="str">
            <v>030</v>
          </cell>
        </row>
        <row r="20">
          <cell r="A20" t="str">
            <v>66</v>
          </cell>
          <cell r="B20" t="str">
            <v>031</v>
          </cell>
        </row>
        <row r="21">
          <cell r="A21" t="str">
            <v>68</v>
          </cell>
          <cell r="B21" t="str">
            <v>032</v>
          </cell>
        </row>
        <row r="22">
          <cell r="A22" t="str">
            <v>70</v>
          </cell>
          <cell r="B22" t="str">
            <v>034</v>
          </cell>
        </row>
        <row r="23">
          <cell r="A23" t="str">
            <v>73</v>
          </cell>
          <cell r="B23" t="str">
            <v>035</v>
          </cell>
        </row>
        <row r="24">
          <cell r="A24" t="str">
            <v>76</v>
          </cell>
          <cell r="B24" t="str">
            <v>036</v>
          </cell>
        </row>
        <row r="25">
          <cell r="A25" t="str">
            <v>81</v>
          </cell>
          <cell r="B25" t="str">
            <v>038</v>
          </cell>
        </row>
        <row r="26">
          <cell r="A26" t="str">
            <v>85</v>
          </cell>
          <cell r="B26" t="str">
            <v>040</v>
          </cell>
        </row>
        <row r="27">
          <cell r="A27" t="str">
            <v>86</v>
          </cell>
          <cell r="B27" t="str">
            <v>041</v>
          </cell>
        </row>
        <row r="28">
          <cell r="A28" t="str">
            <v>88</v>
          </cell>
          <cell r="B28" t="str">
            <v>042</v>
          </cell>
        </row>
        <row r="29">
          <cell r="A29" t="str">
            <v>91</v>
          </cell>
          <cell r="B29" t="str">
            <v>043</v>
          </cell>
        </row>
        <row r="30">
          <cell r="A30" t="str">
            <v>94</v>
          </cell>
          <cell r="B30" t="str">
            <v>044</v>
          </cell>
        </row>
        <row r="31">
          <cell r="A31" t="str">
            <v>95</v>
          </cell>
          <cell r="B31" t="str">
            <v>045</v>
          </cell>
        </row>
        <row r="32">
          <cell r="A32" t="str">
            <v>97</v>
          </cell>
          <cell r="B32" t="str">
            <v>047</v>
          </cell>
        </row>
        <row r="33">
          <cell r="A33" t="str">
            <v>99</v>
          </cell>
          <cell r="B33" t="str">
            <v>050</v>
          </cell>
        </row>
        <row r="34">
          <cell r="B34" t="str">
            <v>051</v>
          </cell>
        </row>
        <row r="35">
          <cell r="B35" t="str">
            <v>052</v>
          </cell>
        </row>
        <row r="36">
          <cell r="B36" t="str">
            <v>053</v>
          </cell>
        </row>
        <row r="37">
          <cell r="B37" t="str">
            <v>054</v>
          </cell>
        </row>
        <row r="38">
          <cell r="B38" t="str">
            <v>055</v>
          </cell>
        </row>
        <row r="39">
          <cell r="B39" t="str">
            <v>058</v>
          </cell>
        </row>
        <row r="40">
          <cell r="B40" t="str">
            <v>059</v>
          </cell>
        </row>
        <row r="41">
          <cell r="B41" t="str">
            <v>060</v>
          </cell>
        </row>
        <row r="42">
          <cell r="B42" t="str">
            <v>062</v>
          </cell>
        </row>
        <row r="43">
          <cell r="B43" t="str">
            <v>065</v>
          </cell>
        </row>
        <row r="44">
          <cell r="B44" t="str">
            <v>067</v>
          </cell>
        </row>
        <row r="45">
          <cell r="B45" t="str">
            <v>068</v>
          </cell>
        </row>
        <row r="46">
          <cell r="B46" t="str">
            <v>073</v>
          </cell>
        </row>
        <row r="47">
          <cell r="B47" t="str">
            <v>074</v>
          </cell>
        </row>
        <row r="48">
          <cell r="B48" t="str">
            <v>075</v>
          </cell>
        </row>
        <row r="49">
          <cell r="B49" t="str">
            <v>077</v>
          </cell>
        </row>
        <row r="50">
          <cell r="B50" t="str">
            <v>078</v>
          </cell>
        </row>
        <row r="51">
          <cell r="B51" t="str">
            <v>079</v>
          </cell>
        </row>
        <row r="52">
          <cell r="B52" t="str">
            <v>081</v>
          </cell>
        </row>
        <row r="53">
          <cell r="B53" t="str">
            <v>083</v>
          </cell>
        </row>
        <row r="54">
          <cell r="B54" t="str">
            <v>086</v>
          </cell>
        </row>
        <row r="55">
          <cell r="B55" t="str">
            <v>087</v>
          </cell>
        </row>
        <row r="56">
          <cell r="B56" t="str">
            <v>088</v>
          </cell>
        </row>
        <row r="57">
          <cell r="B57" t="str">
            <v>090</v>
          </cell>
        </row>
        <row r="58">
          <cell r="B58" t="str">
            <v>091</v>
          </cell>
        </row>
        <row r="59">
          <cell r="B59" t="str">
            <v>092</v>
          </cell>
        </row>
        <row r="60">
          <cell r="B60" t="str">
            <v>093</v>
          </cell>
        </row>
        <row r="61">
          <cell r="B61" t="str">
            <v>094</v>
          </cell>
        </row>
        <row r="62">
          <cell r="B62" t="str">
            <v>095</v>
          </cell>
        </row>
        <row r="63">
          <cell r="B63" t="str">
            <v>097</v>
          </cell>
        </row>
        <row r="64">
          <cell r="B64" t="str">
            <v>098</v>
          </cell>
        </row>
        <row r="65">
          <cell r="B65" t="str">
            <v>099</v>
          </cell>
        </row>
        <row r="66">
          <cell r="B66" t="str">
            <v>100</v>
          </cell>
        </row>
        <row r="67">
          <cell r="B67" t="str">
            <v>101</v>
          </cell>
        </row>
        <row r="68">
          <cell r="B68" t="str">
            <v>104</v>
          </cell>
        </row>
        <row r="69">
          <cell r="B69" t="str">
            <v>106</v>
          </cell>
        </row>
        <row r="70">
          <cell r="B70" t="str">
            <v>107</v>
          </cell>
        </row>
        <row r="71">
          <cell r="B71" t="str">
            <v>109</v>
          </cell>
        </row>
        <row r="72">
          <cell r="B72" t="str">
            <v>110</v>
          </cell>
        </row>
        <row r="73">
          <cell r="B73" t="str">
            <v>111</v>
          </cell>
        </row>
        <row r="74">
          <cell r="B74" t="str">
            <v>113</v>
          </cell>
        </row>
        <row r="75">
          <cell r="B75" t="str">
            <v>114</v>
          </cell>
        </row>
        <row r="76">
          <cell r="B76" t="str">
            <v>120</v>
          </cell>
        </row>
        <row r="77">
          <cell r="B77" t="str">
            <v>121</v>
          </cell>
        </row>
        <row r="78">
          <cell r="B78" t="str">
            <v>122</v>
          </cell>
        </row>
        <row r="79">
          <cell r="B79" t="str">
            <v>123</v>
          </cell>
        </row>
        <row r="80">
          <cell r="B80" t="str">
            <v>124</v>
          </cell>
        </row>
        <row r="81">
          <cell r="B81" t="str">
            <v>125</v>
          </cell>
        </row>
        <row r="82">
          <cell r="B82" t="str">
            <v>126</v>
          </cell>
        </row>
        <row r="83">
          <cell r="B83" t="str">
            <v>128</v>
          </cell>
        </row>
        <row r="84">
          <cell r="B84" t="str">
            <v>129</v>
          </cell>
        </row>
        <row r="85">
          <cell r="B85" t="str">
            <v>130</v>
          </cell>
        </row>
        <row r="86">
          <cell r="B86" t="str">
            <v>131</v>
          </cell>
        </row>
        <row r="87">
          <cell r="B87" t="str">
            <v>132</v>
          </cell>
        </row>
        <row r="88">
          <cell r="B88" t="str">
            <v>134</v>
          </cell>
        </row>
        <row r="89">
          <cell r="B89" t="str">
            <v>135</v>
          </cell>
        </row>
        <row r="90">
          <cell r="B90" t="str">
            <v>136</v>
          </cell>
        </row>
        <row r="91">
          <cell r="B91" t="str">
            <v>137</v>
          </cell>
        </row>
        <row r="92">
          <cell r="B92" t="str">
            <v>138</v>
          </cell>
        </row>
        <row r="93">
          <cell r="B93" t="str">
            <v>139</v>
          </cell>
        </row>
        <row r="94">
          <cell r="B94" t="str">
            <v>140</v>
          </cell>
        </row>
        <row r="95">
          <cell r="B95" t="str">
            <v>141</v>
          </cell>
        </row>
        <row r="96">
          <cell r="B96" t="str">
            <v>142</v>
          </cell>
        </row>
        <row r="97">
          <cell r="B97" t="str">
            <v>145</v>
          </cell>
        </row>
        <row r="98">
          <cell r="B98" t="str">
            <v>147</v>
          </cell>
        </row>
        <row r="99">
          <cell r="B99" t="str">
            <v>148</v>
          </cell>
        </row>
        <row r="100">
          <cell r="B100" t="str">
            <v>150</v>
          </cell>
        </row>
        <row r="101">
          <cell r="B101" t="str">
            <v>151</v>
          </cell>
        </row>
        <row r="102">
          <cell r="B102" t="str">
            <v>152</v>
          </cell>
        </row>
        <row r="103">
          <cell r="B103" t="str">
            <v>154</v>
          </cell>
        </row>
        <row r="104">
          <cell r="B104" t="str">
            <v>160</v>
          </cell>
        </row>
        <row r="105">
          <cell r="B105" t="str">
            <v>161</v>
          </cell>
        </row>
        <row r="106">
          <cell r="B106" t="str">
            <v>162</v>
          </cell>
        </row>
        <row r="107">
          <cell r="B107" t="str">
            <v>167</v>
          </cell>
        </row>
        <row r="108">
          <cell r="B108" t="str">
            <v>168</v>
          </cell>
        </row>
        <row r="109">
          <cell r="B109" t="str">
            <v>169</v>
          </cell>
        </row>
        <row r="110">
          <cell r="B110" t="str">
            <v>170</v>
          </cell>
        </row>
        <row r="111">
          <cell r="B111" t="str">
            <v>172</v>
          </cell>
        </row>
        <row r="112">
          <cell r="B112" t="str">
            <v>174</v>
          </cell>
        </row>
        <row r="113">
          <cell r="B113" t="str">
            <v>175</v>
          </cell>
        </row>
        <row r="114">
          <cell r="B114" t="str">
            <v>176</v>
          </cell>
        </row>
        <row r="115">
          <cell r="B115" t="str">
            <v>178</v>
          </cell>
        </row>
        <row r="116">
          <cell r="B116" t="str">
            <v>179</v>
          </cell>
        </row>
        <row r="117">
          <cell r="B117" t="str">
            <v>180</v>
          </cell>
        </row>
        <row r="118">
          <cell r="B118" t="str">
            <v>181</v>
          </cell>
        </row>
        <row r="119">
          <cell r="B119" t="str">
            <v>182</v>
          </cell>
        </row>
        <row r="120">
          <cell r="B120" t="str">
            <v>183</v>
          </cell>
        </row>
        <row r="121">
          <cell r="B121" t="str">
            <v>185</v>
          </cell>
        </row>
        <row r="122">
          <cell r="B122" t="str">
            <v>187</v>
          </cell>
        </row>
        <row r="123">
          <cell r="B123" t="str">
            <v>188</v>
          </cell>
        </row>
        <row r="124">
          <cell r="B124" t="str">
            <v>189</v>
          </cell>
        </row>
        <row r="125">
          <cell r="B125" t="str">
            <v>190</v>
          </cell>
        </row>
        <row r="126">
          <cell r="B126" t="str">
            <v>197</v>
          </cell>
        </row>
        <row r="127">
          <cell r="B127" t="str">
            <v>200</v>
          </cell>
        </row>
        <row r="128">
          <cell r="B128" t="str">
            <v>203</v>
          </cell>
        </row>
        <row r="129">
          <cell r="B129" t="str">
            <v>204</v>
          </cell>
        </row>
        <row r="130">
          <cell r="B130" t="str">
            <v>205</v>
          </cell>
        </row>
        <row r="131">
          <cell r="B131" t="str">
            <v>206</v>
          </cell>
        </row>
        <row r="132">
          <cell r="B132" t="str">
            <v>207</v>
          </cell>
        </row>
        <row r="133">
          <cell r="B133" t="str">
            <v>209</v>
          </cell>
        </row>
        <row r="134">
          <cell r="B134" t="str">
            <v>210</v>
          </cell>
        </row>
        <row r="135">
          <cell r="B135" t="str">
            <v>211</v>
          </cell>
        </row>
        <row r="136">
          <cell r="B136" t="str">
            <v>212</v>
          </cell>
        </row>
        <row r="137">
          <cell r="B137" t="str">
            <v>214</v>
          </cell>
        </row>
        <row r="138">
          <cell r="B138" t="str">
            <v>215</v>
          </cell>
        </row>
        <row r="139">
          <cell r="B139" t="str">
            <v>217</v>
          </cell>
        </row>
        <row r="140">
          <cell r="B140" t="str">
            <v>218</v>
          </cell>
        </row>
        <row r="141">
          <cell r="B141" t="str">
            <v>219</v>
          </cell>
        </row>
        <row r="142">
          <cell r="B142" t="str">
            <v>220</v>
          </cell>
        </row>
        <row r="143">
          <cell r="B143" t="str">
            <v>221</v>
          </cell>
        </row>
        <row r="144">
          <cell r="B144" t="str">
            <v>222</v>
          </cell>
        </row>
        <row r="145">
          <cell r="B145" t="str">
            <v>223</v>
          </cell>
        </row>
        <row r="146">
          <cell r="B146" t="str">
            <v>224</v>
          </cell>
        </row>
        <row r="147">
          <cell r="B147" t="str">
            <v>225</v>
          </cell>
        </row>
        <row r="148">
          <cell r="B148" t="str">
            <v>226</v>
          </cell>
        </row>
        <row r="149">
          <cell r="B149" t="str">
            <v>227</v>
          </cell>
        </row>
        <row r="150">
          <cell r="B150" t="str">
            <v>228</v>
          </cell>
        </row>
        <row r="151">
          <cell r="B151" t="str">
            <v>229</v>
          </cell>
        </row>
        <row r="152">
          <cell r="B152" t="str">
            <v>230</v>
          </cell>
        </row>
        <row r="153">
          <cell r="B153" t="str">
            <v>232</v>
          </cell>
        </row>
        <row r="154">
          <cell r="B154" t="str">
            <v>233</v>
          </cell>
        </row>
        <row r="155">
          <cell r="B155" t="str">
            <v>234</v>
          </cell>
        </row>
        <row r="156">
          <cell r="B156" t="str">
            <v>235</v>
          </cell>
        </row>
        <row r="157">
          <cell r="B157" t="str">
            <v>236</v>
          </cell>
        </row>
        <row r="158">
          <cell r="B158" t="str">
            <v>237</v>
          </cell>
        </row>
        <row r="159">
          <cell r="B159" t="str">
            <v>238</v>
          </cell>
        </row>
        <row r="160">
          <cell r="B160" t="str">
            <v>239</v>
          </cell>
        </row>
        <row r="161">
          <cell r="B161" t="str">
            <v>240</v>
          </cell>
        </row>
        <row r="162">
          <cell r="B162" t="str">
            <v>243</v>
          </cell>
        </row>
        <row r="163">
          <cell r="B163" t="str">
            <v>244</v>
          </cell>
        </row>
        <row r="164">
          <cell r="B164" t="str">
            <v>245</v>
          </cell>
        </row>
        <row r="165">
          <cell r="B165" t="str">
            <v>246</v>
          </cell>
        </row>
        <row r="166">
          <cell r="B166" t="str">
            <v>247</v>
          </cell>
        </row>
        <row r="167">
          <cell r="B167" t="str">
            <v>248</v>
          </cell>
        </row>
        <row r="168">
          <cell r="B168" t="str">
            <v>250</v>
          </cell>
        </row>
        <row r="169">
          <cell r="B169" t="str">
            <v>251</v>
          </cell>
        </row>
        <row r="170">
          <cell r="B170" t="str">
            <v>254</v>
          </cell>
        </row>
        <row r="171">
          <cell r="B171" t="str">
            <v>255</v>
          </cell>
        </row>
        <row r="172">
          <cell r="B172" t="str">
            <v>256</v>
          </cell>
        </row>
        <row r="173">
          <cell r="B173" t="str">
            <v>258</v>
          </cell>
        </row>
        <row r="174">
          <cell r="B174" t="str">
            <v>260</v>
          </cell>
        </row>
        <row r="175">
          <cell r="B175" t="str">
            <v>261</v>
          </cell>
        </row>
        <row r="176">
          <cell r="B176" t="str">
            <v>263</v>
          </cell>
        </row>
        <row r="177">
          <cell r="B177" t="str">
            <v>264</v>
          </cell>
        </row>
        <row r="178">
          <cell r="B178" t="str">
            <v>265</v>
          </cell>
        </row>
        <row r="179">
          <cell r="B179" t="str">
            <v>266</v>
          </cell>
        </row>
        <row r="180">
          <cell r="B180" t="str">
            <v>268</v>
          </cell>
        </row>
        <row r="181">
          <cell r="B181" t="str">
            <v>269</v>
          </cell>
        </row>
        <row r="182">
          <cell r="B182" t="str">
            <v>270</v>
          </cell>
        </row>
        <row r="183">
          <cell r="B183" t="str">
            <v>271</v>
          </cell>
        </row>
        <row r="184">
          <cell r="B184" t="str">
            <v>272</v>
          </cell>
        </row>
        <row r="185">
          <cell r="B185" t="str">
            <v>275</v>
          </cell>
        </row>
        <row r="186">
          <cell r="B186" t="str">
            <v>276</v>
          </cell>
        </row>
        <row r="187">
          <cell r="B187" t="str">
            <v>279</v>
          </cell>
        </row>
        <row r="188">
          <cell r="B188" t="str">
            <v>281</v>
          </cell>
        </row>
        <row r="189">
          <cell r="B189" t="str">
            <v>282</v>
          </cell>
        </row>
        <row r="190">
          <cell r="B190" t="str">
            <v>283</v>
          </cell>
        </row>
        <row r="191">
          <cell r="B191" t="str">
            <v>284</v>
          </cell>
        </row>
        <row r="192">
          <cell r="B192" t="str">
            <v>286</v>
          </cell>
        </row>
        <row r="193">
          <cell r="B193" t="str">
            <v>287</v>
          </cell>
        </row>
        <row r="194">
          <cell r="B194" t="str">
            <v>288</v>
          </cell>
        </row>
        <row r="195">
          <cell r="B195" t="str">
            <v>290</v>
          </cell>
        </row>
        <row r="196">
          <cell r="B196" t="str">
            <v>293</v>
          </cell>
        </row>
        <row r="197">
          <cell r="B197" t="str">
            <v>295</v>
          </cell>
        </row>
        <row r="198">
          <cell r="B198" t="str">
            <v>296</v>
          </cell>
        </row>
        <row r="199">
          <cell r="B199" t="str">
            <v>297</v>
          </cell>
        </row>
        <row r="200">
          <cell r="B200" t="str">
            <v>298</v>
          </cell>
        </row>
        <row r="201">
          <cell r="B201" t="str">
            <v>299</v>
          </cell>
        </row>
        <row r="202">
          <cell r="B202" t="str">
            <v>300</v>
          </cell>
        </row>
        <row r="203">
          <cell r="B203" t="str">
            <v>302</v>
          </cell>
        </row>
        <row r="204">
          <cell r="B204" t="str">
            <v>306</v>
          </cell>
        </row>
        <row r="205">
          <cell r="B205" t="str">
            <v>307</v>
          </cell>
        </row>
        <row r="206">
          <cell r="B206" t="str">
            <v>308</v>
          </cell>
        </row>
        <row r="207">
          <cell r="B207" t="str">
            <v>310</v>
          </cell>
        </row>
        <row r="208">
          <cell r="B208" t="str">
            <v>312</v>
          </cell>
        </row>
        <row r="209">
          <cell r="B209" t="str">
            <v>313</v>
          </cell>
        </row>
        <row r="210">
          <cell r="B210" t="str">
            <v>315</v>
          </cell>
        </row>
        <row r="211">
          <cell r="B211" t="str">
            <v>317</v>
          </cell>
        </row>
        <row r="212">
          <cell r="B212" t="str">
            <v>318</v>
          </cell>
        </row>
        <row r="213">
          <cell r="B213" t="str">
            <v>319</v>
          </cell>
        </row>
        <row r="214">
          <cell r="B214" t="str">
            <v>320</v>
          </cell>
        </row>
        <row r="215">
          <cell r="B215" t="str">
            <v>321</v>
          </cell>
        </row>
        <row r="216">
          <cell r="B216" t="str">
            <v>322</v>
          </cell>
        </row>
        <row r="217">
          <cell r="B217" t="str">
            <v>323</v>
          </cell>
        </row>
        <row r="218">
          <cell r="B218" t="str">
            <v>324</v>
          </cell>
        </row>
        <row r="219">
          <cell r="B219" t="str">
            <v>325</v>
          </cell>
        </row>
        <row r="220">
          <cell r="B220" t="str">
            <v>326</v>
          </cell>
        </row>
        <row r="221">
          <cell r="B221" t="str">
            <v>327</v>
          </cell>
        </row>
        <row r="222">
          <cell r="B222" t="str">
            <v>328</v>
          </cell>
        </row>
        <row r="223">
          <cell r="B223" t="str">
            <v>330</v>
          </cell>
        </row>
        <row r="224">
          <cell r="B224" t="str">
            <v>332</v>
          </cell>
        </row>
        <row r="225">
          <cell r="B225" t="str">
            <v>335</v>
          </cell>
        </row>
        <row r="226">
          <cell r="B226" t="str">
            <v>339</v>
          </cell>
        </row>
        <row r="227">
          <cell r="B227" t="str">
            <v>343</v>
          </cell>
        </row>
        <row r="228">
          <cell r="B228" t="str">
            <v>344</v>
          </cell>
        </row>
        <row r="229">
          <cell r="B229" t="str">
            <v>347</v>
          </cell>
        </row>
        <row r="230">
          <cell r="B230" t="str">
            <v>349</v>
          </cell>
        </row>
        <row r="231">
          <cell r="B231" t="str">
            <v>350</v>
          </cell>
        </row>
        <row r="232">
          <cell r="B232" t="str">
            <v>352</v>
          </cell>
        </row>
        <row r="233">
          <cell r="B233" t="str">
            <v>353</v>
          </cell>
        </row>
        <row r="234">
          <cell r="B234" t="str">
            <v>354</v>
          </cell>
        </row>
        <row r="235">
          <cell r="B235" t="str">
            <v>355</v>
          </cell>
        </row>
        <row r="236">
          <cell r="B236" t="str">
            <v>356</v>
          </cell>
        </row>
        <row r="237">
          <cell r="B237" t="str">
            <v>357</v>
          </cell>
        </row>
        <row r="238">
          <cell r="B238" t="str">
            <v>359</v>
          </cell>
        </row>
        <row r="239">
          <cell r="B239" t="str">
            <v>360</v>
          </cell>
        </row>
        <row r="240">
          <cell r="B240" t="str">
            <v>361</v>
          </cell>
        </row>
        <row r="241">
          <cell r="B241" t="str">
            <v>362</v>
          </cell>
        </row>
        <row r="242">
          <cell r="B242" t="str">
            <v>364</v>
          </cell>
        </row>
        <row r="243">
          <cell r="B243" t="str">
            <v>367</v>
          </cell>
        </row>
        <row r="244">
          <cell r="B244" t="str">
            <v>368</v>
          </cell>
        </row>
        <row r="245">
          <cell r="B245" t="str">
            <v>370</v>
          </cell>
        </row>
        <row r="246">
          <cell r="B246" t="str">
            <v>372</v>
          </cell>
        </row>
        <row r="247">
          <cell r="B247" t="str">
            <v>376</v>
          </cell>
        </row>
        <row r="248">
          <cell r="B248" t="str">
            <v>377</v>
          </cell>
        </row>
        <row r="249">
          <cell r="B249" t="str">
            <v>378</v>
          </cell>
        </row>
        <row r="250">
          <cell r="B250" t="str">
            <v>380</v>
          </cell>
        </row>
        <row r="251">
          <cell r="B251" t="str">
            <v>381</v>
          </cell>
        </row>
        <row r="252">
          <cell r="B252" t="str">
            <v>383</v>
          </cell>
        </row>
        <row r="253">
          <cell r="B253" t="str">
            <v>385</v>
          </cell>
        </row>
        <row r="254">
          <cell r="B254" t="str">
            <v>386</v>
          </cell>
        </row>
        <row r="255">
          <cell r="B255" t="str">
            <v>388</v>
          </cell>
        </row>
        <row r="256">
          <cell r="B256" t="str">
            <v>390</v>
          </cell>
        </row>
        <row r="257">
          <cell r="B257" t="str">
            <v>392</v>
          </cell>
        </row>
        <row r="258">
          <cell r="B258" t="str">
            <v>394</v>
          </cell>
        </row>
        <row r="259">
          <cell r="B259" t="str">
            <v>396</v>
          </cell>
        </row>
        <row r="260">
          <cell r="B260" t="str">
            <v>397</v>
          </cell>
        </row>
        <row r="261">
          <cell r="B261" t="str">
            <v>398</v>
          </cell>
        </row>
        <row r="262">
          <cell r="B262" t="str">
            <v>399</v>
          </cell>
        </row>
        <row r="263">
          <cell r="B263" t="str">
            <v>400</v>
          </cell>
        </row>
        <row r="264">
          <cell r="B264" t="str">
            <v>401</v>
          </cell>
        </row>
        <row r="265">
          <cell r="B265" t="str">
            <v>402</v>
          </cell>
        </row>
        <row r="266">
          <cell r="B266" t="str">
            <v>403</v>
          </cell>
        </row>
        <row r="267">
          <cell r="B267" t="str">
            <v>405</v>
          </cell>
        </row>
        <row r="268">
          <cell r="B268" t="str">
            <v>406</v>
          </cell>
        </row>
        <row r="269">
          <cell r="B269" t="str">
            <v>407</v>
          </cell>
        </row>
        <row r="270">
          <cell r="B270" t="str">
            <v>408</v>
          </cell>
        </row>
        <row r="271">
          <cell r="B271" t="str">
            <v>410</v>
          </cell>
        </row>
        <row r="272">
          <cell r="B272" t="str">
            <v>411</v>
          </cell>
        </row>
        <row r="273">
          <cell r="B273" t="str">
            <v>413</v>
          </cell>
        </row>
        <row r="274">
          <cell r="B274" t="str">
            <v>417</v>
          </cell>
        </row>
        <row r="275">
          <cell r="B275" t="str">
            <v>418</v>
          </cell>
        </row>
        <row r="276">
          <cell r="B276" t="str">
            <v>419</v>
          </cell>
        </row>
        <row r="277">
          <cell r="B277" t="str">
            <v>420</v>
          </cell>
        </row>
        <row r="278">
          <cell r="B278" t="str">
            <v>421</v>
          </cell>
        </row>
        <row r="279">
          <cell r="B279" t="str">
            <v>425</v>
          </cell>
        </row>
        <row r="280">
          <cell r="B280" t="str">
            <v>426</v>
          </cell>
        </row>
        <row r="281">
          <cell r="B281" t="str">
            <v>427</v>
          </cell>
        </row>
        <row r="282">
          <cell r="B282" t="str">
            <v>429</v>
          </cell>
        </row>
        <row r="283">
          <cell r="B283" t="str">
            <v>430</v>
          </cell>
        </row>
        <row r="284">
          <cell r="B284" t="str">
            <v>432</v>
          </cell>
        </row>
        <row r="285">
          <cell r="B285" t="str">
            <v>433</v>
          </cell>
        </row>
        <row r="286">
          <cell r="B286" t="str">
            <v>435</v>
          </cell>
        </row>
        <row r="287">
          <cell r="B287" t="str">
            <v>436</v>
          </cell>
        </row>
        <row r="288">
          <cell r="B288" t="str">
            <v>438</v>
          </cell>
        </row>
        <row r="289">
          <cell r="B289" t="str">
            <v>440</v>
          </cell>
        </row>
        <row r="290">
          <cell r="B290" t="str">
            <v>442</v>
          </cell>
        </row>
        <row r="291">
          <cell r="B291" t="str">
            <v>443</v>
          </cell>
        </row>
        <row r="292">
          <cell r="B292" t="str">
            <v>444</v>
          </cell>
        </row>
        <row r="293">
          <cell r="B293" t="str">
            <v>446</v>
          </cell>
        </row>
        <row r="294">
          <cell r="B294" t="str">
            <v>449</v>
          </cell>
        </row>
        <row r="295">
          <cell r="B295" t="str">
            <v>450</v>
          </cell>
        </row>
        <row r="296">
          <cell r="B296" t="str">
            <v>455</v>
          </cell>
        </row>
        <row r="297">
          <cell r="B297" t="str">
            <v>456</v>
          </cell>
        </row>
        <row r="298">
          <cell r="B298" t="str">
            <v>458</v>
          </cell>
        </row>
        <row r="299">
          <cell r="B299" t="str">
            <v>460</v>
          </cell>
        </row>
        <row r="300">
          <cell r="B300" t="str">
            <v>461</v>
          </cell>
        </row>
        <row r="301">
          <cell r="B301" t="str">
            <v>464</v>
          </cell>
        </row>
        <row r="302">
          <cell r="B302" t="str">
            <v>466</v>
          </cell>
        </row>
        <row r="303">
          <cell r="B303" t="str">
            <v>467</v>
          </cell>
        </row>
        <row r="304">
          <cell r="B304" t="str">
            <v>468</v>
          </cell>
        </row>
        <row r="305">
          <cell r="B305" t="str">
            <v>469</v>
          </cell>
        </row>
        <row r="306">
          <cell r="B306" t="str">
            <v>470</v>
          </cell>
        </row>
        <row r="307">
          <cell r="B307" t="str">
            <v>473</v>
          </cell>
        </row>
        <row r="308">
          <cell r="B308" t="str">
            <v>475</v>
          </cell>
        </row>
        <row r="309">
          <cell r="B309" t="str">
            <v>476</v>
          </cell>
        </row>
        <row r="310">
          <cell r="B310" t="str">
            <v>479</v>
          </cell>
        </row>
        <row r="311">
          <cell r="B311" t="str">
            <v>480</v>
          </cell>
        </row>
        <row r="312">
          <cell r="B312" t="str">
            <v>483</v>
          </cell>
        </row>
        <row r="313">
          <cell r="B313" t="str">
            <v>486</v>
          </cell>
        </row>
        <row r="314">
          <cell r="B314" t="str">
            <v>488</v>
          </cell>
        </row>
        <row r="315">
          <cell r="B315" t="str">
            <v>489</v>
          </cell>
        </row>
        <row r="316">
          <cell r="B316" t="str">
            <v>490</v>
          </cell>
        </row>
        <row r="317">
          <cell r="B317" t="str">
            <v>491</v>
          </cell>
        </row>
        <row r="318">
          <cell r="B318" t="str">
            <v>494</v>
          </cell>
        </row>
        <row r="319">
          <cell r="B319" t="str">
            <v>495</v>
          </cell>
        </row>
        <row r="320">
          <cell r="B320" t="str">
            <v>497</v>
          </cell>
        </row>
        <row r="321">
          <cell r="B321" t="str">
            <v>498</v>
          </cell>
        </row>
        <row r="322">
          <cell r="B322" t="str">
            <v>500</v>
          </cell>
        </row>
        <row r="323">
          <cell r="B323" t="str">
            <v>501</v>
          </cell>
        </row>
        <row r="324">
          <cell r="B324" t="str">
            <v>502</v>
          </cell>
        </row>
        <row r="325">
          <cell r="B325" t="str">
            <v>503</v>
          </cell>
        </row>
        <row r="326">
          <cell r="B326" t="str">
            <v>504</v>
          </cell>
        </row>
        <row r="327">
          <cell r="B327" t="str">
            <v>506</v>
          </cell>
        </row>
        <row r="328">
          <cell r="B328" t="str">
            <v>507</v>
          </cell>
        </row>
        <row r="329">
          <cell r="B329" t="str">
            <v>508</v>
          </cell>
        </row>
        <row r="330">
          <cell r="B330" t="str">
            <v>511</v>
          </cell>
        </row>
        <row r="331">
          <cell r="B331" t="str">
            <v>513</v>
          </cell>
        </row>
        <row r="332">
          <cell r="B332" t="str">
            <v>514</v>
          </cell>
        </row>
        <row r="333">
          <cell r="B333" t="str">
            <v>516</v>
          </cell>
        </row>
        <row r="334">
          <cell r="B334" t="str">
            <v>517</v>
          </cell>
        </row>
        <row r="335">
          <cell r="B335" t="str">
            <v>518</v>
          </cell>
        </row>
        <row r="336">
          <cell r="B336" t="str">
            <v>520</v>
          </cell>
        </row>
        <row r="337">
          <cell r="B337" t="str">
            <v>522</v>
          </cell>
        </row>
        <row r="338">
          <cell r="B338" t="str">
            <v>523</v>
          </cell>
        </row>
        <row r="339">
          <cell r="B339" t="str">
            <v>524</v>
          </cell>
        </row>
        <row r="340">
          <cell r="B340" t="str">
            <v>530</v>
          </cell>
        </row>
        <row r="341">
          <cell r="B341" t="str">
            <v>531</v>
          </cell>
        </row>
        <row r="342">
          <cell r="B342" t="str">
            <v>532</v>
          </cell>
        </row>
        <row r="343">
          <cell r="B343" t="str">
            <v>533</v>
          </cell>
        </row>
        <row r="344">
          <cell r="B344" t="str">
            <v>535</v>
          </cell>
        </row>
        <row r="345">
          <cell r="B345" t="str">
            <v>536</v>
          </cell>
        </row>
        <row r="346">
          <cell r="B346" t="str">
            <v>537</v>
          </cell>
        </row>
        <row r="347">
          <cell r="B347" t="str">
            <v>540</v>
          </cell>
        </row>
        <row r="348">
          <cell r="B348" t="str">
            <v>541</v>
          </cell>
        </row>
        <row r="349">
          <cell r="B349" t="str">
            <v>542</v>
          </cell>
        </row>
        <row r="350">
          <cell r="B350" t="str">
            <v>543</v>
          </cell>
        </row>
        <row r="351">
          <cell r="B351" t="str">
            <v>545</v>
          </cell>
        </row>
        <row r="352">
          <cell r="B352" t="str">
            <v>547</v>
          </cell>
        </row>
        <row r="353">
          <cell r="B353" t="str">
            <v>548</v>
          </cell>
        </row>
        <row r="354">
          <cell r="B354" t="str">
            <v>549</v>
          </cell>
        </row>
        <row r="355">
          <cell r="B355" t="str">
            <v>550</v>
          </cell>
        </row>
        <row r="356">
          <cell r="B356" t="str">
            <v>551</v>
          </cell>
        </row>
        <row r="357">
          <cell r="B357" t="str">
            <v>553</v>
          </cell>
        </row>
        <row r="358">
          <cell r="B358" t="str">
            <v>555</v>
          </cell>
        </row>
        <row r="359">
          <cell r="B359" t="str">
            <v>558</v>
          </cell>
        </row>
        <row r="360">
          <cell r="B360" t="str">
            <v>560</v>
          </cell>
        </row>
        <row r="361">
          <cell r="B361" t="str">
            <v>563</v>
          </cell>
        </row>
        <row r="362">
          <cell r="B362" t="str">
            <v>564</v>
          </cell>
        </row>
        <row r="363">
          <cell r="B363" t="str">
            <v>565</v>
          </cell>
        </row>
        <row r="364">
          <cell r="B364" t="str">
            <v>568</v>
          </cell>
        </row>
        <row r="365">
          <cell r="B365" t="str">
            <v>569</v>
          </cell>
        </row>
        <row r="366">
          <cell r="B366" t="str">
            <v>570</v>
          </cell>
        </row>
        <row r="367">
          <cell r="B367" t="str">
            <v>571</v>
          </cell>
        </row>
        <row r="368">
          <cell r="B368" t="str">
            <v>572</v>
          </cell>
        </row>
        <row r="369">
          <cell r="B369" t="str">
            <v>573</v>
          </cell>
        </row>
        <row r="370">
          <cell r="B370" t="str">
            <v>574</v>
          </cell>
        </row>
        <row r="371">
          <cell r="B371" t="str">
            <v>575</v>
          </cell>
        </row>
        <row r="372">
          <cell r="B372" t="str">
            <v>576</v>
          </cell>
        </row>
        <row r="373">
          <cell r="B373" t="str">
            <v>577</v>
          </cell>
        </row>
        <row r="374">
          <cell r="B374" t="str">
            <v>579</v>
          </cell>
        </row>
        <row r="375">
          <cell r="B375" t="str">
            <v>580</v>
          </cell>
        </row>
        <row r="376">
          <cell r="B376" t="str">
            <v>585</v>
          </cell>
        </row>
        <row r="377">
          <cell r="B377" t="str">
            <v>586</v>
          </cell>
        </row>
        <row r="378">
          <cell r="B378" t="str">
            <v>590</v>
          </cell>
        </row>
        <row r="379">
          <cell r="B379" t="str">
            <v>591</v>
          </cell>
        </row>
        <row r="380">
          <cell r="B380" t="str">
            <v>592</v>
          </cell>
        </row>
        <row r="381">
          <cell r="B381" t="str">
            <v>594</v>
          </cell>
        </row>
        <row r="382">
          <cell r="B382" t="str">
            <v>596</v>
          </cell>
        </row>
        <row r="383">
          <cell r="B383" t="str">
            <v>599</v>
          </cell>
        </row>
        <row r="384">
          <cell r="B384" t="str">
            <v>600</v>
          </cell>
        </row>
        <row r="385">
          <cell r="B385" t="str">
            <v>604</v>
          </cell>
        </row>
        <row r="386">
          <cell r="B386" t="str">
            <v>605</v>
          </cell>
        </row>
        <row r="387">
          <cell r="B387" t="str">
            <v>606</v>
          </cell>
        </row>
        <row r="388">
          <cell r="B388" t="str">
            <v>607</v>
          </cell>
        </row>
        <row r="389">
          <cell r="B389" t="str">
            <v>610</v>
          </cell>
        </row>
        <row r="390">
          <cell r="B390" t="str">
            <v>612</v>
          </cell>
        </row>
        <row r="391">
          <cell r="B391" t="str">
            <v>614</v>
          </cell>
        </row>
        <row r="392">
          <cell r="B392" t="str">
            <v>615</v>
          </cell>
        </row>
        <row r="393">
          <cell r="B393" t="str">
            <v>616</v>
          </cell>
        </row>
        <row r="394">
          <cell r="B394" t="str">
            <v>620</v>
          </cell>
        </row>
        <row r="395">
          <cell r="B395" t="str">
            <v>621</v>
          </cell>
        </row>
        <row r="396">
          <cell r="B396" t="str">
            <v>622</v>
          </cell>
        </row>
        <row r="397">
          <cell r="B397" t="str">
            <v>624</v>
          </cell>
        </row>
        <row r="398">
          <cell r="B398" t="str">
            <v>628</v>
          </cell>
        </row>
        <row r="399">
          <cell r="B399" t="str">
            <v>631</v>
          </cell>
        </row>
        <row r="400">
          <cell r="B400" t="str">
            <v>632</v>
          </cell>
        </row>
        <row r="401">
          <cell r="B401" t="str">
            <v>634</v>
          </cell>
        </row>
        <row r="402">
          <cell r="B402" t="str">
            <v>638</v>
          </cell>
        </row>
        <row r="403">
          <cell r="B403" t="str">
            <v>642</v>
          </cell>
        </row>
        <row r="404">
          <cell r="B404" t="str">
            <v>645</v>
          </cell>
        </row>
        <row r="405">
          <cell r="B405" t="str">
            <v>646</v>
          </cell>
        </row>
        <row r="406">
          <cell r="B406" t="str">
            <v>647</v>
          </cell>
        </row>
        <row r="407">
          <cell r="B407" t="str">
            <v>649</v>
          </cell>
        </row>
        <row r="408">
          <cell r="B408" t="str">
            <v>650</v>
          </cell>
        </row>
        <row r="409">
          <cell r="B409" t="str">
            <v>652</v>
          </cell>
        </row>
        <row r="410">
          <cell r="B410" t="str">
            <v>653</v>
          </cell>
        </row>
        <row r="411">
          <cell r="B411" t="str">
            <v>654</v>
          </cell>
        </row>
        <row r="412">
          <cell r="B412" t="str">
            <v>655</v>
          </cell>
        </row>
        <row r="413">
          <cell r="B413" t="str">
            <v>656</v>
          </cell>
        </row>
        <row r="414">
          <cell r="B414" t="str">
            <v>657</v>
          </cell>
        </row>
        <row r="415">
          <cell r="B415" t="str">
            <v>658</v>
          </cell>
        </row>
        <row r="416">
          <cell r="B416" t="str">
            <v>659</v>
          </cell>
        </row>
        <row r="417">
          <cell r="B417" t="str">
            <v>660</v>
          </cell>
        </row>
        <row r="418">
          <cell r="B418" t="str">
            <v>662</v>
          </cell>
        </row>
        <row r="419">
          <cell r="B419" t="str">
            <v>663</v>
          </cell>
        </row>
        <row r="420">
          <cell r="B420" t="str">
            <v>664</v>
          </cell>
        </row>
        <row r="421">
          <cell r="B421" t="str">
            <v>665</v>
          </cell>
        </row>
        <row r="422">
          <cell r="B422" t="str">
            <v>666</v>
          </cell>
        </row>
        <row r="423">
          <cell r="B423" t="str">
            <v>667</v>
          </cell>
        </row>
        <row r="424">
          <cell r="B424" t="str">
            <v>668</v>
          </cell>
        </row>
        <row r="425">
          <cell r="B425" t="str">
            <v>669</v>
          </cell>
        </row>
        <row r="426">
          <cell r="B426" t="str">
            <v>670</v>
          </cell>
        </row>
        <row r="427">
          <cell r="B427" t="str">
            <v>671</v>
          </cell>
        </row>
        <row r="428">
          <cell r="B428" t="str">
            <v>672</v>
          </cell>
        </row>
        <row r="429">
          <cell r="B429" t="str">
            <v>673</v>
          </cell>
        </row>
        <row r="430">
          <cell r="B430" t="str">
            <v>674</v>
          </cell>
        </row>
        <row r="431">
          <cell r="B431" t="str">
            <v>675</v>
          </cell>
        </row>
        <row r="432">
          <cell r="B432" t="str">
            <v>676</v>
          </cell>
        </row>
        <row r="433">
          <cell r="B433" t="str">
            <v>678</v>
          </cell>
        </row>
        <row r="434">
          <cell r="B434" t="str">
            <v>679</v>
          </cell>
        </row>
        <row r="435">
          <cell r="B435" t="str">
            <v>680</v>
          </cell>
        </row>
        <row r="436">
          <cell r="B436" t="str">
            <v>681</v>
          </cell>
        </row>
        <row r="437">
          <cell r="B437" t="str">
            <v>682</v>
          </cell>
        </row>
        <row r="438">
          <cell r="B438" t="str">
            <v>683</v>
          </cell>
        </row>
        <row r="439">
          <cell r="B439" t="str">
            <v>684</v>
          </cell>
        </row>
        <row r="440">
          <cell r="B440" t="str">
            <v>685</v>
          </cell>
        </row>
        <row r="441">
          <cell r="B441" t="str">
            <v>686</v>
          </cell>
        </row>
        <row r="442">
          <cell r="B442" t="str">
            <v>687</v>
          </cell>
        </row>
        <row r="443">
          <cell r="B443" t="str">
            <v>688</v>
          </cell>
        </row>
        <row r="444">
          <cell r="B444" t="str">
            <v>689</v>
          </cell>
        </row>
        <row r="445">
          <cell r="B445" t="str">
            <v>690</v>
          </cell>
        </row>
        <row r="446">
          <cell r="B446" t="str">
            <v>692</v>
          </cell>
        </row>
        <row r="447">
          <cell r="B447" t="str">
            <v>693</v>
          </cell>
        </row>
        <row r="448">
          <cell r="B448" t="str">
            <v>694</v>
          </cell>
        </row>
        <row r="449">
          <cell r="B449" t="str">
            <v>696</v>
          </cell>
        </row>
        <row r="450">
          <cell r="B450" t="str">
            <v>697</v>
          </cell>
        </row>
        <row r="451">
          <cell r="B451" t="str">
            <v>698</v>
          </cell>
        </row>
        <row r="452">
          <cell r="B452" t="str">
            <v>699</v>
          </cell>
        </row>
        <row r="453">
          <cell r="B453" t="str">
            <v>701</v>
          </cell>
        </row>
        <row r="454">
          <cell r="B454" t="str">
            <v>702</v>
          </cell>
        </row>
        <row r="455">
          <cell r="B455" t="str">
            <v>703</v>
          </cell>
        </row>
        <row r="456">
          <cell r="B456" t="str">
            <v>705</v>
          </cell>
        </row>
        <row r="457">
          <cell r="B457" t="str">
            <v>707</v>
          </cell>
        </row>
        <row r="458">
          <cell r="B458" t="str">
            <v>708</v>
          </cell>
        </row>
        <row r="459">
          <cell r="B459" t="str">
            <v>710</v>
          </cell>
        </row>
        <row r="460">
          <cell r="B460" t="str">
            <v>711</v>
          </cell>
        </row>
        <row r="461">
          <cell r="B461" t="str">
            <v>713</v>
          </cell>
        </row>
        <row r="462">
          <cell r="B462" t="str">
            <v>717</v>
          </cell>
        </row>
        <row r="463">
          <cell r="B463" t="str">
            <v>718</v>
          </cell>
        </row>
        <row r="464">
          <cell r="B464" t="str">
            <v>720</v>
          </cell>
        </row>
        <row r="465">
          <cell r="B465" t="str">
            <v>723</v>
          </cell>
        </row>
        <row r="466">
          <cell r="B466" t="str">
            <v>736</v>
          </cell>
        </row>
        <row r="467">
          <cell r="B467" t="str">
            <v>740</v>
          </cell>
        </row>
        <row r="468">
          <cell r="B468" t="str">
            <v>742</v>
          </cell>
        </row>
        <row r="469">
          <cell r="B469" t="str">
            <v>743</v>
          </cell>
        </row>
        <row r="470">
          <cell r="B470" t="str">
            <v>744</v>
          </cell>
        </row>
        <row r="471">
          <cell r="B471" t="str">
            <v>745</v>
          </cell>
        </row>
        <row r="472">
          <cell r="B472" t="str">
            <v>749</v>
          </cell>
        </row>
        <row r="473">
          <cell r="B473" t="str">
            <v>750</v>
          </cell>
        </row>
        <row r="474">
          <cell r="B474" t="str">
            <v>753</v>
          </cell>
        </row>
        <row r="475">
          <cell r="B475" t="str">
            <v>754</v>
          </cell>
        </row>
        <row r="476">
          <cell r="B476" t="str">
            <v>755</v>
          </cell>
        </row>
        <row r="477">
          <cell r="B477" t="str">
            <v>756</v>
          </cell>
        </row>
        <row r="478">
          <cell r="B478" t="str">
            <v>757</v>
          </cell>
        </row>
        <row r="479">
          <cell r="B479" t="str">
            <v>758</v>
          </cell>
        </row>
        <row r="480">
          <cell r="B480" t="str">
            <v>759</v>
          </cell>
        </row>
        <row r="481">
          <cell r="B481" t="str">
            <v>760</v>
          </cell>
        </row>
        <row r="482">
          <cell r="B482" t="str">
            <v>761</v>
          </cell>
        </row>
        <row r="483">
          <cell r="B483" t="str">
            <v>762</v>
          </cell>
        </row>
        <row r="484">
          <cell r="B484" t="str">
            <v>763</v>
          </cell>
        </row>
        <row r="485">
          <cell r="B485" t="str">
            <v>764</v>
          </cell>
        </row>
        <row r="486">
          <cell r="B486" t="str">
            <v>769</v>
          </cell>
        </row>
        <row r="487">
          <cell r="B487" t="str">
            <v>770</v>
          </cell>
        </row>
        <row r="488">
          <cell r="B488" t="str">
            <v>771</v>
          </cell>
        </row>
        <row r="489">
          <cell r="B489" t="str">
            <v>772</v>
          </cell>
        </row>
        <row r="490">
          <cell r="B490" t="str">
            <v>773</v>
          </cell>
        </row>
        <row r="491">
          <cell r="B491" t="str">
            <v>774</v>
          </cell>
        </row>
        <row r="492">
          <cell r="B492" t="str">
            <v>776</v>
          </cell>
        </row>
        <row r="493">
          <cell r="B493" t="str">
            <v>777</v>
          </cell>
        </row>
        <row r="494">
          <cell r="B494" t="str">
            <v>778</v>
          </cell>
        </row>
        <row r="495">
          <cell r="B495" t="str">
            <v>779</v>
          </cell>
        </row>
        <row r="496">
          <cell r="B496" t="str">
            <v>780</v>
          </cell>
        </row>
        <row r="497">
          <cell r="B497" t="str">
            <v>781</v>
          </cell>
        </row>
        <row r="498">
          <cell r="B498" t="str">
            <v>785</v>
          </cell>
        </row>
        <row r="499">
          <cell r="B499" t="str">
            <v>786</v>
          </cell>
        </row>
        <row r="500">
          <cell r="B500" t="str">
            <v>787</v>
          </cell>
        </row>
        <row r="501">
          <cell r="B501" t="str">
            <v>788</v>
          </cell>
        </row>
        <row r="502">
          <cell r="B502" t="str">
            <v>789</v>
          </cell>
        </row>
        <row r="503">
          <cell r="B503" t="str">
            <v>790</v>
          </cell>
        </row>
        <row r="504">
          <cell r="B504" t="str">
            <v>791</v>
          </cell>
        </row>
        <row r="505">
          <cell r="B505" t="str">
            <v>792</v>
          </cell>
        </row>
        <row r="506">
          <cell r="B506" t="str">
            <v>793</v>
          </cell>
        </row>
        <row r="507">
          <cell r="B507" t="str">
            <v>794</v>
          </cell>
        </row>
        <row r="508">
          <cell r="B508" t="str">
            <v>797</v>
          </cell>
        </row>
        <row r="509">
          <cell r="B509" t="str">
            <v>798</v>
          </cell>
        </row>
        <row r="510">
          <cell r="B510" t="str">
            <v>799</v>
          </cell>
        </row>
        <row r="511">
          <cell r="B511" t="str">
            <v>800</v>
          </cell>
        </row>
        <row r="512">
          <cell r="B512" t="str">
            <v>801</v>
          </cell>
        </row>
        <row r="513">
          <cell r="B513" t="str">
            <v>804</v>
          </cell>
        </row>
        <row r="514">
          <cell r="B514" t="str">
            <v>805</v>
          </cell>
        </row>
        <row r="515">
          <cell r="B515" t="str">
            <v>806</v>
          </cell>
        </row>
        <row r="516">
          <cell r="B516" t="str">
            <v>807</v>
          </cell>
        </row>
        <row r="517">
          <cell r="B517" t="str">
            <v>808</v>
          </cell>
        </row>
        <row r="518">
          <cell r="B518" t="str">
            <v>809</v>
          </cell>
        </row>
        <row r="519">
          <cell r="B519" t="str">
            <v>810</v>
          </cell>
        </row>
        <row r="520">
          <cell r="B520" t="str">
            <v>814</v>
          </cell>
        </row>
        <row r="521">
          <cell r="B521" t="str">
            <v>815</v>
          </cell>
        </row>
        <row r="522">
          <cell r="B522" t="str">
            <v>816</v>
          </cell>
        </row>
        <row r="523">
          <cell r="B523" t="str">
            <v>817</v>
          </cell>
        </row>
        <row r="524">
          <cell r="B524" t="str">
            <v>819</v>
          </cell>
        </row>
        <row r="525">
          <cell r="B525" t="str">
            <v>820</v>
          </cell>
        </row>
        <row r="526">
          <cell r="B526" t="str">
            <v>821</v>
          </cell>
        </row>
        <row r="527">
          <cell r="B527" t="str">
            <v>822</v>
          </cell>
        </row>
        <row r="528">
          <cell r="B528" t="str">
            <v>823</v>
          </cell>
        </row>
        <row r="529">
          <cell r="B529" t="str">
            <v>824</v>
          </cell>
        </row>
        <row r="530">
          <cell r="B530" t="str">
            <v>828</v>
          </cell>
        </row>
        <row r="531">
          <cell r="B531" t="str">
            <v>832</v>
          </cell>
        </row>
        <row r="532">
          <cell r="B532" t="str">
            <v>834</v>
          </cell>
        </row>
        <row r="533">
          <cell r="B533" t="str">
            <v>835</v>
          </cell>
        </row>
        <row r="534">
          <cell r="B534" t="str">
            <v>836</v>
          </cell>
        </row>
        <row r="535">
          <cell r="B535" t="str">
            <v>837</v>
          </cell>
        </row>
        <row r="536">
          <cell r="B536" t="str">
            <v>838</v>
          </cell>
        </row>
        <row r="537">
          <cell r="B537" t="str">
            <v>839</v>
          </cell>
        </row>
        <row r="538">
          <cell r="B538" t="str">
            <v>841</v>
          </cell>
        </row>
        <row r="539">
          <cell r="B539" t="str">
            <v>842</v>
          </cell>
        </row>
        <row r="540">
          <cell r="B540" t="str">
            <v>843</v>
          </cell>
        </row>
        <row r="541">
          <cell r="B541" t="str">
            <v>845</v>
          </cell>
        </row>
        <row r="542">
          <cell r="B542" t="str">
            <v>847</v>
          </cell>
        </row>
        <row r="543">
          <cell r="B543" t="str">
            <v>849</v>
          </cell>
        </row>
        <row r="544">
          <cell r="B544" t="str">
            <v>851</v>
          </cell>
        </row>
        <row r="545">
          <cell r="B545" t="str">
            <v>854</v>
          </cell>
        </row>
        <row r="546">
          <cell r="B546" t="str">
            <v>855</v>
          </cell>
        </row>
        <row r="547">
          <cell r="B547" t="str">
            <v>856</v>
          </cell>
        </row>
        <row r="548">
          <cell r="B548" t="str">
            <v>858</v>
          </cell>
        </row>
        <row r="549">
          <cell r="B549" t="str">
            <v>860</v>
          </cell>
        </row>
        <row r="550">
          <cell r="B550" t="str">
            <v>861</v>
          </cell>
        </row>
        <row r="551">
          <cell r="B551" t="str">
            <v>862</v>
          </cell>
        </row>
        <row r="552">
          <cell r="B552" t="str">
            <v>863</v>
          </cell>
        </row>
        <row r="553">
          <cell r="B553" t="str">
            <v>865</v>
          </cell>
        </row>
        <row r="554">
          <cell r="B554" t="str">
            <v>867</v>
          </cell>
        </row>
        <row r="555">
          <cell r="B555" t="str">
            <v>869</v>
          </cell>
        </row>
        <row r="556">
          <cell r="B556" t="str">
            <v>870</v>
          </cell>
        </row>
        <row r="557">
          <cell r="B557" t="str">
            <v>871</v>
          </cell>
        </row>
        <row r="558">
          <cell r="B558" t="str">
            <v>872</v>
          </cell>
        </row>
        <row r="559">
          <cell r="B559" t="str">
            <v>873</v>
          </cell>
        </row>
        <row r="560">
          <cell r="B560" t="str">
            <v>874</v>
          </cell>
        </row>
        <row r="561">
          <cell r="B561" t="str">
            <v>875</v>
          </cell>
        </row>
        <row r="562">
          <cell r="B562" t="str">
            <v>877</v>
          </cell>
        </row>
        <row r="563">
          <cell r="B563" t="str">
            <v>878</v>
          </cell>
        </row>
        <row r="564">
          <cell r="B564" t="str">
            <v>879</v>
          </cell>
        </row>
        <row r="565">
          <cell r="B565" t="str">
            <v>883</v>
          </cell>
        </row>
        <row r="566">
          <cell r="B566" t="str">
            <v>884</v>
          </cell>
        </row>
        <row r="567">
          <cell r="B567" t="str">
            <v>885</v>
          </cell>
        </row>
        <row r="568">
          <cell r="B568" t="str">
            <v>886</v>
          </cell>
        </row>
        <row r="569">
          <cell r="B569" t="str">
            <v>887</v>
          </cell>
        </row>
        <row r="570">
          <cell r="B570" t="str">
            <v>888</v>
          </cell>
        </row>
        <row r="571">
          <cell r="B571" t="str">
            <v>889</v>
          </cell>
        </row>
        <row r="572">
          <cell r="B572" t="str">
            <v>890</v>
          </cell>
        </row>
        <row r="573">
          <cell r="B573" t="str">
            <v>892</v>
          </cell>
        </row>
        <row r="574">
          <cell r="B574" t="str">
            <v>893</v>
          </cell>
        </row>
        <row r="575">
          <cell r="B575" t="str">
            <v>894</v>
          </cell>
        </row>
        <row r="576">
          <cell r="B576" t="str">
            <v>895</v>
          </cell>
        </row>
        <row r="577">
          <cell r="B577" t="str">
            <v>897</v>
          </cell>
        </row>
        <row r="578">
          <cell r="B578" t="str">
            <v>898</v>
          </cell>
        </row>
        <row r="579">
          <cell r="B579" t="str">
            <v>899</v>
          </cell>
        </row>
        <row r="580">
          <cell r="B580" t="str">
            <v>960</v>
          </cell>
        </row>
        <row r="581">
          <cell r="B581" t="str">
            <v>980</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remisas"/>
      <sheetName val="Recursos Temporales"/>
      <sheetName val="Premisas2"/>
      <sheetName val="Proyectos BVC"/>
      <sheetName val="Financiación"/>
      <sheetName val="Resumen comite dic 1"/>
      <sheetName val="Presentacion SuperFin"/>
      <sheetName val="Presentacion"/>
    </sheetNames>
    <sheetDataSet>
      <sheetData sheetId="0" refreshError="1"/>
      <sheetData sheetId="1" refreshError="1"/>
      <sheetData sheetId="2">
        <row r="4">
          <cell r="B4" t="str">
            <v>Presidencia</v>
          </cell>
          <cell r="C4">
            <v>100</v>
          </cell>
          <cell r="D4" t="str">
            <v>Presidencia</v>
          </cell>
        </row>
        <row r="5">
          <cell r="B5" t="str">
            <v>Consejo Directivo</v>
          </cell>
          <cell r="C5">
            <v>101</v>
          </cell>
          <cell r="D5" t="str">
            <v>Presidencia</v>
          </cell>
        </row>
        <row r="6">
          <cell r="B6" t="str">
            <v>Auditoria</v>
          </cell>
          <cell r="C6">
            <v>200</v>
          </cell>
          <cell r="D6" t="str">
            <v>Presidencia</v>
          </cell>
        </row>
        <row r="7">
          <cell r="B7" t="str">
            <v>Direccion de Comunicaciones</v>
          </cell>
          <cell r="C7">
            <v>400</v>
          </cell>
          <cell r="D7" t="str">
            <v>Presidencia</v>
          </cell>
        </row>
        <row r="8">
          <cell r="B8" t="str">
            <v>Asesoría Presidencia</v>
          </cell>
          <cell r="C8">
            <v>300</v>
          </cell>
          <cell r="D8" t="str">
            <v>Asesoría Presidencia</v>
          </cell>
        </row>
        <row r="9">
          <cell r="B9" t="str">
            <v>Dirección Asesorías Especiales</v>
          </cell>
          <cell r="C9">
            <v>310</v>
          </cell>
          <cell r="D9" t="str">
            <v>Asesoría Presidencia</v>
          </cell>
        </row>
        <row r="10">
          <cell r="B10" t="str">
            <v>Gerencia de Riesgos</v>
          </cell>
          <cell r="C10">
            <v>320</v>
          </cell>
          <cell r="D10" t="str">
            <v>Asesoría Presidencia</v>
          </cell>
        </row>
        <row r="11">
          <cell r="B11" t="str">
            <v>Dirección OYM</v>
          </cell>
          <cell r="C11">
            <v>330</v>
          </cell>
          <cell r="D11" t="str">
            <v>Asesoría Presidencia</v>
          </cell>
        </row>
        <row r="12">
          <cell r="B12" t="str">
            <v>Gerencia Proyecto Cámara y Derivados</v>
          </cell>
          <cell r="C12">
            <v>340</v>
          </cell>
          <cell r="D12" t="str">
            <v>Asesoría Presidencia</v>
          </cell>
        </row>
        <row r="13">
          <cell r="B13" t="str">
            <v>Vicepresidencia Operaciones y Emisores</v>
          </cell>
          <cell r="C13">
            <v>500</v>
          </cell>
          <cell r="D13" t="str">
            <v>Vicepresidencia Operaciones y Emisores</v>
          </cell>
        </row>
        <row r="14">
          <cell r="B14" t="str">
            <v>Gerencia Operaciones y Emisores</v>
          </cell>
          <cell r="C14">
            <v>520</v>
          </cell>
          <cell r="D14" t="str">
            <v>Vicepresidencia Operaciones y Emisores</v>
          </cell>
        </row>
        <row r="15">
          <cell r="B15" t="str">
            <v>Dirección Operaciones Especiales y Procesos</v>
          </cell>
          <cell r="C15">
            <v>521</v>
          </cell>
          <cell r="D15" t="str">
            <v>Vicepresidencia Operaciones y Emisores</v>
          </cell>
        </row>
        <row r="16">
          <cell r="B16" t="str">
            <v>Gerencia Emisores</v>
          </cell>
          <cell r="C16">
            <v>530</v>
          </cell>
          <cell r="D16" t="str">
            <v>Vicepresidencia Operaciones y Emisores</v>
          </cell>
        </row>
        <row r="17">
          <cell r="B17" t="str">
            <v>Gerencia Colombia Capital yGobierno Corporativo</v>
          </cell>
          <cell r="C17">
            <v>540</v>
          </cell>
          <cell r="D17" t="str">
            <v>Vicepresidencia Operaciones y Emisores</v>
          </cell>
        </row>
        <row r="18">
          <cell r="B18" t="str">
            <v>Coordinación Administrativa</v>
          </cell>
          <cell r="C18">
            <v>541</v>
          </cell>
          <cell r="D18" t="str">
            <v>Vicepresidencia Operaciones y Emisores</v>
          </cell>
        </row>
        <row r="19">
          <cell r="B19" t="str">
            <v>Gerencia Financiera, Administrativa y de Recursos Humanos</v>
          </cell>
          <cell r="C19">
            <v>600</v>
          </cell>
          <cell r="D19" t="str">
            <v>Gerencia Financiera, Administrativa y de Recursos Humanos</v>
          </cell>
        </row>
        <row r="20">
          <cell r="B20" t="str">
            <v>Dirección Financiera</v>
          </cell>
          <cell r="C20">
            <v>610</v>
          </cell>
          <cell r="D20" t="str">
            <v>Gerencia Financiera, Administrativa y de Recursos Humanos</v>
          </cell>
        </row>
        <row r="21">
          <cell r="B21" t="str">
            <v>Jefatura Administrativa</v>
          </cell>
          <cell r="C21">
            <v>620</v>
          </cell>
          <cell r="D21" t="str">
            <v>Gerencia Financiera, Administrativa y de Recursos Humanos</v>
          </cell>
        </row>
        <row r="22">
          <cell r="B22" t="str">
            <v>Jefatura Gestión Humana</v>
          </cell>
          <cell r="C22">
            <v>630</v>
          </cell>
          <cell r="D22" t="str">
            <v>Gerencia Financiera, Administrativa y de Recursos Humanos</v>
          </cell>
        </row>
        <row r="23">
          <cell r="B23" t="str">
            <v>Gerencia Administración de Mercados</v>
          </cell>
          <cell r="C23">
            <v>1400</v>
          </cell>
          <cell r="D23" t="str">
            <v>Gerencia Administración de Mercados</v>
          </cell>
        </row>
        <row r="24">
          <cell r="B24" t="str">
            <v>Dirección Negociación</v>
          </cell>
          <cell r="C24">
            <v>1410</v>
          </cell>
          <cell r="D24" t="str">
            <v>Gerencia Administración de Mercados</v>
          </cell>
        </row>
        <row r="25">
          <cell r="B25" t="str">
            <v>Dirección Cumplimiento, Compensación y Garantías</v>
          </cell>
          <cell r="C25">
            <v>1420</v>
          </cell>
          <cell r="D25" t="str">
            <v>Gerencia Administración de Mercados</v>
          </cell>
        </row>
        <row r="26">
          <cell r="B26" t="str">
            <v>Vicepresidencia Desarrollo de Mercados</v>
          </cell>
          <cell r="C26">
            <v>700</v>
          </cell>
          <cell r="D26" t="str">
            <v>Vicepresidencia Desarrollo de Mercados</v>
          </cell>
        </row>
        <row r="27">
          <cell r="B27" t="str">
            <v>Gerencia de Intermediarios</v>
          </cell>
          <cell r="C27">
            <v>710</v>
          </cell>
          <cell r="D27" t="str">
            <v>Vicepresidencia Desarrollo de Mercados</v>
          </cell>
        </row>
        <row r="28">
          <cell r="B28" t="str">
            <v>Dirección Comercial Intermediarios</v>
          </cell>
          <cell r="C28">
            <v>711</v>
          </cell>
          <cell r="D28" t="str">
            <v>Vicepresidencia Desarrollo de Mercados</v>
          </cell>
        </row>
        <row r="29">
          <cell r="B29" t="str">
            <v>Gerencia Cuenta Estado</v>
          </cell>
          <cell r="C29">
            <v>720</v>
          </cell>
          <cell r="D29" t="str">
            <v>Vicepresidencia Desarrollo de Mercados</v>
          </cell>
        </row>
        <row r="30">
          <cell r="B30" t="str">
            <v>Dirección Operaciones de Mercados</v>
          </cell>
          <cell r="C30">
            <v>730</v>
          </cell>
          <cell r="D30" t="str">
            <v>Vicepresidencia Desarrollo de Mercados</v>
          </cell>
        </row>
        <row r="31">
          <cell r="B31" t="str">
            <v>Regional Medellín</v>
          </cell>
          <cell r="C31">
            <v>800</v>
          </cell>
          <cell r="D31" t="str">
            <v>Vicepresidencia Desarrollo de Mercados</v>
          </cell>
        </row>
        <row r="32">
          <cell r="B32" t="str">
            <v>Regional Cali</v>
          </cell>
          <cell r="C32">
            <v>900</v>
          </cell>
          <cell r="D32" t="str">
            <v>Vicepresidencia Desarrollo de Mercados</v>
          </cell>
        </row>
        <row r="33">
          <cell r="B33" t="str">
            <v>Vicepresidencia Inversionistas</v>
          </cell>
          <cell r="C33">
            <v>1000</v>
          </cell>
          <cell r="D33" t="str">
            <v>Vicepresidencia Inversionistas</v>
          </cell>
        </row>
        <row r="34">
          <cell r="B34" t="str">
            <v>Gerencia Inversionistas Personas Naturales</v>
          </cell>
          <cell r="C34">
            <v>1010</v>
          </cell>
          <cell r="D34" t="str">
            <v>Vicepresidencia Inversionistas</v>
          </cell>
        </row>
        <row r="35">
          <cell r="B35" t="str">
            <v>Coordinación Formación</v>
          </cell>
          <cell r="C35">
            <v>1011</v>
          </cell>
          <cell r="D35" t="str">
            <v>Vicepresidencia Inversionistas</v>
          </cell>
        </row>
        <row r="36">
          <cell r="B36" t="str">
            <v>Coordinador Segmentos</v>
          </cell>
          <cell r="C36">
            <v>1012</v>
          </cell>
          <cell r="D36" t="str">
            <v>Vicepresidencia Inversionistas</v>
          </cell>
        </row>
        <row r="37">
          <cell r="B37" t="str">
            <v>Gerencia Inversionistas Institucionales</v>
          </cell>
          <cell r="C37">
            <v>1020</v>
          </cell>
          <cell r="D37" t="str">
            <v>Vicepresidencia Inversionistas</v>
          </cell>
        </row>
        <row r="38">
          <cell r="B38" t="str">
            <v>Vicepresidencia Tecnología</v>
          </cell>
          <cell r="C38">
            <v>1100</v>
          </cell>
          <cell r="D38" t="str">
            <v>Vicepresidencia Tecnología</v>
          </cell>
        </row>
        <row r="39">
          <cell r="B39" t="str">
            <v>Gerencia Tecnología</v>
          </cell>
          <cell r="C39">
            <v>1110</v>
          </cell>
          <cell r="D39" t="str">
            <v>Vicepresidencia Tecnología</v>
          </cell>
        </row>
        <row r="40">
          <cell r="B40" t="str">
            <v>Dirección Infraestructura</v>
          </cell>
          <cell r="C40">
            <v>1120</v>
          </cell>
          <cell r="D40" t="str">
            <v>Vicepresidencia Tecnología</v>
          </cell>
        </row>
        <row r="41">
          <cell r="B41" t="str">
            <v>Dirección Operaciones</v>
          </cell>
          <cell r="C41">
            <v>1130</v>
          </cell>
          <cell r="D41" t="str">
            <v>Vicepresidencia Tecnología</v>
          </cell>
        </row>
        <row r="42">
          <cell r="B42" t="str">
            <v>Dirección Desarrollo Software</v>
          </cell>
          <cell r="C42">
            <v>1140</v>
          </cell>
          <cell r="D42" t="str">
            <v>Vicepresidencia Tecnología</v>
          </cell>
        </row>
        <row r="43">
          <cell r="B43" t="str">
            <v>Dirección Mesa de Ayuda</v>
          </cell>
          <cell r="C43">
            <v>1150</v>
          </cell>
          <cell r="D43" t="str">
            <v>Vicepresidencia Tecnología</v>
          </cell>
        </row>
        <row r="44">
          <cell r="B44" t="str">
            <v>Vicepresidencia Desarrollo e Infraestructura</v>
          </cell>
          <cell r="C44">
            <v>1200</v>
          </cell>
          <cell r="D44" t="str">
            <v>Vicepresidencia Desarrollo e Infraestructura</v>
          </cell>
        </row>
        <row r="45">
          <cell r="B45" t="str">
            <v>Gerencia de Información e Infoval</v>
          </cell>
          <cell r="C45">
            <v>1210</v>
          </cell>
          <cell r="D45" t="str">
            <v>Vicepresidencia Desarrollo e Infraestructura</v>
          </cell>
        </row>
        <row r="46">
          <cell r="B46" t="str">
            <v>Coordinación Información</v>
          </cell>
          <cell r="C46">
            <v>1211</v>
          </cell>
          <cell r="D46" t="str">
            <v>Vicepresidencia Desarrollo e Infraestructura</v>
          </cell>
        </row>
        <row r="47">
          <cell r="B47" t="str">
            <v>Coordinación Infoval</v>
          </cell>
          <cell r="C47">
            <v>1212</v>
          </cell>
          <cell r="D47" t="str">
            <v>Vicepresidencia Desarrollo e Infraestructura</v>
          </cell>
        </row>
        <row r="48">
          <cell r="B48" t="str">
            <v>Dirección Biblioteca Virtual</v>
          </cell>
          <cell r="C48">
            <v>1213</v>
          </cell>
          <cell r="D48" t="str">
            <v>Vicepresidencia Desarrollo e Infraestructura</v>
          </cell>
        </row>
        <row r="49">
          <cell r="B49" t="str">
            <v>Dirección Desarrollo y Análisis Técnico</v>
          </cell>
          <cell r="C49">
            <v>1220</v>
          </cell>
          <cell r="D49" t="str">
            <v>Vicepresidencia Desarrollo e Infraestructura</v>
          </cell>
        </row>
        <row r="50">
          <cell r="B50" t="str">
            <v>Subdirección Desarrollo</v>
          </cell>
          <cell r="C50">
            <v>1221</v>
          </cell>
          <cell r="D50" t="str">
            <v>Vicepresidencia Desarrollo e Infraestructura</v>
          </cell>
        </row>
        <row r="51">
          <cell r="B51" t="str">
            <v>Subdirección Desarrollo para INFOVAL</v>
          </cell>
          <cell r="C51">
            <v>1222</v>
          </cell>
          <cell r="D51" t="str">
            <v>Vicepresidencia Desarrollo e Infraestructura</v>
          </cell>
        </row>
        <row r="52">
          <cell r="B52" t="str">
            <v>Subdirección de Mejoras y Pruebas</v>
          </cell>
          <cell r="C52">
            <v>1223</v>
          </cell>
          <cell r="D52" t="str">
            <v>Vicepresidencia Desarrollo e Infraestructura</v>
          </cell>
        </row>
        <row r="53">
          <cell r="B53" t="str">
            <v>Gerencia Proyectos Especiales</v>
          </cell>
          <cell r="C53">
            <v>1250</v>
          </cell>
          <cell r="D53" t="str">
            <v>Vicepresidencia Desarrollo e Infraestructura</v>
          </cell>
        </row>
        <row r="54">
          <cell r="B54" t="str">
            <v>Vicepresidencia Jurídica</v>
          </cell>
          <cell r="C54">
            <v>1300</v>
          </cell>
          <cell r="D54" t="str">
            <v>Vicepresidencia Jurídica</v>
          </cell>
        </row>
        <row r="55">
          <cell r="B55" t="str">
            <v>Dirección Legal</v>
          </cell>
          <cell r="C55">
            <v>1310</v>
          </cell>
          <cell r="D55" t="str">
            <v>Vicepresidencia Jurídica</v>
          </cell>
        </row>
        <row r="56">
          <cell r="B56" t="str">
            <v>Dirección Regulación</v>
          </cell>
          <cell r="C56">
            <v>1320</v>
          </cell>
          <cell r="D56" t="str">
            <v>Vicepresidencia Jurídica</v>
          </cell>
        </row>
        <row r="57">
          <cell r="B57" t="str">
            <v>Supervisión</v>
          </cell>
          <cell r="C57">
            <v>1330</v>
          </cell>
          <cell r="D57" t="str">
            <v>Vicepresidencia Jurídica</v>
          </cell>
        </row>
      </sheetData>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mar98"/>
      <sheetName val="abr-24-98"/>
      <sheetName val="MAY-98"/>
      <sheetName val="JUN-98"/>
      <sheetName val="JUL-15-98"/>
      <sheetName val="JUL-30-98 "/>
      <sheetName val="ago-24"/>
      <sheetName val="sep-16"/>
      <sheetName val="sep-30"/>
      <sheetName val="oct-15"/>
      <sheetName val="oct-31"/>
      <sheetName val="NOV-17"/>
      <sheetName val="NOV-17 (2)"/>
      <sheetName val="Inver-sep"/>
      <sheetName val="Hoja1"/>
      <sheetName val="DIC-23"/>
      <sheetName val="DIC-31"/>
      <sheetName val="RESUMEN"/>
      <sheetName val="DIC-31 (2)"/>
      <sheetName val="Hoja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v>1101</v>
          </cell>
          <cell r="B2" t="str">
            <v>CONSEJO DIRECTIVO</v>
          </cell>
        </row>
        <row r="3">
          <cell r="A3">
            <v>1201</v>
          </cell>
          <cell r="B3" t="str">
            <v>PRESIDENCIA</v>
          </cell>
        </row>
        <row r="4">
          <cell r="A4">
            <v>1202</v>
          </cell>
          <cell r="B4" t="str">
            <v>AUDITORIA INTERNA</v>
          </cell>
        </row>
        <row r="5">
          <cell r="A5">
            <v>1300</v>
          </cell>
          <cell r="B5" t="str">
            <v>VICEPRESIDENCIA DE NEGOCIOS</v>
          </cell>
        </row>
        <row r="6">
          <cell r="A6">
            <v>130101</v>
          </cell>
          <cell r="B6" t="str">
            <v>GERENCIA DE OPERACIONES</v>
          </cell>
        </row>
        <row r="7">
          <cell r="A7">
            <v>130102</v>
          </cell>
          <cell r="B7" t="str">
            <v>CUMPLIMIENTO Y TRASPASOS</v>
          </cell>
        </row>
        <row r="8">
          <cell r="A8">
            <v>130103</v>
          </cell>
          <cell r="B8" t="str">
            <v>OFICIAL DE GARANTIAS</v>
          </cell>
        </row>
        <row r="9">
          <cell r="A9">
            <v>130104</v>
          </cell>
          <cell r="B9" t="str">
            <v>OFICIAL DE COMPENSACION</v>
          </cell>
        </row>
        <row r="10">
          <cell r="A10">
            <v>130105</v>
          </cell>
          <cell r="B10" t="str">
            <v>C.A.C. Y RUEDA DE NEGOCIACION</v>
          </cell>
        </row>
        <row r="11">
          <cell r="A11">
            <v>130106</v>
          </cell>
          <cell r="B11" t="str">
            <v>OFICINA MEDELLIN</v>
          </cell>
        </row>
        <row r="12">
          <cell r="A12">
            <v>130107</v>
          </cell>
          <cell r="B12" t="str">
            <v>OFICINA NORTE</v>
          </cell>
        </row>
        <row r="13">
          <cell r="A13">
            <v>130201</v>
          </cell>
          <cell r="B13" t="str">
            <v>RELACIONES EXTERNAS</v>
          </cell>
        </row>
        <row r="14">
          <cell r="A14">
            <v>130202</v>
          </cell>
          <cell r="B14" t="str">
            <v>BIBLIOTECA</v>
          </cell>
        </row>
        <row r="15">
          <cell r="A15">
            <v>130301</v>
          </cell>
          <cell r="B15" t="str">
            <v>GERENCIA TECNICA</v>
          </cell>
        </row>
        <row r="16">
          <cell r="A16">
            <v>130302</v>
          </cell>
          <cell r="B16" t="str">
            <v>ANALISIS ECONOMICO</v>
          </cell>
        </row>
        <row r="17">
          <cell r="A17">
            <v>130303</v>
          </cell>
          <cell r="B17" t="str">
            <v>DESARROLO Y ANALISIS DE PRODUCTOS</v>
          </cell>
        </row>
        <row r="18">
          <cell r="A18">
            <v>130304</v>
          </cell>
          <cell r="B18" t="str">
            <v>INFORMACION</v>
          </cell>
        </row>
        <row r="19">
          <cell r="A19">
            <v>130401</v>
          </cell>
          <cell r="B19" t="str">
            <v>GERENCIA DESARROLLO DEL MERCADO</v>
          </cell>
        </row>
        <row r="20">
          <cell r="A20" t="str">
            <v>140000</v>
          </cell>
          <cell r="B20" t="str">
            <v>VICEP FINANCIERA Y ADMINISTRATIVA</v>
          </cell>
        </row>
        <row r="21">
          <cell r="A21">
            <v>140101</v>
          </cell>
          <cell r="B21" t="str">
            <v>DIRECCION DE SISTEMAS</v>
          </cell>
        </row>
        <row r="22">
          <cell r="A22">
            <v>140102</v>
          </cell>
          <cell r="B22" t="str">
            <v>SISTEMAS</v>
          </cell>
        </row>
        <row r="23">
          <cell r="A23">
            <v>140103</v>
          </cell>
          <cell r="B23" t="str">
            <v>COORDINACION DESARROLLO</v>
          </cell>
        </row>
        <row r="24">
          <cell r="A24">
            <v>140201</v>
          </cell>
          <cell r="B24" t="str">
            <v>DIRECCION COMERCIAL</v>
          </cell>
        </row>
        <row r="25">
          <cell r="A25">
            <v>140202</v>
          </cell>
          <cell r="B25" t="str">
            <v>COORDINADORA COMERCIAL</v>
          </cell>
        </row>
        <row r="26">
          <cell r="A26">
            <v>140203</v>
          </cell>
          <cell r="B26" t="str">
            <v>ASISTENTE COMERCIAL</v>
          </cell>
        </row>
        <row r="27">
          <cell r="A27">
            <v>140301</v>
          </cell>
          <cell r="B27" t="str">
            <v>DIVISION DE CONTABILIDAD</v>
          </cell>
        </row>
        <row r="28">
          <cell r="A28">
            <v>140302</v>
          </cell>
          <cell r="B28" t="str">
            <v>DIVISION PRESUPUESTO Y TESORERIA</v>
          </cell>
        </row>
        <row r="29">
          <cell r="A29">
            <v>140401</v>
          </cell>
          <cell r="B29" t="str">
            <v>DIRECCION SERVICIOS ADMINISTRATIVOS</v>
          </cell>
        </row>
        <row r="30">
          <cell r="A30">
            <v>140402</v>
          </cell>
          <cell r="B30" t="str">
            <v>CORRESPONDENCIA</v>
          </cell>
        </row>
        <row r="31">
          <cell r="A31">
            <v>140403</v>
          </cell>
          <cell r="B31" t="str">
            <v>PUBLICACIONES</v>
          </cell>
        </row>
        <row r="32">
          <cell r="A32">
            <v>140404</v>
          </cell>
          <cell r="B32" t="str">
            <v>ARCHIVO Y ALMACEN</v>
          </cell>
        </row>
        <row r="33">
          <cell r="A33">
            <v>140405</v>
          </cell>
          <cell r="B33" t="str">
            <v>MANTENIMIENTO</v>
          </cell>
        </row>
        <row r="34">
          <cell r="A34">
            <v>140406</v>
          </cell>
          <cell r="B34" t="str">
            <v>ASEO Y CAFETERIA</v>
          </cell>
        </row>
        <row r="35">
          <cell r="A35">
            <v>140407</v>
          </cell>
          <cell r="B35" t="str">
            <v>CONMUTADOR</v>
          </cell>
        </row>
        <row r="36">
          <cell r="A36">
            <v>140501</v>
          </cell>
          <cell r="B36" t="str">
            <v>DIRECCION DE RECURSOS HUMANOS</v>
          </cell>
        </row>
        <row r="37">
          <cell r="A37">
            <v>140502</v>
          </cell>
          <cell r="B37" t="str">
            <v>COORDINACION DESARROLLO HUMANO</v>
          </cell>
        </row>
        <row r="38">
          <cell r="A38">
            <v>140503</v>
          </cell>
          <cell r="B38" t="str">
            <v>COORDINACION DE NOMINA</v>
          </cell>
        </row>
        <row r="39">
          <cell r="A39" t="str">
            <v>1500</v>
          </cell>
          <cell r="B39" t="str">
            <v>VICEPR. JURIDICA Y SECRETARIA GENERAL</v>
          </cell>
        </row>
        <row r="40">
          <cell r="A40" t="str">
            <v>150101</v>
          </cell>
          <cell r="B40" t="str">
            <v>DIRECCION JURIDICA</v>
          </cell>
        </row>
        <row r="41">
          <cell r="A41" t="str">
            <v>1502</v>
          </cell>
          <cell r="B41" t="str">
            <v>DIRECCION DE SEGUIMIENTO</v>
          </cell>
        </row>
        <row r="42">
          <cell r="A42" t="str">
            <v>150201</v>
          </cell>
          <cell r="B42" t="str">
            <v>SUBDIRECCION DE OPERACION Y ANALISIS FIN</v>
          </cell>
        </row>
        <row r="43">
          <cell r="A43" t="str">
            <v>150202</v>
          </cell>
          <cell r="B43" t="str">
            <v>COORDINACION DE INSPECCION</v>
          </cell>
        </row>
        <row r="44">
          <cell r="A44" t="str">
            <v>1601</v>
          </cell>
          <cell r="B44" t="str">
            <v>ENLACE</v>
          </cell>
        </row>
      </sheetData>
      <sheetData sheetId="15" refreshError="1"/>
      <sheetData sheetId="16" refreshError="1"/>
      <sheetData sheetId="17" refreshError="1"/>
      <sheetData sheetId="18" refreshError="1"/>
      <sheetData sheetId="1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clasificaciones Contables"/>
      <sheetName val="Reclasificaciones Fiscales"/>
      <sheetName val="TMP"/>
      <sheetName val="Configuracion"/>
      <sheetName val="Informes"/>
      <sheetName val="Aviso"/>
      <sheetName val="Datos de entrada"/>
      <sheetName val="Validación"/>
      <sheetName val="Sumaria de analisis"/>
      <sheetName val="Calculo cuotas"/>
      <sheetName val="Calculo limite - Opcion 1 y 2"/>
      <sheetName val="Conc. Patrimonial"/>
      <sheetName val="Conc. Renta"/>
      <sheetName val="Desc. Trib."/>
      <sheetName val="Renta Presuntiva"/>
      <sheetName val="Perdidas fiscales y exces"/>
      <sheetName val="Anticipo Año Sig."/>
      <sheetName val="Calculo global aportes paraf"/>
      <sheetName val="13-7"/>
      <sheetName val="Ajustes inflación patri liqui"/>
      <sheetName val="Borrador formulario oficial"/>
      <sheetName val="Altas 2004"/>
      <sheetName val="Corrección monetaria"/>
      <sheetName val="Reajustes fiscales"/>
      <sheetName val="Reducción saldos"/>
      <sheetName val="Provisión renta 2004"/>
      <sheetName val="PYG sin conceptos"/>
      <sheetName val="PYG con conceptos"/>
      <sheetName val="ICA"/>
      <sheetName val="PAAG-2004"/>
      <sheetName val="Altas 2005"/>
    </sheetNames>
    <sheetDataSet>
      <sheetData sheetId="0" refreshError="1"/>
      <sheetData sheetId="1" refreshError="1"/>
      <sheetData sheetId="2" refreshError="1"/>
      <sheetData sheetId="3" refreshError="1"/>
      <sheetData sheetId="4" refreshError="1"/>
      <sheetData sheetId="5" refreshError="1"/>
      <sheetData sheetId="6" refreshError="1">
        <row r="19">
          <cell r="Q19" t="str">
            <v>NO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70">
          <cell r="J70">
            <v>2637061703.1317291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Reclasificaciones Contables"/>
      <sheetName val="Reclasificaciones Fiscales"/>
      <sheetName val="TMP"/>
      <sheetName val="Configuracion"/>
      <sheetName val="Informes"/>
      <sheetName val="Aviso"/>
      <sheetName val="Datos de entrada"/>
      <sheetName val="Validación"/>
      <sheetName val="Sumaria de analisis"/>
      <sheetName val="Calculo cuotas"/>
      <sheetName val="Calculo limite - Opcion 1 y 2"/>
      <sheetName val="Conc. Patrimonial"/>
      <sheetName val="Conc. Renta"/>
      <sheetName val="Desc. Trib."/>
      <sheetName val="Renta Presuntiva"/>
      <sheetName val="Perdidas fiscales y exces"/>
      <sheetName val="Anticipo Año Sig."/>
      <sheetName val="Calculo global aportes paraf"/>
      <sheetName val="13-7"/>
      <sheetName val="Ajustes inflación patri liqui"/>
      <sheetName val="Borrador formulario oficial"/>
      <sheetName val="Altas 2004"/>
      <sheetName val="Corrección monetaria"/>
      <sheetName val="Reajustes fiscales"/>
      <sheetName val="Reducción saldos"/>
      <sheetName val="Provisión renta 2004"/>
      <sheetName val="PYG sin conceptos"/>
      <sheetName val="PYG con conceptos"/>
      <sheetName val="ICA"/>
      <sheetName val="PAAG-2004"/>
      <sheetName val="Altas 2005"/>
    </sheetNames>
    <sheetDataSet>
      <sheetData sheetId="0" refreshError="1"/>
      <sheetData sheetId="1" refreshError="1"/>
      <sheetData sheetId="2" refreshError="1"/>
      <sheetData sheetId="3" refreshError="1"/>
      <sheetData sheetId="4" refreshError="1"/>
      <sheetData sheetId="5" refreshError="1"/>
      <sheetData sheetId="6" refreshError="1">
        <row r="19">
          <cell r="Q19" t="str">
            <v>NO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70">
          <cell r="J70">
            <v>2637061703.1317291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DATOS"/>
      <sheetName val="PROVISIONAL"/>
      <sheetName val="FORMATO"/>
      <sheetName val="Módulo2"/>
      <sheetName val="Módulo1"/>
      <sheetName val="CxC y CxP Vinculados"/>
      <sheetName val="DATE"/>
    </sheetNames>
    <sheetDataSet>
      <sheetData sheetId="0">
        <row r="1">
          <cell r="A1" t="str">
            <v>INDICE BOLSA DE BOGOTA</v>
          </cell>
        </row>
        <row r="2">
          <cell r="A2" t="str">
            <v>GENERAL- SECTORIAL</v>
          </cell>
        </row>
        <row r="4">
          <cell r="A4" t="str">
            <v>FECHA</v>
          </cell>
          <cell r="B4" t="str">
            <v>IBB GENERAL</v>
          </cell>
          <cell r="C4" t="str">
            <v>IBB FINANC.</v>
          </cell>
          <cell r="D4" t="str">
            <v>IBB.INDUST.</v>
          </cell>
          <cell r="E4" t="str">
            <v>IBB SERVIC.</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Hoja1"/>
      <sheetName val="Hoja2"/>
      <sheetName val="Hoja3"/>
      <sheetName val="administración de valores"/>
      <sheetName val="CENTROS DE COSTOS"/>
      <sheetName val="HONORARIOS "/>
      <sheetName val="Transacciones"/>
      <sheetName val="PROYECTOS"/>
      <sheetName val="UEN"/>
      <sheetName val="CUENTAS"/>
      <sheetName val="PROVISION"/>
      <sheetName val="CONTR Y AFILIAC"/>
    </sheetNames>
    <sheetDataSet>
      <sheetData sheetId="0" refreshError="1"/>
      <sheetData sheetId="1" refreshError="1"/>
      <sheetData sheetId="2" refreshError="1"/>
      <sheetData sheetId="3" refreshError="1"/>
      <sheetData sheetId="4" refreshError="1"/>
      <sheetData sheetId="5" refreshError="1">
        <row r="2">
          <cell r="A2" t="str">
            <v>PROVISION  HONORARIOS</v>
          </cell>
        </row>
        <row r="3">
          <cell r="A3">
            <v>26050500</v>
          </cell>
        </row>
        <row r="6">
          <cell r="A6" t="str">
            <v>FECHA</v>
          </cell>
        </row>
        <row r="7">
          <cell r="A7" t="str">
            <v>31/12/2006</v>
          </cell>
        </row>
        <row r="8">
          <cell r="A8" t="str">
            <v>28/02/2007</v>
          </cell>
        </row>
        <row r="9">
          <cell r="A9">
            <v>39420</v>
          </cell>
        </row>
        <row r="10">
          <cell r="A10" t="str">
            <v>30/04/2007</v>
          </cell>
        </row>
        <row r="11">
          <cell r="A11" t="str">
            <v>31/05/2007</v>
          </cell>
        </row>
        <row r="12">
          <cell r="A12" t="str">
            <v>30/06/2007</v>
          </cell>
        </row>
        <row r="13">
          <cell r="A13" t="str">
            <v>31/07/2007</v>
          </cell>
        </row>
        <row r="14">
          <cell r="A14" t="str">
            <v>31/07/2007</v>
          </cell>
        </row>
        <row r="15">
          <cell r="A15" t="str">
            <v>31/07/2007</v>
          </cell>
        </row>
        <row r="16">
          <cell r="A16" t="str">
            <v>31/07/2007</v>
          </cell>
        </row>
        <row r="17">
          <cell r="A17" t="str">
            <v>31/07/2007</v>
          </cell>
        </row>
        <row r="18">
          <cell r="A18" t="str">
            <v>31/07/2007</v>
          </cell>
        </row>
        <row r="19">
          <cell r="A19" t="str">
            <v>31/08/2007</v>
          </cell>
        </row>
        <row r="20">
          <cell r="A20" t="str">
            <v>31/08/2007</v>
          </cell>
        </row>
        <row r="21">
          <cell r="A21" t="str">
            <v>31/08/2007</v>
          </cell>
        </row>
        <row r="22">
          <cell r="A22" t="str">
            <v>31/08/2007</v>
          </cell>
        </row>
        <row r="23">
          <cell r="A23" t="str">
            <v>31/08/2007</v>
          </cell>
        </row>
        <row r="24">
          <cell r="A24" t="str">
            <v>31/08/2007</v>
          </cell>
        </row>
        <row r="25">
          <cell r="A25" t="str">
            <v>28/09/2007</v>
          </cell>
        </row>
        <row r="26">
          <cell r="A26" t="str">
            <v>28/09/2007</v>
          </cell>
        </row>
        <row r="27">
          <cell r="A27" t="str">
            <v>28/09/2007</v>
          </cell>
        </row>
        <row r="28">
          <cell r="A28" t="str">
            <v>31/10/2007</v>
          </cell>
        </row>
        <row r="29">
          <cell r="A29" t="str">
            <v>31/10/2007</v>
          </cell>
        </row>
        <row r="30">
          <cell r="A30" t="str">
            <v>31/10/2007</v>
          </cell>
        </row>
        <row r="31">
          <cell r="A31" t="str">
            <v>31/10/2007</v>
          </cell>
        </row>
        <row r="32">
          <cell r="A32" t="str">
            <v>31/10/2007</v>
          </cell>
        </row>
        <row r="33">
          <cell r="A33" t="str">
            <v>31/10/2007</v>
          </cell>
        </row>
        <row r="34">
          <cell r="A34" t="str">
            <v>31/10/2007</v>
          </cell>
        </row>
        <row r="35">
          <cell r="A35" t="str">
            <v>31/10/2007</v>
          </cell>
        </row>
        <row r="36">
          <cell r="A36" t="str">
            <v>31/10/2007</v>
          </cell>
        </row>
        <row r="37">
          <cell r="A37" t="str">
            <v>31/10/2007</v>
          </cell>
        </row>
        <row r="38">
          <cell r="A38">
            <v>39365</v>
          </cell>
        </row>
        <row r="39">
          <cell r="A39" t="str">
            <v>28/09/07</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Hoja1"/>
      <sheetName val="Hoja2"/>
      <sheetName val="Hoja3"/>
      <sheetName val="administración de valores"/>
      <sheetName val="CENTROS DE COSTOS"/>
      <sheetName val="HONORARIOS "/>
      <sheetName val="Transacciones"/>
      <sheetName val="PROYECTOS"/>
      <sheetName val="UEN"/>
      <sheetName val="CUENTAS"/>
      <sheetName val="PROVISION"/>
      <sheetName val="CONTR Y AFILIAC"/>
    </sheetNames>
    <sheetDataSet>
      <sheetData sheetId="0" refreshError="1"/>
      <sheetData sheetId="1" refreshError="1"/>
      <sheetData sheetId="2" refreshError="1"/>
      <sheetData sheetId="3" refreshError="1"/>
      <sheetData sheetId="4" refreshError="1"/>
      <sheetData sheetId="5" refreshError="1">
        <row r="2">
          <cell r="A2" t="str">
            <v>PROVISION  HONORARIOS</v>
          </cell>
        </row>
        <row r="3">
          <cell r="A3">
            <v>26050500</v>
          </cell>
        </row>
        <row r="6">
          <cell r="A6" t="str">
            <v>FECHA</v>
          </cell>
        </row>
        <row r="7">
          <cell r="A7" t="str">
            <v>31/12/2006</v>
          </cell>
        </row>
        <row r="8">
          <cell r="A8" t="str">
            <v>28/02/2007</v>
          </cell>
        </row>
        <row r="9">
          <cell r="A9">
            <v>39420</v>
          </cell>
        </row>
        <row r="10">
          <cell r="A10" t="str">
            <v>30/04/2007</v>
          </cell>
        </row>
        <row r="11">
          <cell r="A11" t="str">
            <v>31/05/2007</v>
          </cell>
        </row>
        <row r="12">
          <cell r="A12" t="str">
            <v>30/06/2007</v>
          </cell>
        </row>
        <row r="13">
          <cell r="A13" t="str">
            <v>31/07/2007</v>
          </cell>
        </row>
        <row r="14">
          <cell r="A14" t="str">
            <v>31/07/2007</v>
          </cell>
        </row>
        <row r="15">
          <cell r="A15" t="str">
            <v>31/07/2007</v>
          </cell>
        </row>
        <row r="16">
          <cell r="A16" t="str">
            <v>31/07/2007</v>
          </cell>
        </row>
        <row r="17">
          <cell r="A17" t="str">
            <v>31/07/2007</v>
          </cell>
        </row>
        <row r="18">
          <cell r="A18" t="str">
            <v>31/07/2007</v>
          </cell>
        </row>
        <row r="19">
          <cell r="A19" t="str">
            <v>31/08/2007</v>
          </cell>
        </row>
        <row r="20">
          <cell r="A20" t="str">
            <v>31/08/2007</v>
          </cell>
        </row>
        <row r="21">
          <cell r="A21" t="str">
            <v>31/08/2007</v>
          </cell>
        </row>
        <row r="22">
          <cell r="A22" t="str">
            <v>31/08/2007</v>
          </cell>
        </row>
        <row r="23">
          <cell r="A23" t="str">
            <v>31/08/2007</v>
          </cell>
        </row>
        <row r="24">
          <cell r="A24" t="str">
            <v>31/08/2007</v>
          </cell>
        </row>
        <row r="25">
          <cell r="A25" t="str">
            <v>28/09/2007</v>
          </cell>
        </row>
        <row r="26">
          <cell r="A26" t="str">
            <v>28/09/2007</v>
          </cell>
        </row>
        <row r="27">
          <cell r="A27" t="str">
            <v>28/09/2007</v>
          </cell>
        </row>
        <row r="28">
          <cell r="A28" t="str">
            <v>31/10/2007</v>
          </cell>
        </row>
        <row r="29">
          <cell r="A29" t="str">
            <v>31/10/2007</v>
          </cell>
        </row>
        <row r="30">
          <cell r="A30" t="str">
            <v>31/10/2007</v>
          </cell>
        </row>
        <row r="31">
          <cell r="A31" t="str">
            <v>31/10/2007</v>
          </cell>
        </row>
        <row r="32">
          <cell r="A32" t="str">
            <v>31/10/2007</v>
          </cell>
        </row>
        <row r="33">
          <cell r="A33" t="str">
            <v>31/10/2007</v>
          </cell>
        </row>
        <row r="34">
          <cell r="A34" t="str">
            <v>31/10/2007</v>
          </cell>
        </row>
        <row r="35">
          <cell r="A35" t="str">
            <v>31/10/2007</v>
          </cell>
        </row>
        <row r="36">
          <cell r="A36" t="str">
            <v>31/10/2007</v>
          </cell>
        </row>
        <row r="37">
          <cell r="A37" t="str">
            <v>31/10/2007</v>
          </cell>
        </row>
        <row r="38">
          <cell r="A38">
            <v>39365</v>
          </cell>
        </row>
        <row r="39">
          <cell r="A39" t="str">
            <v>28/09/07</v>
          </cell>
        </row>
      </sheetData>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Ejercicio%20renta%20cedular%20rentas%20de%20trabajo%20y%20capital%20combinadas.xlsx" TargetMode="External"/><Relationship Id="rId2" Type="http://schemas.openxmlformats.org/officeDocument/2006/relationships/hyperlink" Target="Ejercicio%20renta%20cedular%20rentas%20de%20capital.xlsx" TargetMode="External"/><Relationship Id="rId1" Type="http://schemas.openxmlformats.org/officeDocument/2006/relationships/hyperlink" Target="Ejercicio%20cedular%20general%20rentas%20de%20trabajo.xlsx"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Ejercicio%20cedular%20general%20rentas%20de%20trabajo%20independientes.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sheetPr>
    <pageSetUpPr fitToPage="1"/>
  </sheetPr>
  <dimension ref="B1:N37"/>
  <sheetViews>
    <sheetView showGridLines="0" workbookViewId="0">
      <selection activeCell="F28" sqref="F28"/>
    </sheetView>
  </sheetViews>
  <sheetFormatPr baseColWidth="10" defaultColWidth="11.5703125" defaultRowHeight="12.75"/>
  <cols>
    <col min="1" max="1" width="11.5703125" style="131"/>
    <col min="2" max="2" width="4.7109375" style="131" customWidth="1"/>
    <col min="3" max="3" width="12" style="131" customWidth="1"/>
    <col min="4" max="4" width="15" style="131" bestFit="1" customWidth="1"/>
    <col min="5" max="5" width="17" style="131" customWidth="1"/>
    <col min="6" max="6" width="24.7109375" style="131" customWidth="1"/>
    <col min="7" max="7" width="4.7109375" style="131" customWidth="1"/>
    <col min="8" max="257" width="11.5703125" style="131"/>
    <col min="258" max="258" width="4.7109375" style="131" customWidth="1"/>
    <col min="259" max="259" width="12" style="131" customWidth="1"/>
    <col min="260" max="260" width="15" style="131" bestFit="1" customWidth="1"/>
    <col min="261" max="261" width="17" style="131" customWidth="1"/>
    <col min="262" max="262" width="24.7109375" style="131" customWidth="1"/>
    <col min="263" max="263" width="4.7109375" style="131" customWidth="1"/>
    <col min="264" max="513" width="11.5703125" style="131"/>
    <col min="514" max="514" width="4.7109375" style="131" customWidth="1"/>
    <col min="515" max="515" width="12" style="131" customWidth="1"/>
    <col min="516" max="516" width="15" style="131" bestFit="1" customWidth="1"/>
    <col min="517" max="517" width="17" style="131" customWidth="1"/>
    <col min="518" max="518" width="24.7109375" style="131" customWidth="1"/>
    <col min="519" max="519" width="4.7109375" style="131" customWidth="1"/>
    <col min="520" max="769" width="11.5703125" style="131"/>
    <col min="770" max="770" width="4.7109375" style="131" customWidth="1"/>
    <col min="771" max="771" width="12" style="131" customWidth="1"/>
    <col min="772" max="772" width="15" style="131" bestFit="1" customWidth="1"/>
    <col min="773" max="773" width="17" style="131" customWidth="1"/>
    <col min="774" max="774" width="24.7109375" style="131" customWidth="1"/>
    <col min="775" max="775" width="4.7109375" style="131" customWidth="1"/>
    <col min="776" max="1025" width="11.5703125" style="131"/>
    <col min="1026" max="1026" width="4.7109375" style="131" customWidth="1"/>
    <col min="1027" max="1027" width="12" style="131" customWidth="1"/>
    <col min="1028" max="1028" width="15" style="131" bestFit="1" customWidth="1"/>
    <col min="1029" max="1029" width="17" style="131" customWidth="1"/>
    <col min="1030" max="1030" width="24.7109375" style="131" customWidth="1"/>
    <col min="1031" max="1031" width="4.7109375" style="131" customWidth="1"/>
    <col min="1032" max="1281" width="11.5703125" style="131"/>
    <col min="1282" max="1282" width="4.7109375" style="131" customWidth="1"/>
    <col min="1283" max="1283" width="12" style="131" customWidth="1"/>
    <col min="1284" max="1284" width="15" style="131" bestFit="1" customWidth="1"/>
    <col min="1285" max="1285" width="17" style="131" customWidth="1"/>
    <col min="1286" max="1286" width="24.7109375" style="131" customWidth="1"/>
    <col min="1287" max="1287" width="4.7109375" style="131" customWidth="1"/>
    <col min="1288" max="1537" width="11.5703125" style="131"/>
    <col min="1538" max="1538" width="4.7109375" style="131" customWidth="1"/>
    <col min="1539" max="1539" width="12" style="131" customWidth="1"/>
    <col min="1540" max="1540" width="15" style="131" bestFit="1" customWidth="1"/>
    <col min="1541" max="1541" width="17" style="131" customWidth="1"/>
    <col min="1542" max="1542" width="24.7109375" style="131" customWidth="1"/>
    <col min="1543" max="1543" width="4.7109375" style="131" customWidth="1"/>
    <col min="1544" max="1793" width="11.5703125" style="131"/>
    <col min="1794" max="1794" width="4.7109375" style="131" customWidth="1"/>
    <col min="1795" max="1795" width="12" style="131" customWidth="1"/>
    <col min="1796" max="1796" width="15" style="131" bestFit="1" customWidth="1"/>
    <col min="1797" max="1797" width="17" style="131" customWidth="1"/>
    <col min="1798" max="1798" width="24.7109375" style="131" customWidth="1"/>
    <col min="1799" max="1799" width="4.7109375" style="131" customWidth="1"/>
    <col min="1800" max="2049" width="11.5703125" style="131"/>
    <col min="2050" max="2050" width="4.7109375" style="131" customWidth="1"/>
    <col min="2051" max="2051" width="12" style="131" customWidth="1"/>
    <col min="2052" max="2052" width="15" style="131" bestFit="1" customWidth="1"/>
    <col min="2053" max="2053" width="17" style="131" customWidth="1"/>
    <col min="2054" max="2054" width="24.7109375" style="131" customWidth="1"/>
    <col min="2055" max="2055" width="4.7109375" style="131" customWidth="1"/>
    <col min="2056" max="2305" width="11.5703125" style="131"/>
    <col min="2306" max="2306" width="4.7109375" style="131" customWidth="1"/>
    <col min="2307" max="2307" width="12" style="131" customWidth="1"/>
    <col min="2308" max="2308" width="15" style="131" bestFit="1" customWidth="1"/>
    <col min="2309" max="2309" width="17" style="131" customWidth="1"/>
    <col min="2310" max="2310" width="24.7109375" style="131" customWidth="1"/>
    <col min="2311" max="2311" width="4.7109375" style="131" customWidth="1"/>
    <col min="2312" max="2561" width="11.5703125" style="131"/>
    <col min="2562" max="2562" width="4.7109375" style="131" customWidth="1"/>
    <col min="2563" max="2563" width="12" style="131" customWidth="1"/>
    <col min="2564" max="2564" width="15" style="131" bestFit="1" customWidth="1"/>
    <col min="2565" max="2565" width="17" style="131" customWidth="1"/>
    <col min="2566" max="2566" width="24.7109375" style="131" customWidth="1"/>
    <col min="2567" max="2567" width="4.7109375" style="131" customWidth="1"/>
    <col min="2568" max="2817" width="11.5703125" style="131"/>
    <col min="2818" max="2818" width="4.7109375" style="131" customWidth="1"/>
    <col min="2819" max="2819" width="12" style="131" customWidth="1"/>
    <col min="2820" max="2820" width="15" style="131" bestFit="1" customWidth="1"/>
    <col min="2821" max="2821" width="17" style="131" customWidth="1"/>
    <col min="2822" max="2822" width="24.7109375" style="131" customWidth="1"/>
    <col min="2823" max="2823" width="4.7109375" style="131" customWidth="1"/>
    <col min="2824" max="3073" width="11.5703125" style="131"/>
    <col min="3074" max="3074" width="4.7109375" style="131" customWidth="1"/>
    <col min="3075" max="3075" width="12" style="131" customWidth="1"/>
    <col min="3076" max="3076" width="15" style="131" bestFit="1" customWidth="1"/>
    <col min="3077" max="3077" width="17" style="131" customWidth="1"/>
    <col min="3078" max="3078" width="24.7109375" style="131" customWidth="1"/>
    <col min="3079" max="3079" width="4.7109375" style="131" customWidth="1"/>
    <col min="3080" max="3329" width="11.5703125" style="131"/>
    <col min="3330" max="3330" width="4.7109375" style="131" customWidth="1"/>
    <col min="3331" max="3331" width="12" style="131" customWidth="1"/>
    <col min="3332" max="3332" width="15" style="131" bestFit="1" customWidth="1"/>
    <col min="3333" max="3333" width="17" style="131" customWidth="1"/>
    <col min="3334" max="3334" width="24.7109375" style="131" customWidth="1"/>
    <col min="3335" max="3335" width="4.7109375" style="131" customWidth="1"/>
    <col min="3336" max="3585" width="11.5703125" style="131"/>
    <col min="3586" max="3586" width="4.7109375" style="131" customWidth="1"/>
    <col min="3587" max="3587" width="12" style="131" customWidth="1"/>
    <col min="3588" max="3588" width="15" style="131" bestFit="1" customWidth="1"/>
    <col min="3589" max="3589" width="17" style="131" customWidth="1"/>
    <col min="3590" max="3590" width="24.7109375" style="131" customWidth="1"/>
    <col min="3591" max="3591" width="4.7109375" style="131" customWidth="1"/>
    <col min="3592" max="3841" width="11.5703125" style="131"/>
    <col min="3842" max="3842" width="4.7109375" style="131" customWidth="1"/>
    <col min="3843" max="3843" width="12" style="131" customWidth="1"/>
    <col min="3844" max="3844" width="15" style="131" bestFit="1" customWidth="1"/>
    <col min="3845" max="3845" width="17" style="131" customWidth="1"/>
    <col min="3846" max="3846" width="24.7109375" style="131" customWidth="1"/>
    <col min="3847" max="3847" width="4.7109375" style="131" customWidth="1"/>
    <col min="3848" max="4097" width="11.5703125" style="131"/>
    <col min="4098" max="4098" width="4.7109375" style="131" customWidth="1"/>
    <col min="4099" max="4099" width="12" style="131" customWidth="1"/>
    <col min="4100" max="4100" width="15" style="131" bestFit="1" customWidth="1"/>
    <col min="4101" max="4101" width="17" style="131" customWidth="1"/>
    <col min="4102" max="4102" width="24.7109375" style="131" customWidth="1"/>
    <col min="4103" max="4103" width="4.7109375" style="131" customWidth="1"/>
    <col min="4104" max="4353" width="11.5703125" style="131"/>
    <col min="4354" max="4354" width="4.7109375" style="131" customWidth="1"/>
    <col min="4355" max="4355" width="12" style="131" customWidth="1"/>
    <col min="4356" max="4356" width="15" style="131" bestFit="1" customWidth="1"/>
    <col min="4357" max="4357" width="17" style="131" customWidth="1"/>
    <col min="4358" max="4358" width="24.7109375" style="131" customWidth="1"/>
    <col min="4359" max="4359" width="4.7109375" style="131" customWidth="1"/>
    <col min="4360" max="4609" width="11.5703125" style="131"/>
    <col min="4610" max="4610" width="4.7109375" style="131" customWidth="1"/>
    <col min="4611" max="4611" width="12" style="131" customWidth="1"/>
    <col min="4612" max="4612" width="15" style="131" bestFit="1" customWidth="1"/>
    <col min="4613" max="4613" width="17" style="131" customWidth="1"/>
    <col min="4614" max="4614" width="24.7109375" style="131" customWidth="1"/>
    <col min="4615" max="4615" width="4.7109375" style="131" customWidth="1"/>
    <col min="4616" max="4865" width="11.5703125" style="131"/>
    <col min="4866" max="4866" width="4.7109375" style="131" customWidth="1"/>
    <col min="4867" max="4867" width="12" style="131" customWidth="1"/>
    <col min="4868" max="4868" width="15" style="131" bestFit="1" customWidth="1"/>
    <col min="4869" max="4869" width="17" style="131" customWidth="1"/>
    <col min="4870" max="4870" width="24.7109375" style="131" customWidth="1"/>
    <col min="4871" max="4871" width="4.7109375" style="131" customWidth="1"/>
    <col min="4872" max="5121" width="11.5703125" style="131"/>
    <col min="5122" max="5122" width="4.7109375" style="131" customWidth="1"/>
    <col min="5123" max="5123" width="12" style="131" customWidth="1"/>
    <col min="5124" max="5124" width="15" style="131" bestFit="1" customWidth="1"/>
    <col min="5125" max="5125" width="17" style="131" customWidth="1"/>
    <col min="5126" max="5126" width="24.7109375" style="131" customWidth="1"/>
    <col min="5127" max="5127" width="4.7109375" style="131" customWidth="1"/>
    <col min="5128" max="5377" width="11.5703125" style="131"/>
    <col min="5378" max="5378" width="4.7109375" style="131" customWidth="1"/>
    <col min="5379" max="5379" width="12" style="131" customWidth="1"/>
    <col min="5380" max="5380" width="15" style="131" bestFit="1" customWidth="1"/>
    <col min="5381" max="5381" width="17" style="131" customWidth="1"/>
    <col min="5382" max="5382" width="24.7109375" style="131" customWidth="1"/>
    <col min="5383" max="5383" width="4.7109375" style="131" customWidth="1"/>
    <col min="5384" max="5633" width="11.5703125" style="131"/>
    <col min="5634" max="5634" width="4.7109375" style="131" customWidth="1"/>
    <col min="5635" max="5635" width="12" style="131" customWidth="1"/>
    <col min="5636" max="5636" width="15" style="131" bestFit="1" customWidth="1"/>
    <col min="5637" max="5637" width="17" style="131" customWidth="1"/>
    <col min="5638" max="5638" width="24.7109375" style="131" customWidth="1"/>
    <col min="5639" max="5639" width="4.7109375" style="131" customWidth="1"/>
    <col min="5640" max="5889" width="11.5703125" style="131"/>
    <col min="5890" max="5890" width="4.7109375" style="131" customWidth="1"/>
    <col min="5891" max="5891" width="12" style="131" customWidth="1"/>
    <col min="5892" max="5892" width="15" style="131" bestFit="1" customWidth="1"/>
    <col min="5893" max="5893" width="17" style="131" customWidth="1"/>
    <col min="5894" max="5894" width="24.7109375" style="131" customWidth="1"/>
    <col min="5895" max="5895" width="4.7109375" style="131" customWidth="1"/>
    <col min="5896" max="6145" width="11.5703125" style="131"/>
    <col min="6146" max="6146" width="4.7109375" style="131" customWidth="1"/>
    <col min="6147" max="6147" width="12" style="131" customWidth="1"/>
    <col min="6148" max="6148" width="15" style="131" bestFit="1" customWidth="1"/>
    <col min="6149" max="6149" width="17" style="131" customWidth="1"/>
    <col min="6150" max="6150" width="24.7109375" style="131" customWidth="1"/>
    <col min="6151" max="6151" width="4.7109375" style="131" customWidth="1"/>
    <col min="6152" max="6401" width="11.5703125" style="131"/>
    <col min="6402" max="6402" width="4.7109375" style="131" customWidth="1"/>
    <col min="6403" max="6403" width="12" style="131" customWidth="1"/>
    <col min="6404" max="6404" width="15" style="131" bestFit="1" customWidth="1"/>
    <col min="6405" max="6405" width="17" style="131" customWidth="1"/>
    <col min="6406" max="6406" width="24.7109375" style="131" customWidth="1"/>
    <col min="6407" max="6407" width="4.7109375" style="131" customWidth="1"/>
    <col min="6408" max="6657" width="11.5703125" style="131"/>
    <col min="6658" max="6658" width="4.7109375" style="131" customWidth="1"/>
    <col min="6659" max="6659" width="12" style="131" customWidth="1"/>
    <col min="6660" max="6660" width="15" style="131" bestFit="1" customWidth="1"/>
    <col min="6661" max="6661" width="17" style="131" customWidth="1"/>
    <col min="6662" max="6662" width="24.7109375" style="131" customWidth="1"/>
    <col min="6663" max="6663" width="4.7109375" style="131" customWidth="1"/>
    <col min="6664" max="6913" width="11.5703125" style="131"/>
    <col min="6914" max="6914" width="4.7109375" style="131" customWidth="1"/>
    <col min="6915" max="6915" width="12" style="131" customWidth="1"/>
    <col min="6916" max="6916" width="15" style="131" bestFit="1" customWidth="1"/>
    <col min="6917" max="6917" width="17" style="131" customWidth="1"/>
    <col min="6918" max="6918" width="24.7109375" style="131" customWidth="1"/>
    <col min="6919" max="6919" width="4.7109375" style="131" customWidth="1"/>
    <col min="6920" max="7169" width="11.5703125" style="131"/>
    <col min="7170" max="7170" width="4.7109375" style="131" customWidth="1"/>
    <col min="7171" max="7171" width="12" style="131" customWidth="1"/>
    <col min="7172" max="7172" width="15" style="131" bestFit="1" customWidth="1"/>
    <col min="7173" max="7173" width="17" style="131" customWidth="1"/>
    <col min="7174" max="7174" width="24.7109375" style="131" customWidth="1"/>
    <col min="7175" max="7175" width="4.7109375" style="131" customWidth="1"/>
    <col min="7176" max="7425" width="11.5703125" style="131"/>
    <col min="7426" max="7426" width="4.7109375" style="131" customWidth="1"/>
    <col min="7427" max="7427" width="12" style="131" customWidth="1"/>
    <col min="7428" max="7428" width="15" style="131" bestFit="1" customWidth="1"/>
    <col min="7429" max="7429" width="17" style="131" customWidth="1"/>
    <col min="7430" max="7430" width="24.7109375" style="131" customWidth="1"/>
    <col min="7431" max="7431" width="4.7109375" style="131" customWidth="1"/>
    <col min="7432" max="7681" width="11.5703125" style="131"/>
    <col min="7682" max="7682" width="4.7109375" style="131" customWidth="1"/>
    <col min="7683" max="7683" width="12" style="131" customWidth="1"/>
    <col min="7684" max="7684" width="15" style="131" bestFit="1" customWidth="1"/>
    <col min="7685" max="7685" width="17" style="131" customWidth="1"/>
    <col min="7686" max="7686" width="24.7109375" style="131" customWidth="1"/>
    <col min="7687" max="7687" width="4.7109375" style="131" customWidth="1"/>
    <col min="7688" max="7937" width="11.5703125" style="131"/>
    <col min="7938" max="7938" width="4.7109375" style="131" customWidth="1"/>
    <col min="7939" max="7939" width="12" style="131" customWidth="1"/>
    <col min="7940" max="7940" width="15" style="131" bestFit="1" customWidth="1"/>
    <col min="7941" max="7941" width="17" style="131" customWidth="1"/>
    <col min="7942" max="7942" width="24.7109375" style="131" customWidth="1"/>
    <col min="7943" max="7943" width="4.7109375" style="131" customWidth="1"/>
    <col min="7944" max="8193" width="11.5703125" style="131"/>
    <col min="8194" max="8194" width="4.7109375" style="131" customWidth="1"/>
    <col min="8195" max="8195" width="12" style="131" customWidth="1"/>
    <col min="8196" max="8196" width="15" style="131" bestFit="1" customWidth="1"/>
    <col min="8197" max="8197" width="17" style="131" customWidth="1"/>
    <col min="8198" max="8198" width="24.7109375" style="131" customWidth="1"/>
    <col min="8199" max="8199" width="4.7109375" style="131" customWidth="1"/>
    <col min="8200" max="8449" width="11.5703125" style="131"/>
    <col min="8450" max="8450" width="4.7109375" style="131" customWidth="1"/>
    <col min="8451" max="8451" width="12" style="131" customWidth="1"/>
    <col min="8452" max="8452" width="15" style="131" bestFit="1" customWidth="1"/>
    <col min="8453" max="8453" width="17" style="131" customWidth="1"/>
    <col min="8454" max="8454" width="24.7109375" style="131" customWidth="1"/>
    <col min="8455" max="8455" width="4.7109375" style="131" customWidth="1"/>
    <col min="8456" max="8705" width="11.5703125" style="131"/>
    <col min="8706" max="8706" width="4.7109375" style="131" customWidth="1"/>
    <col min="8707" max="8707" width="12" style="131" customWidth="1"/>
    <col min="8708" max="8708" width="15" style="131" bestFit="1" customWidth="1"/>
    <col min="8709" max="8709" width="17" style="131" customWidth="1"/>
    <col min="8710" max="8710" width="24.7109375" style="131" customWidth="1"/>
    <col min="8711" max="8711" width="4.7109375" style="131" customWidth="1"/>
    <col min="8712" max="8961" width="11.5703125" style="131"/>
    <col min="8962" max="8962" width="4.7109375" style="131" customWidth="1"/>
    <col min="8963" max="8963" width="12" style="131" customWidth="1"/>
    <col min="8964" max="8964" width="15" style="131" bestFit="1" customWidth="1"/>
    <col min="8965" max="8965" width="17" style="131" customWidth="1"/>
    <col min="8966" max="8966" width="24.7109375" style="131" customWidth="1"/>
    <col min="8967" max="8967" width="4.7109375" style="131" customWidth="1"/>
    <col min="8968" max="9217" width="11.5703125" style="131"/>
    <col min="9218" max="9218" width="4.7109375" style="131" customWidth="1"/>
    <col min="9219" max="9219" width="12" style="131" customWidth="1"/>
    <col min="9220" max="9220" width="15" style="131" bestFit="1" customWidth="1"/>
    <col min="9221" max="9221" width="17" style="131" customWidth="1"/>
    <col min="9222" max="9222" width="24.7109375" style="131" customWidth="1"/>
    <col min="9223" max="9223" width="4.7109375" style="131" customWidth="1"/>
    <col min="9224" max="9473" width="11.5703125" style="131"/>
    <col min="9474" max="9474" width="4.7109375" style="131" customWidth="1"/>
    <col min="9475" max="9475" width="12" style="131" customWidth="1"/>
    <col min="9476" max="9476" width="15" style="131" bestFit="1" customWidth="1"/>
    <col min="9477" max="9477" width="17" style="131" customWidth="1"/>
    <col min="9478" max="9478" width="24.7109375" style="131" customWidth="1"/>
    <col min="9479" max="9479" width="4.7109375" style="131" customWidth="1"/>
    <col min="9480" max="9729" width="11.5703125" style="131"/>
    <col min="9730" max="9730" width="4.7109375" style="131" customWidth="1"/>
    <col min="9731" max="9731" width="12" style="131" customWidth="1"/>
    <col min="9732" max="9732" width="15" style="131" bestFit="1" customWidth="1"/>
    <col min="9733" max="9733" width="17" style="131" customWidth="1"/>
    <col min="9734" max="9734" width="24.7109375" style="131" customWidth="1"/>
    <col min="9735" max="9735" width="4.7109375" style="131" customWidth="1"/>
    <col min="9736" max="9985" width="11.5703125" style="131"/>
    <col min="9986" max="9986" width="4.7109375" style="131" customWidth="1"/>
    <col min="9987" max="9987" width="12" style="131" customWidth="1"/>
    <col min="9988" max="9988" width="15" style="131" bestFit="1" customWidth="1"/>
    <col min="9989" max="9989" width="17" style="131" customWidth="1"/>
    <col min="9990" max="9990" width="24.7109375" style="131" customWidth="1"/>
    <col min="9991" max="9991" width="4.7109375" style="131" customWidth="1"/>
    <col min="9992" max="10241" width="11.5703125" style="131"/>
    <col min="10242" max="10242" width="4.7109375" style="131" customWidth="1"/>
    <col min="10243" max="10243" width="12" style="131" customWidth="1"/>
    <col min="10244" max="10244" width="15" style="131" bestFit="1" customWidth="1"/>
    <col min="10245" max="10245" width="17" style="131" customWidth="1"/>
    <col min="10246" max="10246" width="24.7109375" style="131" customWidth="1"/>
    <col min="10247" max="10247" width="4.7109375" style="131" customWidth="1"/>
    <col min="10248" max="10497" width="11.5703125" style="131"/>
    <col min="10498" max="10498" width="4.7109375" style="131" customWidth="1"/>
    <col min="10499" max="10499" width="12" style="131" customWidth="1"/>
    <col min="10500" max="10500" width="15" style="131" bestFit="1" customWidth="1"/>
    <col min="10501" max="10501" width="17" style="131" customWidth="1"/>
    <col min="10502" max="10502" width="24.7109375" style="131" customWidth="1"/>
    <col min="10503" max="10503" width="4.7109375" style="131" customWidth="1"/>
    <col min="10504" max="10753" width="11.5703125" style="131"/>
    <col min="10754" max="10754" width="4.7109375" style="131" customWidth="1"/>
    <col min="10755" max="10755" width="12" style="131" customWidth="1"/>
    <col min="10756" max="10756" width="15" style="131" bestFit="1" customWidth="1"/>
    <col min="10757" max="10757" width="17" style="131" customWidth="1"/>
    <col min="10758" max="10758" width="24.7109375" style="131" customWidth="1"/>
    <col min="10759" max="10759" width="4.7109375" style="131" customWidth="1"/>
    <col min="10760" max="11009" width="11.5703125" style="131"/>
    <col min="11010" max="11010" width="4.7109375" style="131" customWidth="1"/>
    <col min="11011" max="11011" width="12" style="131" customWidth="1"/>
    <col min="11012" max="11012" width="15" style="131" bestFit="1" customWidth="1"/>
    <col min="11013" max="11013" width="17" style="131" customWidth="1"/>
    <col min="11014" max="11014" width="24.7109375" style="131" customWidth="1"/>
    <col min="11015" max="11015" width="4.7109375" style="131" customWidth="1"/>
    <col min="11016" max="11265" width="11.5703125" style="131"/>
    <col min="11266" max="11266" width="4.7109375" style="131" customWidth="1"/>
    <col min="11267" max="11267" width="12" style="131" customWidth="1"/>
    <col min="11268" max="11268" width="15" style="131" bestFit="1" customWidth="1"/>
    <col min="11269" max="11269" width="17" style="131" customWidth="1"/>
    <col min="11270" max="11270" width="24.7109375" style="131" customWidth="1"/>
    <col min="11271" max="11271" width="4.7109375" style="131" customWidth="1"/>
    <col min="11272" max="11521" width="11.5703125" style="131"/>
    <col min="11522" max="11522" width="4.7109375" style="131" customWidth="1"/>
    <col min="11523" max="11523" width="12" style="131" customWidth="1"/>
    <col min="11524" max="11524" width="15" style="131" bestFit="1" customWidth="1"/>
    <col min="11525" max="11525" width="17" style="131" customWidth="1"/>
    <col min="11526" max="11526" width="24.7109375" style="131" customWidth="1"/>
    <col min="11527" max="11527" width="4.7109375" style="131" customWidth="1"/>
    <col min="11528" max="11777" width="11.5703125" style="131"/>
    <col min="11778" max="11778" width="4.7109375" style="131" customWidth="1"/>
    <col min="11779" max="11779" width="12" style="131" customWidth="1"/>
    <col min="11780" max="11780" width="15" style="131" bestFit="1" customWidth="1"/>
    <col min="11781" max="11781" width="17" style="131" customWidth="1"/>
    <col min="11782" max="11782" width="24.7109375" style="131" customWidth="1"/>
    <col min="11783" max="11783" width="4.7109375" style="131" customWidth="1"/>
    <col min="11784" max="12033" width="11.5703125" style="131"/>
    <col min="12034" max="12034" width="4.7109375" style="131" customWidth="1"/>
    <col min="12035" max="12035" width="12" style="131" customWidth="1"/>
    <col min="12036" max="12036" width="15" style="131" bestFit="1" customWidth="1"/>
    <col min="12037" max="12037" width="17" style="131" customWidth="1"/>
    <col min="12038" max="12038" width="24.7109375" style="131" customWidth="1"/>
    <col min="12039" max="12039" width="4.7109375" style="131" customWidth="1"/>
    <col min="12040" max="12289" width="11.5703125" style="131"/>
    <col min="12290" max="12290" width="4.7109375" style="131" customWidth="1"/>
    <col min="12291" max="12291" width="12" style="131" customWidth="1"/>
    <col min="12292" max="12292" width="15" style="131" bestFit="1" customWidth="1"/>
    <col min="12293" max="12293" width="17" style="131" customWidth="1"/>
    <col min="12294" max="12294" width="24.7109375" style="131" customWidth="1"/>
    <col min="12295" max="12295" width="4.7109375" style="131" customWidth="1"/>
    <col min="12296" max="12545" width="11.5703125" style="131"/>
    <col min="12546" max="12546" width="4.7109375" style="131" customWidth="1"/>
    <col min="12547" max="12547" width="12" style="131" customWidth="1"/>
    <col min="12548" max="12548" width="15" style="131" bestFit="1" customWidth="1"/>
    <col min="12549" max="12549" width="17" style="131" customWidth="1"/>
    <col min="12550" max="12550" width="24.7109375" style="131" customWidth="1"/>
    <col min="12551" max="12551" width="4.7109375" style="131" customWidth="1"/>
    <col min="12552" max="12801" width="11.5703125" style="131"/>
    <col min="12802" max="12802" width="4.7109375" style="131" customWidth="1"/>
    <col min="12803" max="12803" width="12" style="131" customWidth="1"/>
    <col min="12804" max="12804" width="15" style="131" bestFit="1" customWidth="1"/>
    <col min="12805" max="12805" width="17" style="131" customWidth="1"/>
    <col min="12806" max="12806" width="24.7109375" style="131" customWidth="1"/>
    <col min="12807" max="12807" width="4.7109375" style="131" customWidth="1"/>
    <col min="12808" max="13057" width="11.5703125" style="131"/>
    <col min="13058" max="13058" width="4.7109375" style="131" customWidth="1"/>
    <col min="13059" max="13059" width="12" style="131" customWidth="1"/>
    <col min="13060" max="13060" width="15" style="131" bestFit="1" customWidth="1"/>
    <col min="13061" max="13061" width="17" style="131" customWidth="1"/>
    <col min="13062" max="13062" width="24.7109375" style="131" customWidth="1"/>
    <col min="13063" max="13063" width="4.7109375" style="131" customWidth="1"/>
    <col min="13064" max="13313" width="11.5703125" style="131"/>
    <col min="13314" max="13314" width="4.7109375" style="131" customWidth="1"/>
    <col min="13315" max="13315" width="12" style="131" customWidth="1"/>
    <col min="13316" max="13316" width="15" style="131" bestFit="1" customWidth="1"/>
    <col min="13317" max="13317" width="17" style="131" customWidth="1"/>
    <col min="13318" max="13318" width="24.7109375" style="131" customWidth="1"/>
    <col min="13319" max="13319" width="4.7109375" style="131" customWidth="1"/>
    <col min="13320" max="13569" width="11.5703125" style="131"/>
    <col min="13570" max="13570" width="4.7109375" style="131" customWidth="1"/>
    <col min="13571" max="13571" width="12" style="131" customWidth="1"/>
    <col min="13572" max="13572" width="15" style="131" bestFit="1" customWidth="1"/>
    <col min="13573" max="13573" width="17" style="131" customWidth="1"/>
    <col min="13574" max="13574" width="24.7109375" style="131" customWidth="1"/>
    <col min="13575" max="13575" width="4.7109375" style="131" customWidth="1"/>
    <col min="13576" max="13825" width="11.5703125" style="131"/>
    <col min="13826" max="13826" width="4.7109375" style="131" customWidth="1"/>
    <col min="13827" max="13827" width="12" style="131" customWidth="1"/>
    <col min="13828" max="13828" width="15" style="131" bestFit="1" customWidth="1"/>
    <col min="13829" max="13829" width="17" style="131" customWidth="1"/>
    <col min="13830" max="13830" width="24.7109375" style="131" customWidth="1"/>
    <col min="13831" max="13831" width="4.7109375" style="131" customWidth="1"/>
    <col min="13832" max="14081" width="11.5703125" style="131"/>
    <col min="14082" max="14082" width="4.7109375" style="131" customWidth="1"/>
    <col min="14083" max="14083" width="12" style="131" customWidth="1"/>
    <col min="14084" max="14084" width="15" style="131" bestFit="1" customWidth="1"/>
    <col min="14085" max="14085" width="17" style="131" customWidth="1"/>
    <col min="14086" max="14086" width="24.7109375" style="131" customWidth="1"/>
    <col min="14087" max="14087" width="4.7109375" style="131" customWidth="1"/>
    <col min="14088" max="14337" width="11.5703125" style="131"/>
    <col min="14338" max="14338" width="4.7109375" style="131" customWidth="1"/>
    <col min="14339" max="14339" width="12" style="131" customWidth="1"/>
    <col min="14340" max="14340" width="15" style="131" bestFit="1" customWidth="1"/>
    <col min="14341" max="14341" width="17" style="131" customWidth="1"/>
    <col min="14342" max="14342" width="24.7109375" style="131" customWidth="1"/>
    <col min="14343" max="14343" width="4.7109375" style="131" customWidth="1"/>
    <col min="14344" max="14593" width="11.5703125" style="131"/>
    <col min="14594" max="14594" width="4.7109375" style="131" customWidth="1"/>
    <col min="14595" max="14595" width="12" style="131" customWidth="1"/>
    <col min="14596" max="14596" width="15" style="131" bestFit="1" customWidth="1"/>
    <col min="14597" max="14597" width="17" style="131" customWidth="1"/>
    <col min="14598" max="14598" width="24.7109375" style="131" customWidth="1"/>
    <col min="14599" max="14599" width="4.7109375" style="131" customWidth="1"/>
    <col min="14600" max="14849" width="11.5703125" style="131"/>
    <col min="14850" max="14850" width="4.7109375" style="131" customWidth="1"/>
    <col min="14851" max="14851" width="12" style="131" customWidth="1"/>
    <col min="14852" max="14852" width="15" style="131" bestFit="1" customWidth="1"/>
    <col min="14853" max="14853" width="17" style="131" customWidth="1"/>
    <col min="14854" max="14854" width="24.7109375" style="131" customWidth="1"/>
    <col min="14855" max="14855" width="4.7109375" style="131" customWidth="1"/>
    <col min="14856" max="15105" width="11.5703125" style="131"/>
    <col min="15106" max="15106" width="4.7109375" style="131" customWidth="1"/>
    <col min="15107" max="15107" width="12" style="131" customWidth="1"/>
    <col min="15108" max="15108" width="15" style="131" bestFit="1" customWidth="1"/>
    <col min="15109" max="15109" width="17" style="131" customWidth="1"/>
    <col min="15110" max="15110" width="24.7109375" style="131" customWidth="1"/>
    <col min="15111" max="15111" width="4.7109375" style="131" customWidth="1"/>
    <col min="15112" max="15361" width="11.5703125" style="131"/>
    <col min="15362" max="15362" width="4.7109375" style="131" customWidth="1"/>
    <col min="15363" max="15363" width="12" style="131" customWidth="1"/>
    <col min="15364" max="15364" width="15" style="131" bestFit="1" customWidth="1"/>
    <col min="15365" max="15365" width="17" style="131" customWidth="1"/>
    <col min="15366" max="15366" width="24.7109375" style="131" customWidth="1"/>
    <col min="15367" max="15367" width="4.7109375" style="131" customWidth="1"/>
    <col min="15368" max="15617" width="11.5703125" style="131"/>
    <col min="15618" max="15618" width="4.7109375" style="131" customWidth="1"/>
    <col min="15619" max="15619" width="12" style="131" customWidth="1"/>
    <col min="15620" max="15620" width="15" style="131" bestFit="1" customWidth="1"/>
    <col min="15621" max="15621" width="17" style="131" customWidth="1"/>
    <col min="15622" max="15622" width="24.7109375" style="131" customWidth="1"/>
    <col min="15623" max="15623" width="4.7109375" style="131" customWidth="1"/>
    <col min="15624" max="15873" width="11.5703125" style="131"/>
    <col min="15874" max="15874" width="4.7109375" style="131" customWidth="1"/>
    <col min="15875" max="15875" width="12" style="131" customWidth="1"/>
    <col min="15876" max="15876" width="15" style="131" bestFit="1" customWidth="1"/>
    <col min="15877" max="15877" width="17" style="131" customWidth="1"/>
    <col min="15878" max="15878" width="24.7109375" style="131" customWidth="1"/>
    <col min="15879" max="15879" width="4.7109375" style="131" customWidth="1"/>
    <col min="15880" max="16129" width="11.5703125" style="131"/>
    <col min="16130" max="16130" width="4.7109375" style="131" customWidth="1"/>
    <col min="16131" max="16131" width="12" style="131" customWidth="1"/>
    <col min="16132" max="16132" width="15" style="131" bestFit="1" customWidth="1"/>
    <col min="16133" max="16133" width="17" style="131" customWidth="1"/>
    <col min="16134" max="16134" width="24.7109375" style="131" customWidth="1"/>
    <col min="16135" max="16135" width="4.7109375" style="131" customWidth="1"/>
    <col min="16136" max="16384" width="11.5703125" style="131"/>
  </cols>
  <sheetData>
    <row r="1" spans="2:14" ht="13.5" thickBot="1"/>
    <row r="2" spans="2:14">
      <c r="B2" s="132"/>
      <c r="C2" s="133"/>
      <c r="D2" s="133"/>
      <c r="E2" s="133"/>
      <c r="F2" s="133"/>
      <c r="G2" s="134"/>
    </row>
    <row r="3" spans="2:14">
      <c r="B3" s="135"/>
      <c r="C3" s="136"/>
      <c r="D3" s="136"/>
      <c r="E3" s="136"/>
      <c r="F3" s="136"/>
      <c r="G3" s="137"/>
    </row>
    <row r="4" spans="2:14" ht="15.75" thickBot="1">
      <c r="B4" s="135"/>
      <c r="C4" s="138"/>
      <c r="D4" s="138"/>
      <c r="E4" s="138"/>
      <c r="F4" s="138"/>
      <c r="G4" s="139"/>
    </row>
    <row r="5" spans="2:14" ht="15.75" thickBot="1">
      <c r="B5" s="135"/>
      <c r="C5" s="138" t="s">
        <v>175</v>
      </c>
      <c r="D5" s="138"/>
      <c r="E5" s="138"/>
      <c r="F5" s="140">
        <v>34270</v>
      </c>
      <c r="G5" s="139"/>
      <c r="N5" s="141"/>
    </row>
    <row r="6" spans="2:14" ht="15.75" thickBot="1">
      <c r="B6" s="135"/>
      <c r="C6" s="138" t="s">
        <v>176</v>
      </c>
      <c r="D6" s="138"/>
      <c r="E6" s="138"/>
      <c r="F6" s="142">
        <f>+'IMPTO PRESUNT.'!D13</f>
        <v>120000000</v>
      </c>
      <c r="G6" s="139"/>
    </row>
    <row r="7" spans="2:14" ht="15">
      <c r="B7" s="135"/>
      <c r="C7" s="138" t="s">
        <v>177</v>
      </c>
      <c r="D7" s="138"/>
      <c r="E7" s="138"/>
      <c r="F7" s="143">
        <f>+ROUND(F6/F5,2)</f>
        <v>3501.6</v>
      </c>
      <c r="G7" s="139"/>
    </row>
    <row r="8" spans="2:14" ht="15">
      <c r="B8" s="135"/>
      <c r="C8" s="138"/>
      <c r="D8" s="138"/>
      <c r="E8" s="138"/>
      <c r="F8" s="138"/>
      <c r="G8" s="139"/>
    </row>
    <row r="9" spans="2:14" ht="15.75">
      <c r="B9" s="135"/>
      <c r="C9" s="173" t="s">
        <v>19</v>
      </c>
      <c r="D9" s="174"/>
      <c r="E9" s="144"/>
      <c r="F9" s="144"/>
      <c r="G9" s="139"/>
    </row>
    <row r="10" spans="2:14" ht="15.75">
      <c r="B10" s="135"/>
      <c r="C10" s="145" t="s">
        <v>22</v>
      </c>
      <c r="D10" s="145" t="s">
        <v>23</v>
      </c>
      <c r="E10" s="145" t="s">
        <v>178</v>
      </c>
      <c r="F10" s="146" t="s">
        <v>21</v>
      </c>
      <c r="G10" s="139"/>
    </row>
    <row r="11" spans="2:14" ht="15">
      <c r="B11" s="135"/>
      <c r="C11" s="147">
        <v>0</v>
      </c>
      <c r="D11" s="147">
        <v>1090</v>
      </c>
      <c r="E11" s="148">
        <v>0</v>
      </c>
      <c r="F11" s="149">
        <v>0</v>
      </c>
      <c r="G11" s="139"/>
    </row>
    <row r="12" spans="2:14" ht="30">
      <c r="B12" s="135"/>
      <c r="C12" s="147">
        <v>1090</v>
      </c>
      <c r="D12" s="147">
        <v>1700</v>
      </c>
      <c r="E12" s="148">
        <v>0.19</v>
      </c>
      <c r="F12" s="150" t="s">
        <v>179</v>
      </c>
      <c r="G12" s="139"/>
    </row>
    <row r="13" spans="2:14" ht="45">
      <c r="B13" s="135"/>
      <c r="C13" s="147">
        <v>1700</v>
      </c>
      <c r="D13" s="147">
        <v>4100</v>
      </c>
      <c r="E13" s="148">
        <v>0.28000000000000003</v>
      </c>
      <c r="F13" s="150" t="s">
        <v>180</v>
      </c>
      <c r="G13" s="139"/>
      <c r="H13" s="159" t="s">
        <v>186</v>
      </c>
    </row>
    <row r="14" spans="2:14" ht="45">
      <c r="B14" s="135"/>
      <c r="C14" s="151">
        <v>4100</v>
      </c>
      <c r="D14" s="151" t="s">
        <v>181</v>
      </c>
      <c r="E14" s="152">
        <v>0.33</v>
      </c>
      <c r="F14" s="150" t="s">
        <v>182</v>
      </c>
      <c r="G14" s="153">
        <f>+ROUND(IF(F7&gt;1090,IF(F7&gt;1700,IF(F7&gt;4100,(F7-4100)*33%+788,(F7-1700)*28%+116),(F7-1090)*19%),0),2)</f>
        <v>620.45000000000005</v>
      </c>
    </row>
    <row r="15" spans="2:14" ht="15.75" thickBot="1">
      <c r="B15" s="135"/>
      <c r="C15" s="138"/>
      <c r="D15" s="138"/>
      <c r="E15" s="138"/>
      <c r="F15" s="138"/>
      <c r="G15" s="139"/>
    </row>
    <row r="16" spans="2:14" ht="15.75" thickBot="1">
      <c r="B16" s="135"/>
      <c r="C16" s="138" t="s">
        <v>183</v>
      </c>
      <c r="D16" s="138"/>
      <c r="E16" s="138"/>
      <c r="F16" s="142">
        <f>+ROUND(G14*F5,-3)</f>
        <v>21263000</v>
      </c>
      <c r="G16" s="139"/>
      <c r="H16" s="154"/>
    </row>
    <row r="17" spans="2:8" ht="15">
      <c r="B17" s="135"/>
      <c r="C17" s="138" t="s">
        <v>184</v>
      </c>
      <c r="D17" s="138"/>
      <c r="E17" s="138"/>
      <c r="F17" s="138"/>
      <c r="G17" s="139"/>
    </row>
    <row r="18" spans="2:8" ht="15.75" thickBot="1">
      <c r="B18" s="155"/>
      <c r="C18" s="156"/>
      <c r="D18" s="156"/>
      <c r="E18" s="156"/>
      <c r="F18" s="156"/>
      <c r="G18" s="157"/>
    </row>
    <row r="19" spans="2:8" ht="15">
      <c r="C19" s="158"/>
      <c r="D19" s="158"/>
      <c r="E19" s="158"/>
      <c r="F19" s="158"/>
      <c r="G19" s="158"/>
    </row>
    <row r="20" spans="2:8" ht="15.75" thickBot="1">
      <c r="C20" s="158"/>
      <c r="D20" s="158"/>
      <c r="E20" s="158"/>
      <c r="F20" s="158"/>
      <c r="G20" s="158"/>
    </row>
    <row r="21" spans="2:8">
      <c r="B21" s="132"/>
      <c r="C21" s="133"/>
      <c r="D21" s="133"/>
      <c r="E21" s="133"/>
      <c r="F21" s="133"/>
      <c r="G21" s="134"/>
    </row>
    <row r="22" spans="2:8">
      <c r="B22" s="135"/>
      <c r="C22" s="136"/>
      <c r="D22" s="136"/>
      <c r="E22" s="136"/>
      <c r="F22" s="136"/>
      <c r="G22" s="137"/>
    </row>
    <row r="23" spans="2:8" ht="15.75" thickBot="1">
      <c r="B23" s="135"/>
      <c r="C23" s="138"/>
      <c r="D23" s="138"/>
      <c r="E23" s="138"/>
      <c r="F23" s="138"/>
      <c r="G23" s="139"/>
    </row>
    <row r="24" spans="2:8" ht="15.75" thickBot="1">
      <c r="B24" s="135"/>
      <c r="C24" s="138" t="s">
        <v>175</v>
      </c>
      <c r="D24" s="138"/>
      <c r="E24" s="138"/>
      <c r="F24" s="140">
        <f>+F5</f>
        <v>34270</v>
      </c>
      <c r="G24" s="139"/>
    </row>
    <row r="25" spans="2:8" ht="15.75" thickBot="1">
      <c r="B25" s="135"/>
      <c r="C25" s="138" t="s">
        <v>176</v>
      </c>
      <c r="D25" s="138"/>
      <c r="E25" s="138"/>
      <c r="F25" s="142">
        <f>+'IMPTO PRESUNT.'!G13</f>
        <v>100000000</v>
      </c>
      <c r="G25" s="139"/>
    </row>
    <row r="26" spans="2:8" ht="15">
      <c r="B26" s="135"/>
      <c r="C26" s="138" t="s">
        <v>177</v>
      </c>
      <c r="D26" s="138"/>
      <c r="E26" s="138"/>
      <c r="F26" s="143">
        <f>+ROUND(F25/F24,2)</f>
        <v>2918</v>
      </c>
      <c r="G26" s="139"/>
    </row>
    <row r="27" spans="2:8" ht="15">
      <c r="B27" s="135"/>
      <c r="C27" s="138"/>
      <c r="D27" s="138"/>
      <c r="E27" s="138"/>
      <c r="F27" s="138"/>
      <c r="G27" s="139"/>
    </row>
    <row r="28" spans="2:8" ht="15.75">
      <c r="B28" s="135"/>
      <c r="C28" s="173" t="s">
        <v>19</v>
      </c>
      <c r="D28" s="174"/>
      <c r="E28" s="144"/>
      <c r="F28" s="144"/>
      <c r="G28" s="139"/>
    </row>
    <row r="29" spans="2:8" ht="15.75">
      <c r="B29" s="135"/>
      <c r="C29" s="145" t="s">
        <v>22</v>
      </c>
      <c r="D29" s="145" t="s">
        <v>23</v>
      </c>
      <c r="E29" s="145" t="s">
        <v>178</v>
      </c>
      <c r="F29" s="146" t="s">
        <v>21</v>
      </c>
      <c r="G29" s="139"/>
    </row>
    <row r="30" spans="2:8" ht="15">
      <c r="B30" s="135"/>
      <c r="C30" s="147">
        <v>0</v>
      </c>
      <c r="D30" s="147">
        <v>1090</v>
      </c>
      <c r="E30" s="148">
        <v>0</v>
      </c>
      <c r="F30" s="149">
        <v>0</v>
      </c>
      <c r="G30" s="139"/>
    </row>
    <row r="31" spans="2:8" ht="30">
      <c r="B31" s="135"/>
      <c r="C31" s="147">
        <v>1090</v>
      </c>
      <c r="D31" s="147">
        <v>1700</v>
      </c>
      <c r="E31" s="148">
        <v>0.19</v>
      </c>
      <c r="F31" s="150" t="s">
        <v>179</v>
      </c>
      <c r="G31" s="139"/>
    </row>
    <row r="32" spans="2:8" ht="45">
      <c r="B32" s="135"/>
      <c r="C32" s="147">
        <v>1700</v>
      </c>
      <c r="D32" s="147">
        <v>4100</v>
      </c>
      <c r="E32" s="148">
        <v>0.28000000000000003</v>
      </c>
      <c r="F32" s="150" t="s">
        <v>180</v>
      </c>
      <c r="G32" s="139"/>
      <c r="H32" s="159" t="s">
        <v>186</v>
      </c>
    </row>
    <row r="33" spans="2:7" ht="45">
      <c r="B33" s="135"/>
      <c r="C33" s="151">
        <v>4100</v>
      </c>
      <c r="D33" s="151" t="s">
        <v>181</v>
      </c>
      <c r="E33" s="152">
        <v>0.33</v>
      </c>
      <c r="F33" s="150" t="s">
        <v>182</v>
      </c>
      <c r="G33" s="153">
        <f>+ROUND(IF(F26&gt;1090,IF(F26&gt;1700,IF(F26&gt;4100,(F26-4100)*33%+788,(F26-1700)*28%+116),(F26-1090)*19%),0),2)</f>
        <v>457.04</v>
      </c>
    </row>
    <row r="34" spans="2:7" ht="15.75" thickBot="1">
      <c r="B34" s="135"/>
      <c r="C34" s="138"/>
      <c r="D34" s="138"/>
      <c r="E34" s="138"/>
      <c r="F34" s="138"/>
      <c r="G34" s="139"/>
    </row>
    <row r="35" spans="2:7" ht="15.75" thickBot="1">
      <c r="B35" s="135"/>
      <c r="C35" s="138" t="s">
        <v>183</v>
      </c>
      <c r="D35" s="138"/>
      <c r="E35" s="138"/>
      <c r="F35" s="142">
        <f>+ROUND(G33*F24,-3)</f>
        <v>15663000</v>
      </c>
      <c r="G35" s="139"/>
    </row>
    <row r="36" spans="2:7" ht="15">
      <c r="B36" s="135"/>
      <c r="C36" s="138" t="s">
        <v>184</v>
      </c>
      <c r="D36" s="138"/>
      <c r="E36" s="138"/>
      <c r="F36" s="138"/>
      <c r="G36" s="139"/>
    </row>
    <row r="37" spans="2:7" ht="15.75" thickBot="1">
      <c r="B37" s="155"/>
      <c r="C37" s="156"/>
      <c r="D37" s="156"/>
      <c r="E37" s="156"/>
      <c r="F37" s="156"/>
      <c r="G37" s="157"/>
    </row>
  </sheetData>
  <sheetProtection formatCells="0" formatColumns="0" formatRows="0" insertColumns="0" insertRows="0" insertHyperlinks="0" deleteColumns="0" deleteRows="0" sort="0" autoFilter="0" pivotTables="0"/>
  <mergeCells count="2">
    <mergeCell ref="C9:D9"/>
    <mergeCell ref="C28:D28"/>
  </mergeCells>
  <pageMargins left="0.74803149606299213" right="0.74803149606299213" top="0.98425196850393704" bottom="0.98425196850393704" header="0" footer="0"/>
  <pageSetup scale="90" orientation="portrait" horizontalDpi="4294967293" r:id="rId1"/>
  <headerFooter alignWithMargins="0"/>
  <drawing r:id="rId2"/>
</worksheet>
</file>

<file path=xl/worksheets/sheet2.xml><?xml version="1.0" encoding="utf-8"?>
<worksheet xmlns="http://schemas.openxmlformats.org/spreadsheetml/2006/main" xmlns:r="http://schemas.openxmlformats.org/officeDocument/2006/relationships">
  <dimension ref="A2:H41"/>
  <sheetViews>
    <sheetView workbookViewId="0">
      <pane xSplit="1" ySplit="4" topLeftCell="B5" activePane="bottomRight" state="frozen"/>
      <selection pane="topRight" activeCell="B1" sqref="B1"/>
      <selection pane="bottomLeft" activeCell="A5" sqref="A5"/>
      <selection pane="bottomRight" activeCell="B10" sqref="B10"/>
    </sheetView>
  </sheetViews>
  <sheetFormatPr baseColWidth="10" defaultColWidth="4.7109375" defaultRowHeight="15"/>
  <cols>
    <col min="1" max="1" width="4.7109375" customWidth="1"/>
    <col min="2" max="2" width="55.7109375" bestFit="1" customWidth="1"/>
    <col min="3" max="3" width="4.7109375" customWidth="1"/>
    <col min="4" max="4" width="57.7109375" customWidth="1"/>
    <col min="5" max="252" width="11.5703125" customWidth="1"/>
    <col min="253" max="253" width="8.28515625" customWidth="1"/>
  </cols>
  <sheetData>
    <row r="2" spans="1:8" ht="34.9" customHeight="1">
      <c r="A2" s="175" t="s">
        <v>135</v>
      </c>
      <c r="B2" s="176"/>
      <c r="C2" s="177"/>
      <c r="D2" s="5"/>
    </row>
    <row r="3" spans="1:8" ht="18">
      <c r="A3" s="4"/>
      <c r="B3" s="4"/>
    </row>
    <row r="4" spans="1:8" ht="18">
      <c r="A4" s="178" t="s">
        <v>136</v>
      </c>
      <c r="B4" s="179"/>
      <c r="C4" s="180"/>
    </row>
    <row r="5" spans="1:8" ht="18">
      <c r="A5" s="87"/>
      <c r="B5" s="87"/>
    </row>
    <row r="6" spans="1:8" ht="18">
      <c r="A6" s="5"/>
      <c r="B6" s="88" t="s">
        <v>1</v>
      </c>
      <c r="C6" s="5"/>
      <c r="E6" s="5"/>
      <c r="F6" s="5"/>
      <c r="G6" s="5"/>
      <c r="H6" s="5"/>
    </row>
    <row r="7" spans="1:8" ht="18">
      <c r="A7" s="5"/>
      <c r="B7" s="6"/>
      <c r="C7" s="5"/>
      <c r="E7" s="5"/>
      <c r="F7" s="5"/>
      <c r="G7" s="5"/>
      <c r="H7" s="5"/>
    </row>
    <row r="8" spans="1:8" ht="36">
      <c r="A8" s="5"/>
      <c r="B8" s="88" t="s">
        <v>7</v>
      </c>
      <c r="C8" s="5"/>
      <c r="E8" s="5"/>
      <c r="F8" s="5"/>
      <c r="G8" s="5"/>
      <c r="H8" s="5"/>
    </row>
    <row r="9" spans="1:8" ht="18">
      <c r="A9" s="5"/>
      <c r="B9" s="6"/>
      <c r="C9" s="5"/>
      <c r="E9" s="5"/>
      <c r="F9" s="5"/>
      <c r="G9" s="5"/>
      <c r="H9" s="5"/>
    </row>
    <row r="10" spans="1:8" ht="18">
      <c r="A10" s="5"/>
      <c r="B10" s="88" t="s">
        <v>90</v>
      </c>
      <c r="C10" s="5"/>
      <c r="E10" s="5"/>
      <c r="F10" s="5"/>
      <c r="G10" s="5"/>
      <c r="H10" s="5"/>
    </row>
    <row r="11" spans="1:8" ht="18">
      <c r="A11" s="5"/>
      <c r="B11" s="7"/>
      <c r="C11" s="5"/>
      <c r="E11" s="5"/>
      <c r="F11" s="5"/>
      <c r="G11" s="5"/>
      <c r="H11" s="5"/>
    </row>
    <row r="12" spans="1:8" ht="72">
      <c r="A12" s="5"/>
      <c r="B12" s="88" t="s">
        <v>103</v>
      </c>
      <c r="C12" s="5"/>
      <c r="E12" s="5"/>
      <c r="F12" s="5"/>
      <c r="G12" s="5"/>
      <c r="H12" s="5"/>
    </row>
    <row r="13" spans="1:8" ht="18">
      <c r="A13" s="5"/>
      <c r="B13" s="7"/>
      <c r="C13" s="5"/>
      <c r="E13" s="5"/>
      <c r="F13" s="5"/>
      <c r="G13" s="5"/>
      <c r="H13" s="5"/>
    </row>
    <row r="14" spans="1:8" ht="18">
      <c r="A14" s="5"/>
      <c r="B14" s="89" t="s">
        <v>201</v>
      </c>
      <c r="C14" s="5"/>
      <c r="E14" s="5"/>
      <c r="F14" s="5"/>
      <c r="G14" s="5"/>
      <c r="H14" s="5"/>
    </row>
    <row r="15" spans="1:8" ht="18">
      <c r="A15" s="5"/>
      <c r="B15" s="6"/>
      <c r="C15" s="5"/>
      <c r="E15" s="5"/>
      <c r="F15" s="5"/>
      <c r="G15" s="5"/>
      <c r="H15" s="5"/>
    </row>
    <row r="16" spans="1:8" ht="18">
      <c r="A16" s="5"/>
      <c r="B16" s="89" t="s">
        <v>91</v>
      </c>
      <c r="C16" s="5"/>
      <c r="E16" s="5"/>
      <c r="F16" s="5"/>
      <c r="G16" s="5"/>
      <c r="H16" s="5"/>
    </row>
    <row r="17" spans="1:8" ht="18">
      <c r="A17" s="5"/>
      <c r="B17" s="6"/>
      <c r="C17" s="5"/>
      <c r="E17" s="5"/>
      <c r="F17" s="5"/>
      <c r="G17" s="5"/>
      <c r="H17" s="5"/>
    </row>
    <row r="18" spans="1:8" ht="18">
      <c r="A18" s="5"/>
      <c r="B18" s="89" t="s">
        <v>102</v>
      </c>
      <c r="C18" s="5"/>
      <c r="E18" s="5"/>
      <c r="F18" s="5"/>
      <c r="G18" s="5"/>
      <c r="H18" s="5"/>
    </row>
    <row r="19" spans="1:8" ht="18">
      <c r="A19" s="5"/>
      <c r="B19" s="6"/>
      <c r="C19" s="5"/>
      <c r="E19" s="5"/>
      <c r="F19" s="5"/>
      <c r="G19" s="5"/>
      <c r="H19" s="5"/>
    </row>
    <row r="20" spans="1:8" ht="18">
      <c r="A20" s="5"/>
      <c r="B20" s="88" t="s">
        <v>92</v>
      </c>
      <c r="C20" s="5"/>
      <c r="E20" s="5"/>
      <c r="F20" s="5"/>
      <c r="G20" s="5"/>
      <c r="H20" s="5"/>
    </row>
    <row r="21" spans="1:8" ht="18">
      <c r="A21" s="5"/>
      <c r="B21" s="7"/>
      <c r="C21" s="5"/>
      <c r="E21" s="5"/>
      <c r="F21" s="5"/>
      <c r="G21" s="5"/>
      <c r="H21" s="5"/>
    </row>
    <row r="22" spans="1:8" ht="18">
      <c r="A22" s="5"/>
      <c r="B22" s="88" t="s">
        <v>93</v>
      </c>
      <c r="C22" s="5"/>
      <c r="E22" s="5"/>
      <c r="F22" s="5"/>
      <c r="G22" s="5"/>
      <c r="H22" s="5"/>
    </row>
    <row r="23" spans="1:8" ht="18">
      <c r="A23" s="5"/>
      <c r="B23" s="7"/>
      <c r="C23" s="5"/>
      <c r="E23" s="5"/>
      <c r="F23" s="5"/>
      <c r="G23" s="5"/>
      <c r="H23" s="5"/>
    </row>
    <row r="24" spans="1:8" ht="18">
      <c r="A24" s="5"/>
      <c r="B24" s="88" t="s">
        <v>94</v>
      </c>
      <c r="C24" s="5"/>
      <c r="E24" s="5"/>
      <c r="F24" s="5"/>
      <c r="G24" s="5"/>
      <c r="H24" s="5"/>
    </row>
    <row r="25" spans="1:8" ht="18">
      <c r="A25" s="5"/>
      <c r="B25" s="7"/>
      <c r="C25" s="5"/>
      <c r="E25" s="5"/>
      <c r="F25" s="5"/>
      <c r="G25" s="5"/>
      <c r="H25" s="5"/>
    </row>
    <row r="26" spans="1:8" ht="18">
      <c r="A26" s="5"/>
      <c r="B26" s="88" t="s">
        <v>95</v>
      </c>
      <c r="C26" s="5"/>
      <c r="D26" s="166" t="s">
        <v>194</v>
      </c>
      <c r="E26" s="5"/>
      <c r="F26" s="5"/>
      <c r="G26" s="5"/>
      <c r="H26" s="5"/>
    </row>
    <row r="27" spans="1:8" ht="18">
      <c r="A27" s="5"/>
      <c r="B27" s="7"/>
      <c r="C27" s="5"/>
      <c r="E27" s="5"/>
      <c r="F27" s="5"/>
      <c r="G27" s="5"/>
      <c r="H27" s="5"/>
    </row>
    <row r="28" spans="1:8" ht="18">
      <c r="A28" s="5"/>
      <c r="B28" s="88" t="s">
        <v>96</v>
      </c>
      <c r="C28" s="5"/>
      <c r="E28" s="5"/>
      <c r="F28" s="5"/>
      <c r="G28" s="5"/>
      <c r="H28" s="5"/>
    </row>
    <row r="29" spans="1:8" ht="18">
      <c r="A29" s="5"/>
      <c r="B29" s="7"/>
      <c r="C29" s="5"/>
      <c r="E29" s="5"/>
      <c r="F29" s="5"/>
      <c r="G29" s="5"/>
      <c r="H29" s="5"/>
    </row>
    <row r="30" spans="1:8" ht="18">
      <c r="A30" s="5"/>
      <c r="B30" s="88" t="s">
        <v>97</v>
      </c>
      <c r="C30" s="5"/>
      <c r="E30" s="5"/>
      <c r="F30" s="5"/>
      <c r="G30" s="5"/>
      <c r="H30" s="5"/>
    </row>
    <row r="31" spans="1:8" ht="18">
      <c r="A31" s="5"/>
      <c r="B31" s="5"/>
      <c r="C31" s="5"/>
      <c r="E31" s="5"/>
      <c r="F31" s="5"/>
      <c r="G31" s="5"/>
      <c r="H31" s="5"/>
    </row>
    <row r="32" spans="1:8" ht="18">
      <c r="B32" s="168" t="s">
        <v>196</v>
      </c>
    </row>
    <row r="33" spans="2:2">
      <c r="B33" s="169"/>
    </row>
    <row r="34" spans="2:2" ht="18">
      <c r="B34" s="171" t="s">
        <v>197</v>
      </c>
    </row>
    <row r="35" spans="2:2" ht="18">
      <c r="B35" s="172"/>
    </row>
    <row r="36" spans="2:2" ht="18">
      <c r="B36" s="171" t="s">
        <v>198</v>
      </c>
    </row>
    <row r="37" spans="2:2" ht="18">
      <c r="B37" s="172"/>
    </row>
    <row r="38" spans="2:2" ht="18">
      <c r="B38" s="171" t="s">
        <v>199</v>
      </c>
    </row>
    <row r="39" spans="2:2" ht="18">
      <c r="B39" s="172"/>
    </row>
    <row r="40" spans="2:2" ht="18">
      <c r="B40" s="171" t="s">
        <v>200</v>
      </c>
    </row>
    <row r="41" spans="2:2">
      <c r="B41" s="170"/>
    </row>
  </sheetData>
  <sheetProtection password="CE28" sheet="1" objects="1" scenarios="1" formatCells="0" formatColumns="0" formatRows="0" insertColumns="0" insertRows="0" insertHyperlinks="0" deleteColumns="0" deleteRows="0" sort="0" autoFilter="0" pivotTables="0"/>
  <mergeCells count="2">
    <mergeCell ref="A2:C2"/>
    <mergeCell ref="A4:C4"/>
  </mergeCells>
  <hyperlinks>
    <hyperlink ref="B6" location="'REALIZACIÓN CESANTÍAS'!A1" display="Realización de cesantías"/>
    <hyperlink ref="B30" location="'RETENCIÓN SALARIOS'!A1" display="Retención ingresos laborales"/>
    <hyperlink ref="B20" location="'SEGUROS DE VIDA'!A1" display="Seguros de vida"/>
    <hyperlink ref="B16" location="'TARIFA DIVIDENDOS'!A1" display="Tarifa dividendos residentes"/>
    <hyperlink ref="B14" location="'TARIFA CG'!A1" display="Tarifa cédula general"/>
    <hyperlink ref="B10" location="'RTAS EXENTAS ART. 206'!A1" display="Rentas de trabajo exentas"/>
    <hyperlink ref="B8" location="'APORTES PENSIÓN'!A1" display="'APORTES PENSIÓN'!A1"/>
    <hyperlink ref="B22" location="'RENTA CEDULAR'!A1" display="Determinación cedular"/>
    <hyperlink ref="B24" location="'RENTA LÍQUIDA'!A1" display="Renta líquida cedular"/>
    <hyperlink ref="B26" location="'RENTA PRESUNTIVA'!A1" display="Renta presuntiva"/>
    <hyperlink ref="B28" location="'CÉDULA GENERAL'!A1" display="Cédula general (ingresos y renta líquida)"/>
    <hyperlink ref="B12" location="'PRIMA COSTO DE VIDA'!A1" display="Determinación de la renta para servidores públicos diplomáticos, consulares y administrativos del Ministerio de Relaciones Exteriores"/>
    <hyperlink ref="B18" location="'TRANSITORIO DIVIDENDOS'!A1" display="Transición en materia de dividendos"/>
    <hyperlink ref="D26" location="'IMPTO PRESUNT.'!A1" display="Ver ejemplo"/>
    <hyperlink ref="B34" r:id="rId1" display="Compativo renta de trabajo"/>
    <hyperlink ref="B36" r:id="rId2"/>
    <hyperlink ref="B38" r:id="rId3"/>
    <hyperlink ref="B40" r:id="rId4"/>
  </hyperlinks>
  <printOptions horizontalCentered="1" verticalCentered="1"/>
  <pageMargins left="0.70866141732283472" right="0.70866141732283472" top="0.74803149606299213" bottom="0.74803149606299213" header="0.31496062992125984" footer="0.31496062992125984"/>
  <pageSetup paperSize="0" orientation="landscape" r:id="rId5"/>
  <drawing r:id="rId6"/>
</worksheet>
</file>

<file path=xl/worksheets/sheet3.xml><?xml version="1.0" encoding="utf-8"?>
<worksheet xmlns="http://schemas.openxmlformats.org/spreadsheetml/2006/main" xmlns:r="http://schemas.openxmlformats.org/officeDocument/2006/relationships">
  <dimension ref="A2:G16"/>
  <sheetViews>
    <sheetView workbookViewId="0">
      <pane xSplit="2" ySplit="4" topLeftCell="E11" activePane="bottomRight" state="frozen"/>
      <selection pane="topRight" activeCell="C1" sqref="C1"/>
      <selection pane="bottomLeft" activeCell="A5" sqref="A5"/>
      <selection pane="bottomRight" activeCell="E12" sqref="E12"/>
    </sheetView>
  </sheetViews>
  <sheetFormatPr baseColWidth="10" defaultRowHeight="15"/>
  <cols>
    <col min="1" max="2" width="12.5703125" customWidth="1"/>
    <col min="3" max="3" width="110.140625" customWidth="1"/>
    <col min="5" max="5" width="109.7109375" customWidth="1"/>
    <col min="6" max="6" width="8.7109375" customWidth="1"/>
    <col min="7" max="7" width="57.140625" bestFit="1" customWidth="1"/>
    <col min="8" max="8" width="11.5703125" customWidth="1"/>
    <col min="9" max="9" width="86" customWidth="1"/>
  </cols>
  <sheetData>
    <row r="2" spans="1:7" ht="18">
      <c r="C2" s="13" t="s">
        <v>123</v>
      </c>
      <c r="E2" s="69" t="s">
        <v>126</v>
      </c>
    </row>
    <row r="4" spans="1:7" ht="123.75" customHeight="1">
      <c r="A4" s="181" t="s">
        <v>5</v>
      </c>
      <c r="B4" s="182"/>
    </row>
    <row r="5" spans="1:7">
      <c r="B5" s="75"/>
    </row>
    <row r="6" spans="1:7" ht="75" customHeight="1">
      <c r="A6" s="74"/>
      <c r="B6" s="76"/>
      <c r="C6" s="9" t="s">
        <v>2</v>
      </c>
      <c r="E6" s="11" t="s">
        <v>6</v>
      </c>
    </row>
    <row r="7" spans="1:7">
      <c r="A7" s="74"/>
      <c r="B7" s="74"/>
    </row>
    <row r="8" spans="1:7" ht="105">
      <c r="A8" s="74"/>
      <c r="B8" s="74"/>
      <c r="C8" s="9" t="s">
        <v>4</v>
      </c>
      <c r="E8" s="11" t="s">
        <v>6</v>
      </c>
    </row>
    <row r="9" spans="1:7" ht="15.75">
      <c r="A9" s="74"/>
      <c r="B9" s="74"/>
      <c r="C9" s="10"/>
    </row>
    <row r="10" spans="1:7" ht="30">
      <c r="A10" s="74"/>
      <c r="B10" s="74"/>
      <c r="C10" s="9" t="s">
        <v>3</v>
      </c>
      <c r="E10" s="11" t="s">
        <v>6</v>
      </c>
    </row>
    <row r="11" spans="1:7" ht="15.75">
      <c r="A11" s="74"/>
      <c r="B11" s="74"/>
      <c r="C11" s="12"/>
      <c r="E11" s="11"/>
      <c r="G11" s="37" t="s">
        <v>138</v>
      </c>
    </row>
    <row r="12" spans="1:7" ht="92.25">
      <c r="A12" s="74"/>
      <c r="B12" s="74"/>
      <c r="E12" s="9" t="s">
        <v>105</v>
      </c>
      <c r="G12" s="93" t="s">
        <v>107</v>
      </c>
    </row>
    <row r="13" spans="1:7" ht="15.75">
      <c r="A13" s="74"/>
      <c r="B13" s="74"/>
      <c r="G13" s="82"/>
    </row>
    <row r="14" spans="1:7" ht="121.5">
      <c r="A14" s="74"/>
      <c r="B14" s="74"/>
      <c r="C14" s="3"/>
      <c r="E14" s="9" t="s">
        <v>106</v>
      </c>
      <c r="G14" s="94" t="s">
        <v>137</v>
      </c>
    </row>
    <row r="16" spans="1:7" ht="15.75">
      <c r="A16"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4.xml><?xml version="1.0" encoding="utf-8"?>
<worksheet xmlns="http://schemas.openxmlformats.org/spreadsheetml/2006/main" xmlns:r="http://schemas.openxmlformats.org/officeDocument/2006/relationships">
  <dimension ref="A2:F11"/>
  <sheetViews>
    <sheetView workbookViewId="0">
      <pane xSplit="2" ySplit="4" topLeftCell="D5" activePane="bottomRight" state="frozen"/>
      <selection pane="topRight" activeCell="C1" sqref="C1"/>
      <selection pane="bottomLeft" activeCell="A5" sqref="A5"/>
      <selection pane="bottomRight" activeCell="E6" sqref="E6"/>
    </sheetView>
  </sheetViews>
  <sheetFormatPr baseColWidth="10" defaultRowHeight="15"/>
  <cols>
    <col min="1" max="1" width="13.85546875" customWidth="1"/>
    <col min="2" max="2" width="13.28515625" customWidth="1"/>
    <col min="3" max="3" width="109.7109375" customWidth="1"/>
    <col min="5" max="5" width="109.7109375" customWidth="1"/>
    <col min="6" max="6" width="38" customWidth="1"/>
    <col min="8" max="8" width="11.5703125" customWidth="1"/>
    <col min="9" max="9" width="86" customWidth="1"/>
  </cols>
  <sheetData>
    <row r="2" spans="1:6" ht="18">
      <c r="C2" s="14" t="s">
        <v>123</v>
      </c>
      <c r="E2" s="69" t="s">
        <v>127</v>
      </c>
    </row>
    <row r="4" spans="1:6" ht="70.5" customHeight="1">
      <c r="A4" s="181" t="s">
        <v>8</v>
      </c>
      <c r="B4" s="182"/>
    </row>
    <row r="5" spans="1:6" ht="18">
      <c r="E5" s="77"/>
    </row>
    <row r="6" spans="1:6" ht="171.75">
      <c r="C6" s="9" t="s">
        <v>139</v>
      </c>
      <c r="E6" s="9" t="s">
        <v>108</v>
      </c>
    </row>
    <row r="7" spans="1:6" ht="15" customHeight="1">
      <c r="B7" s="78"/>
    </row>
    <row r="8" spans="1:6" ht="60.75">
      <c r="B8" s="78"/>
      <c r="E8" s="9" t="s">
        <v>9</v>
      </c>
      <c r="F8" s="15" t="s">
        <v>10</v>
      </c>
    </row>
    <row r="9" spans="1:6">
      <c r="B9" s="75"/>
    </row>
    <row r="10" spans="1:6">
      <c r="B10" s="75"/>
    </row>
    <row r="11" spans="1:6" ht="15.75">
      <c r="A11"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5.xml><?xml version="1.0" encoding="utf-8"?>
<worksheet xmlns="http://schemas.openxmlformats.org/spreadsheetml/2006/main" xmlns:r="http://schemas.openxmlformats.org/officeDocument/2006/relationships">
  <dimension ref="A2:G19"/>
  <sheetViews>
    <sheetView tabSelected="1" workbookViewId="0">
      <pane xSplit="2" ySplit="4" topLeftCell="E9" activePane="bottomRight" state="frozen"/>
      <selection pane="topRight" activeCell="C1" sqref="C1"/>
      <selection pane="bottomLeft" activeCell="A5" sqref="A5"/>
      <selection pane="bottomRight" activeCell="E16" sqref="E16"/>
    </sheetView>
  </sheetViews>
  <sheetFormatPr baseColWidth="10" defaultRowHeight="15"/>
  <cols>
    <col min="1" max="1" width="14.140625" customWidth="1"/>
    <col min="2" max="2" width="14.5703125" customWidth="1"/>
    <col min="3" max="3" width="109.7109375" customWidth="1"/>
    <col min="5" max="5" width="109.7109375" customWidth="1"/>
    <col min="7" max="7" width="48" customWidth="1"/>
    <col min="8" max="8" width="86" customWidth="1"/>
  </cols>
  <sheetData>
    <row r="2" spans="1:7" ht="18">
      <c r="C2" s="14" t="s">
        <v>123</v>
      </c>
      <c r="E2" s="69" t="s">
        <v>128</v>
      </c>
    </row>
    <row r="4" spans="1:7" ht="94.5" customHeight="1">
      <c r="A4" s="181" t="s">
        <v>16</v>
      </c>
      <c r="B4" s="182"/>
    </row>
    <row r="6" spans="1:7" ht="31.5">
      <c r="C6" s="9" t="s">
        <v>11</v>
      </c>
      <c r="E6" s="9" t="s">
        <v>14</v>
      </c>
    </row>
    <row r="7" spans="1:7" ht="15" customHeight="1">
      <c r="B7" s="78"/>
    </row>
    <row r="8" spans="1:7" ht="165">
      <c r="B8" s="78"/>
      <c r="C8" s="9" t="s">
        <v>12</v>
      </c>
      <c r="E8" s="79" t="s">
        <v>98</v>
      </c>
    </row>
    <row r="9" spans="1:7" ht="15" customHeight="1">
      <c r="B9" s="78"/>
      <c r="C9" s="12"/>
    </row>
    <row r="10" spans="1:7" ht="47.25">
      <c r="B10" s="78"/>
      <c r="C10" s="9" t="s">
        <v>13</v>
      </c>
      <c r="E10" s="9" t="s">
        <v>15</v>
      </c>
    </row>
    <row r="11" spans="1:7" ht="15" customHeight="1">
      <c r="B11" s="78"/>
    </row>
    <row r="12" spans="1:7" ht="30.75">
      <c r="B12" s="78"/>
      <c r="E12" s="9" t="s">
        <v>109</v>
      </c>
    </row>
    <row r="13" spans="1:7" ht="15.75">
      <c r="B13" s="78"/>
      <c r="E13" s="12"/>
    </row>
    <row r="14" spans="1:7" ht="31.5">
      <c r="B14" s="78"/>
      <c r="E14" s="9" t="s">
        <v>110</v>
      </c>
    </row>
    <row r="15" spans="1:7" ht="15.75">
      <c r="B15" s="78"/>
      <c r="E15" s="12"/>
      <c r="G15" s="95" t="s">
        <v>138</v>
      </c>
    </row>
    <row r="16" spans="1:7" ht="63">
      <c r="B16" s="78"/>
      <c r="E16" s="9" t="s">
        <v>111</v>
      </c>
      <c r="G16" s="93" t="s">
        <v>202</v>
      </c>
    </row>
    <row r="17" spans="1:7">
      <c r="G17" s="93"/>
    </row>
    <row r="19" spans="1:7" ht="15.75">
      <c r="A19" s="1" t="s">
        <v>0</v>
      </c>
    </row>
  </sheetData>
  <sheetProtection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6.xml><?xml version="1.0" encoding="utf-8"?>
<worksheet xmlns="http://schemas.openxmlformats.org/spreadsheetml/2006/main" xmlns:r="http://schemas.openxmlformats.org/officeDocument/2006/relationships">
  <dimension ref="A2:F11"/>
  <sheetViews>
    <sheetView workbookViewId="0">
      <pane xSplit="2" ySplit="4" topLeftCell="C5" activePane="bottomRight" state="frozen"/>
      <selection pane="topRight" activeCell="C1" sqref="C1"/>
      <selection pane="bottomLeft" activeCell="A5" sqref="A5"/>
      <selection pane="bottomRight" activeCell="E2" sqref="E2"/>
    </sheetView>
  </sheetViews>
  <sheetFormatPr baseColWidth="10" defaultRowHeight="15"/>
  <cols>
    <col min="1" max="1" width="13.85546875" customWidth="1"/>
    <col min="2" max="2" width="20" customWidth="1"/>
    <col min="3" max="3" width="109.7109375" customWidth="1"/>
    <col min="5" max="5" width="109.7109375" customWidth="1"/>
    <col min="6" max="6" width="38" customWidth="1"/>
    <col min="8" max="8" width="11.5703125" customWidth="1"/>
    <col min="9" max="9" width="86" customWidth="1"/>
  </cols>
  <sheetData>
    <row r="2" spans="1:6" ht="18">
      <c r="C2" s="52" t="s">
        <v>123</v>
      </c>
      <c r="E2" s="69" t="s">
        <v>129</v>
      </c>
    </row>
    <row r="4" spans="1:6" ht="105" customHeight="1">
      <c r="A4" s="181" t="s">
        <v>99</v>
      </c>
      <c r="B4" s="182"/>
    </row>
    <row r="5" spans="1:6" ht="18">
      <c r="E5" s="77"/>
    </row>
    <row r="6" spans="1:6" ht="61.5">
      <c r="C6" s="9" t="s">
        <v>100</v>
      </c>
      <c r="E6" s="48" t="s">
        <v>101</v>
      </c>
    </row>
    <row r="7" spans="1:6" ht="15" customHeight="1">
      <c r="B7" s="78"/>
    </row>
    <row r="8" spans="1:6" ht="63">
      <c r="B8" s="78"/>
      <c r="C8" s="9" t="s">
        <v>112</v>
      </c>
      <c r="E8" s="9" t="s">
        <v>113</v>
      </c>
      <c r="F8" s="15"/>
    </row>
    <row r="9" spans="1:6">
      <c r="B9" s="75"/>
    </row>
    <row r="10" spans="1:6">
      <c r="B10" s="75"/>
    </row>
    <row r="11" spans="1:6" ht="15.75">
      <c r="A11" s="1" t="s">
        <v>0</v>
      </c>
    </row>
  </sheetData>
  <sheetProtection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7.xml><?xml version="1.0" encoding="utf-8"?>
<worksheet xmlns="http://schemas.openxmlformats.org/spreadsheetml/2006/main" xmlns:r="http://schemas.openxmlformats.org/officeDocument/2006/relationships">
  <dimension ref="A2:F30"/>
  <sheetViews>
    <sheetView workbookViewId="0">
      <pane xSplit="2" ySplit="4" topLeftCell="C20" activePane="bottomRight" state="frozen"/>
      <selection pane="topRight" activeCell="C1" sqref="C1"/>
      <selection pane="bottomLeft" activeCell="A5" sqref="A5"/>
      <selection pane="bottomRight" activeCell="A6" sqref="A6"/>
    </sheetView>
  </sheetViews>
  <sheetFormatPr baseColWidth="10" defaultRowHeight="15"/>
  <cols>
    <col min="2" max="2" width="20" customWidth="1"/>
    <col min="3" max="3" width="109.7109375" customWidth="1"/>
    <col min="5" max="5" width="109.7109375" customWidth="1"/>
    <col min="6" max="6" width="38" customWidth="1"/>
    <col min="8" max="8" width="11.5703125" customWidth="1"/>
    <col min="9" max="9" width="86" customWidth="1"/>
  </cols>
  <sheetData>
    <row r="2" spans="1:6" ht="18">
      <c r="C2" s="14" t="s">
        <v>123</v>
      </c>
      <c r="E2" s="13" t="s">
        <v>130</v>
      </c>
    </row>
    <row r="4" spans="1:6" ht="146.25" customHeight="1">
      <c r="A4" s="181" t="s">
        <v>52</v>
      </c>
      <c r="B4" s="182"/>
    </row>
    <row r="5" spans="1:6" ht="18">
      <c r="E5" s="77"/>
    </row>
    <row r="6" spans="1:6" ht="45">
      <c r="C6" s="48" t="s">
        <v>51</v>
      </c>
      <c r="E6" s="48" t="s">
        <v>50</v>
      </c>
    </row>
    <row r="7" spans="1:6" ht="15" customHeight="1">
      <c r="B7" s="78"/>
    </row>
    <row r="8" spans="1:6" ht="15.75">
      <c r="B8" s="78"/>
      <c r="C8" s="1"/>
    </row>
    <row r="9" spans="1:6" ht="18">
      <c r="B9" s="78"/>
      <c r="C9" s="72" t="s">
        <v>33</v>
      </c>
      <c r="E9" s="16"/>
    </row>
    <row r="10" spans="1:6" ht="15" customHeight="1">
      <c r="B10" s="78"/>
      <c r="C10" s="12"/>
    </row>
    <row r="11" spans="1:6" ht="15" customHeight="1">
      <c r="B11" s="78"/>
      <c r="C11" s="72" t="s">
        <v>39</v>
      </c>
      <c r="E11" s="12"/>
    </row>
    <row r="12" spans="1:6" ht="15" customHeight="1">
      <c r="B12" s="78"/>
      <c r="E12" s="49"/>
    </row>
    <row r="13" spans="1:6" ht="18">
      <c r="B13" s="78"/>
      <c r="E13" s="12"/>
      <c r="F13" s="15"/>
    </row>
    <row r="14" spans="1:6" ht="18">
      <c r="B14" s="78"/>
      <c r="E14" s="12"/>
      <c r="F14" s="15"/>
    </row>
    <row r="15" spans="1:6" ht="18">
      <c r="B15" s="78"/>
      <c r="E15" s="12"/>
      <c r="F15" s="15"/>
    </row>
    <row r="16" spans="1:6" ht="18">
      <c r="B16" s="78"/>
      <c r="E16" s="12"/>
      <c r="F16" s="15"/>
    </row>
    <row r="17" spans="1:6" ht="18">
      <c r="B17" s="78"/>
      <c r="E17" s="12"/>
      <c r="F17" s="15"/>
    </row>
    <row r="30" spans="1:6" ht="15.75">
      <c r="A30" s="1" t="s">
        <v>0</v>
      </c>
    </row>
  </sheetData>
  <sheetProtection password="CE28" sheet="1" objects="1" scenarios="1" formatCells="0" formatColumns="0" formatRows="0" insertColumns="0" insertRows="0" insertHyperlinks="0" deleteColumns="0" deleteRows="0" sort="0" autoFilter="0" pivotTables="0"/>
  <mergeCells count="1">
    <mergeCell ref="A4:B4"/>
  </mergeCells>
  <hyperlinks>
    <hyperlink ref="C9" location="'Num 1 241 E.T.'!A1" display="1. Para la renta líquida laboral y de pensiones:"/>
    <hyperlink ref="C11" location="'Num 2 241 E.T.'!A1" display="2. Para la renta líquida no laboral y de capital:"/>
  </hyperlinks>
  <pageMargins left="0.7" right="0.7" top="0.75" bottom="0.75" header="0.3" footer="0.3"/>
  <pageSetup paperSize="0" orientation="portrait" r:id="rId1"/>
  <drawing r:id="rId2"/>
</worksheet>
</file>

<file path=xl/worksheets/sheet8.xml><?xml version="1.0" encoding="utf-8"?>
<worksheet xmlns="http://schemas.openxmlformats.org/spreadsheetml/2006/main" xmlns:r="http://schemas.openxmlformats.org/officeDocument/2006/relationships">
  <dimension ref="B2:H20"/>
  <sheetViews>
    <sheetView topLeftCell="A10" workbookViewId="0"/>
  </sheetViews>
  <sheetFormatPr baseColWidth="10" defaultRowHeight="15"/>
  <cols>
    <col min="2" max="2" width="2.7109375" customWidth="1"/>
    <col min="6" max="6" width="43.140625" bestFit="1" customWidth="1"/>
    <col min="7" max="7" width="2.7109375" customWidth="1"/>
    <col min="258" max="258" width="2.7109375" customWidth="1"/>
    <col min="262" max="262" width="43.140625" bestFit="1" customWidth="1"/>
    <col min="263" max="263" width="2.7109375" customWidth="1"/>
    <col min="514" max="514" width="2.7109375" customWidth="1"/>
    <col min="518" max="518" width="43.140625" bestFit="1" customWidth="1"/>
    <col min="519" max="519" width="2.7109375" customWidth="1"/>
    <col min="770" max="770" width="2.7109375" customWidth="1"/>
    <col min="774" max="774" width="43.140625" bestFit="1" customWidth="1"/>
    <col min="775" max="775" width="2.7109375" customWidth="1"/>
    <col min="1026" max="1026" width="2.7109375" customWidth="1"/>
    <col min="1030" max="1030" width="43.140625" bestFit="1" customWidth="1"/>
    <col min="1031" max="1031" width="2.7109375" customWidth="1"/>
    <col min="1282" max="1282" width="2.7109375" customWidth="1"/>
    <col min="1286" max="1286" width="43.140625" bestFit="1" customWidth="1"/>
    <col min="1287" max="1287" width="2.7109375" customWidth="1"/>
    <col min="1538" max="1538" width="2.7109375" customWidth="1"/>
    <col min="1542" max="1542" width="43.140625" bestFit="1" customWidth="1"/>
    <col min="1543" max="1543" width="2.7109375" customWidth="1"/>
    <col min="1794" max="1794" width="2.7109375" customWidth="1"/>
    <col min="1798" max="1798" width="43.140625" bestFit="1" customWidth="1"/>
    <col min="1799" max="1799" width="2.7109375" customWidth="1"/>
    <col min="2050" max="2050" width="2.7109375" customWidth="1"/>
    <col min="2054" max="2054" width="43.140625" bestFit="1" customWidth="1"/>
    <col min="2055" max="2055" width="2.7109375" customWidth="1"/>
    <col min="2306" max="2306" width="2.7109375" customWidth="1"/>
    <col min="2310" max="2310" width="43.140625" bestFit="1" customWidth="1"/>
    <col min="2311" max="2311" width="2.7109375" customWidth="1"/>
    <col min="2562" max="2562" width="2.7109375" customWidth="1"/>
    <col min="2566" max="2566" width="43.140625" bestFit="1" customWidth="1"/>
    <col min="2567" max="2567" width="2.7109375" customWidth="1"/>
    <col min="2818" max="2818" width="2.7109375" customWidth="1"/>
    <col min="2822" max="2822" width="43.140625" bestFit="1" customWidth="1"/>
    <col min="2823" max="2823" width="2.7109375" customWidth="1"/>
    <col min="3074" max="3074" width="2.7109375" customWidth="1"/>
    <col min="3078" max="3078" width="43.140625" bestFit="1" customWidth="1"/>
    <col min="3079" max="3079" width="2.7109375" customWidth="1"/>
    <col min="3330" max="3330" width="2.7109375" customWidth="1"/>
    <col min="3334" max="3334" width="43.140625" bestFit="1" customWidth="1"/>
    <col min="3335" max="3335" width="2.7109375" customWidth="1"/>
    <col min="3586" max="3586" width="2.7109375" customWidth="1"/>
    <col min="3590" max="3590" width="43.140625" bestFit="1" customWidth="1"/>
    <col min="3591" max="3591" width="2.7109375" customWidth="1"/>
    <col min="3842" max="3842" width="2.7109375" customWidth="1"/>
    <col min="3846" max="3846" width="43.140625" bestFit="1" customWidth="1"/>
    <col min="3847" max="3847" width="2.7109375" customWidth="1"/>
    <col min="4098" max="4098" width="2.7109375" customWidth="1"/>
    <col min="4102" max="4102" width="43.140625" bestFit="1" customWidth="1"/>
    <col min="4103" max="4103" width="2.7109375" customWidth="1"/>
    <col min="4354" max="4354" width="2.7109375" customWidth="1"/>
    <col min="4358" max="4358" width="43.140625" bestFit="1" customWidth="1"/>
    <col min="4359" max="4359" width="2.7109375" customWidth="1"/>
    <col min="4610" max="4610" width="2.7109375" customWidth="1"/>
    <col min="4614" max="4614" width="43.140625" bestFit="1" customWidth="1"/>
    <col min="4615" max="4615" width="2.7109375" customWidth="1"/>
    <col min="4866" max="4866" width="2.7109375" customWidth="1"/>
    <col min="4870" max="4870" width="43.140625" bestFit="1" customWidth="1"/>
    <col min="4871" max="4871" width="2.7109375" customWidth="1"/>
    <col min="5122" max="5122" width="2.7109375" customWidth="1"/>
    <col min="5126" max="5126" width="43.140625" bestFit="1" customWidth="1"/>
    <col min="5127" max="5127" width="2.7109375" customWidth="1"/>
    <col min="5378" max="5378" width="2.7109375" customWidth="1"/>
    <col min="5382" max="5382" width="43.140625" bestFit="1" customWidth="1"/>
    <col min="5383" max="5383" width="2.7109375" customWidth="1"/>
    <col min="5634" max="5634" width="2.7109375" customWidth="1"/>
    <col min="5638" max="5638" width="43.140625" bestFit="1" customWidth="1"/>
    <col min="5639" max="5639" width="2.7109375" customWidth="1"/>
    <col min="5890" max="5890" width="2.7109375" customWidth="1"/>
    <col min="5894" max="5894" width="43.140625" bestFit="1" customWidth="1"/>
    <col min="5895" max="5895" width="2.7109375" customWidth="1"/>
    <col min="6146" max="6146" width="2.7109375" customWidth="1"/>
    <col min="6150" max="6150" width="43.140625" bestFit="1" customWidth="1"/>
    <col min="6151" max="6151" width="2.7109375" customWidth="1"/>
    <col min="6402" max="6402" width="2.7109375" customWidth="1"/>
    <col min="6406" max="6406" width="43.140625" bestFit="1" customWidth="1"/>
    <col min="6407" max="6407" width="2.7109375" customWidth="1"/>
    <col min="6658" max="6658" width="2.7109375" customWidth="1"/>
    <col min="6662" max="6662" width="43.140625" bestFit="1" customWidth="1"/>
    <col min="6663" max="6663" width="2.7109375" customWidth="1"/>
    <col min="6914" max="6914" width="2.7109375" customWidth="1"/>
    <col min="6918" max="6918" width="43.140625" bestFit="1" customWidth="1"/>
    <col min="6919" max="6919" width="2.7109375" customWidth="1"/>
    <col min="7170" max="7170" width="2.7109375" customWidth="1"/>
    <col min="7174" max="7174" width="43.140625" bestFit="1" customWidth="1"/>
    <col min="7175" max="7175" width="2.7109375" customWidth="1"/>
    <col min="7426" max="7426" width="2.7109375" customWidth="1"/>
    <col min="7430" max="7430" width="43.140625" bestFit="1" customWidth="1"/>
    <col min="7431" max="7431" width="2.7109375" customWidth="1"/>
    <col min="7682" max="7682" width="2.7109375" customWidth="1"/>
    <col min="7686" max="7686" width="43.140625" bestFit="1" customWidth="1"/>
    <col min="7687" max="7687" width="2.7109375" customWidth="1"/>
    <col min="7938" max="7938" width="2.7109375" customWidth="1"/>
    <col min="7942" max="7942" width="43.140625" bestFit="1" customWidth="1"/>
    <col min="7943" max="7943" width="2.7109375" customWidth="1"/>
    <col min="8194" max="8194" width="2.7109375" customWidth="1"/>
    <col min="8198" max="8198" width="43.140625" bestFit="1" customWidth="1"/>
    <col min="8199" max="8199" width="2.7109375" customWidth="1"/>
    <col min="8450" max="8450" width="2.7109375" customWidth="1"/>
    <col min="8454" max="8454" width="43.140625" bestFit="1" customWidth="1"/>
    <col min="8455" max="8455" width="2.7109375" customWidth="1"/>
    <col min="8706" max="8706" width="2.7109375" customWidth="1"/>
    <col min="8710" max="8710" width="43.140625" bestFit="1" customWidth="1"/>
    <col min="8711" max="8711" width="2.7109375" customWidth="1"/>
    <col min="8962" max="8962" width="2.7109375" customWidth="1"/>
    <col min="8966" max="8966" width="43.140625" bestFit="1" customWidth="1"/>
    <col min="8967" max="8967" width="2.7109375" customWidth="1"/>
    <col min="9218" max="9218" width="2.7109375" customWidth="1"/>
    <col min="9222" max="9222" width="43.140625" bestFit="1" customWidth="1"/>
    <col min="9223" max="9223" width="2.7109375" customWidth="1"/>
    <col min="9474" max="9474" width="2.7109375" customWidth="1"/>
    <col min="9478" max="9478" width="43.140625" bestFit="1" customWidth="1"/>
    <col min="9479" max="9479" width="2.7109375" customWidth="1"/>
    <col min="9730" max="9730" width="2.7109375" customWidth="1"/>
    <col min="9734" max="9734" width="43.140625" bestFit="1" customWidth="1"/>
    <col min="9735" max="9735" width="2.7109375" customWidth="1"/>
    <col min="9986" max="9986" width="2.7109375" customWidth="1"/>
    <col min="9990" max="9990" width="43.140625" bestFit="1" customWidth="1"/>
    <col min="9991" max="9991" width="2.7109375" customWidth="1"/>
    <col min="10242" max="10242" width="2.7109375" customWidth="1"/>
    <col min="10246" max="10246" width="43.140625" bestFit="1" customWidth="1"/>
    <col min="10247" max="10247" width="2.7109375" customWidth="1"/>
    <col min="10498" max="10498" width="2.7109375" customWidth="1"/>
    <col min="10502" max="10502" width="43.140625" bestFit="1" customWidth="1"/>
    <col min="10503" max="10503" width="2.7109375" customWidth="1"/>
    <col min="10754" max="10754" width="2.7109375" customWidth="1"/>
    <col min="10758" max="10758" width="43.140625" bestFit="1" customWidth="1"/>
    <col min="10759" max="10759" width="2.7109375" customWidth="1"/>
    <col min="11010" max="11010" width="2.7109375" customWidth="1"/>
    <col min="11014" max="11014" width="43.140625" bestFit="1" customWidth="1"/>
    <col min="11015" max="11015" width="2.7109375" customWidth="1"/>
    <col min="11266" max="11266" width="2.7109375" customWidth="1"/>
    <col min="11270" max="11270" width="43.140625" bestFit="1" customWidth="1"/>
    <col min="11271" max="11271" width="2.7109375" customWidth="1"/>
    <col min="11522" max="11522" width="2.7109375" customWidth="1"/>
    <col min="11526" max="11526" width="43.140625" bestFit="1" customWidth="1"/>
    <col min="11527" max="11527" width="2.7109375" customWidth="1"/>
    <col min="11778" max="11778" width="2.7109375" customWidth="1"/>
    <col min="11782" max="11782" width="43.140625" bestFit="1" customWidth="1"/>
    <col min="11783" max="11783" width="2.7109375" customWidth="1"/>
    <col min="12034" max="12034" width="2.7109375" customWidth="1"/>
    <col min="12038" max="12038" width="43.140625" bestFit="1" customWidth="1"/>
    <col min="12039" max="12039" width="2.7109375" customWidth="1"/>
    <col min="12290" max="12290" width="2.7109375" customWidth="1"/>
    <col min="12294" max="12294" width="43.140625" bestFit="1" customWidth="1"/>
    <col min="12295" max="12295" width="2.7109375" customWidth="1"/>
    <col min="12546" max="12546" width="2.7109375" customWidth="1"/>
    <col min="12550" max="12550" width="43.140625" bestFit="1" customWidth="1"/>
    <col min="12551" max="12551" width="2.7109375" customWidth="1"/>
    <col min="12802" max="12802" width="2.7109375" customWidth="1"/>
    <col min="12806" max="12806" width="43.140625" bestFit="1" customWidth="1"/>
    <col min="12807" max="12807" width="2.7109375" customWidth="1"/>
    <col min="13058" max="13058" width="2.7109375" customWidth="1"/>
    <col min="13062" max="13062" width="43.140625" bestFit="1" customWidth="1"/>
    <col min="13063" max="13063" width="2.7109375" customWidth="1"/>
    <col min="13314" max="13314" width="2.7109375" customWidth="1"/>
    <col min="13318" max="13318" width="43.140625" bestFit="1" customWidth="1"/>
    <col min="13319" max="13319" width="2.7109375" customWidth="1"/>
    <col min="13570" max="13570" width="2.7109375" customWidth="1"/>
    <col min="13574" max="13574" width="43.140625" bestFit="1" customWidth="1"/>
    <col min="13575" max="13575" width="2.7109375" customWidth="1"/>
    <col min="13826" max="13826" width="2.7109375" customWidth="1"/>
    <col min="13830" max="13830" width="43.140625" bestFit="1" customWidth="1"/>
    <col min="13831" max="13831" width="2.7109375" customWidth="1"/>
    <col min="14082" max="14082" width="2.7109375" customWidth="1"/>
    <col min="14086" max="14086" width="43.140625" bestFit="1" customWidth="1"/>
    <col min="14087" max="14087" width="2.7109375" customWidth="1"/>
    <col min="14338" max="14338" width="2.7109375" customWidth="1"/>
    <col min="14342" max="14342" width="43.140625" bestFit="1" customWidth="1"/>
    <col min="14343" max="14343" width="2.7109375" customWidth="1"/>
    <col min="14594" max="14594" width="2.7109375" customWidth="1"/>
    <col min="14598" max="14598" width="43.140625" bestFit="1" customWidth="1"/>
    <col min="14599" max="14599" width="2.7109375" customWidth="1"/>
    <col min="14850" max="14850" width="2.7109375" customWidth="1"/>
    <col min="14854" max="14854" width="43.140625" bestFit="1" customWidth="1"/>
    <col min="14855" max="14855" width="2.7109375" customWidth="1"/>
    <col min="15106" max="15106" width="2.7109375" customWidth="1"/>
    <col min="15110" max="15110" width="43.140625" bestFit="1" customWidth="1"/>
    <col min="15111" max="15111" width="2.7109375" customWidth="1"/>
    <col min="15362" max="15362" width="2.7109375" customWidth="1"/>
    <col min="15366" max="15366" width="43.140625" bestFit="1" customWidth="1"/>
    <col min="15367" max="15367" width="2.7109375" customWidth="1"/>
    <col min="15618" max="15618" width="2.7109375" customWidth="1"/>
    <col min="15622" max="15622" width="43.140625" bestFit="1" customWidth="1"/>
    <col min="15623" max="15623" width="2.7109375" customWidth="1"/>
    <col min="15874" max="15874" width="2.7109375" customWidth="1"/>
    <col min="15878" max="15878" width="43.140625" bestFit="1" customWidth="1"/>
    <col min="15879" max="15879" width="2.7109375" customWidth="1"/>
    <col min="16130" max="16130" width="2.7109375" customWidth="1"/>
    <col min="16134" max="16134" width="43.140625" bestFit="1" customWidth="1"/>
    <col min="16135" max="16135" width="2.7109375" customWidth="1"/>
  </cols>
  <sheetData>
    <row r="2" spans="2:8" ht="18">
      <c r="B2" s="183" t="s">
        <v>34</v>
      </c>
      <c r="C2" s="183"/>
      <c r="D2" s="183"/>
      <c r="E2" s="183"/>
      <c r="F2" s="183"/>
      <c r="G2" s="2"/>
      <c r="H2" s="2"/>
    </row>
    <row r="3" spans="2:8" ht="18">
      <c r="B3" s="183" t="s">
        <v>35</v>
      </c>
      <c r="C3" s="183"/>
      <c r="D3" s="183"/>
      <c r="E3" s="183"/>
      <c r="F3" s="183"/>
      <c r="G3" s="2"/>
      <c r="H3" s="2"/>
    </row>
    <row r="4" spans="2:8" ht="18">
      <c r="B4" s="8"/>
      <c r="C4" s="8"/>
      <c r="D4" s="8"/>
      <c r="E4" s="8"/>
      <c r="F4" s="8"/>
      <c r="G4" s="8"/>
      <c r="H4" s="8"/>
    </row>
    <row r="5" spans="2:8" ht="18">
      <c r="B5" s="8"/>
      <c r="C5" s="24" t="s">
        <v>36</v>
      </c>
      <c r="D5" s="8"/>
      <c r="E5" s="8"/>
      <c r="F5" s="8"/>
      <c r="G5" s="8"/>
      <c r="H5" s="8"/>
    </row>
    <row r="6" spans="2:8" ht="18">
      <c r="B6" s="8"/>
      <c r="C6" s="8"/>
      <c r="D6" s="8"/>
      <c r="E6" s="8"/>
      <c r="F6" s="8"/>
      <c r="G6" s="8"/>
      <c r="H6" s="8"/>
    </row>
    <row r="7" spans="2:8" ht="18">
      <c r="B7" s="25"/>
      <c r="C7" s="26"/>
      <c r="D7" s="26"/>
      <c r="E7" s="26"/>
      <c r="F7" s="26"/>
      <c r="G7" s="27"/>
      <c r="H7" s="8"/>
    </row>
    <row r="8" spans="2:8" ht="82.9" customHeight="1">
      <c r="B8" s="28"/>
      <c r="C8" s="184" t="s">
        <v>17</v>
      </c>
      <c r="D8" s="184"/>
      <c r="E8" s="184"/>
      <c r="F8" s="184"/>
      <c r="G8" s="29"/>
      <c r="H8" s="30"/>
    </row>
    <row r="9" spans="2:8" ht="18">
      <c r="B9" s="28"/>
      <c r="C9" s="17"/>
      <c r="D9" s="17"/>
      <c r="E9" s="17"/>
      <c r="F9" s="17"/>
      <c r="G9" s="29"/>
      <c r="H9" s="31"/>
    </row>
    <row r="10" spans="2:8" ht="18">
      <c r="B10" s="28"/>
      <c r="C10" s="18" t="s">
        <v>18</v>
      </c>
      <c r="D10" s="19"/>
      <c r="E10" s="19"/>
      <c r="F10" s="19"/>
      <c r="G10" s="32"/>
      <c r="H10" s="8"/>
    </row>
    <row r="11" spans="2:8" ht="18">
      <c r="B11" s="28"/>
      <c r="C11" s="19"/>
      <c r="D11" s="19"/>
      <c r="E11" s="19"/>
      <c r="F11" s="19"/>
      <c r="G11" s="32"/>
      <c r="H11" s="8"/>
    </row>
    <row r="12" spans="2:8" ht="18">
      <c r="B12" s="28"/>
      <c r="C12" s="185" t="s">
        <v>19</v>
      </c>
      <c r="D12" s="185"/>
      <c r="E12" s="185" t="s">
        <v>20</v>
      </c>
      <c r="F12" s="185" t="s">
        <v>21</v>
      </c>
      <c r="G12" s="32"/>
      <c r="H12" s="8"/>
    </row>
    <row r="13" spans="2:8" ht="18">
      <c r="B13" s="28"/>
      <c r="C13" s="20" t="s">
        <v>22</v>
      </c>
      <c r="D13" s="20" t="s">
        <v>23</v>
      </c>
      <c r="E13" s="185"/>
      <c r="F13" s="185"/>
      <c r="G13" s="32"/>
      <c r="H13" s="8"/>
    </row>
    <row r="14" spans="2:8" ht="18">
      <c r="B14" s="28"/>
      <c r="C14" s="21" t="s">
        <v>24</v>
      </c>
      <c r="D14" s="33">
        <v>1090</v>
      </c>
      <c r="E14" s="22">
        <v>0</v>
      </c>
      <c r="F14" s="23" t="s">
        <v>25</v>
      </c>
      <c r="G14" s="32"/>
      <c r="H14" s="8"/>
    </row>
    <row r="15" spans="2:8" ht="30">
      <c r="B15" s="28"/>
      <c r="C15" s="21" t="s">
        <v>26</v>
      </c>
      <c r="D15" s="33">
        <v>1700</v>
      </c>
      <c r="E15" s="22">
        <v>0.19</v>
      </c>
      <c r="F15" s="21" t="s">
        <v>27</v>
      </c>
      <c r="G15" s="32"/>
      <c r="H15" s="8"/>
    </row>
    <row r="16" spans="2:8" ht="30">
      <c r="B16" s="28"/>
      <c r="C16" s="21" t="s">
        <v>28</v>
      </c>
      <c r="D16" s="33">
        <v>4100</v>
      </c>
      <c r="E16" s="22">
        <v>0.28000000000000003</v>
      </c>
      <c r="F16" s="21" t="s">
        <v>29</v>
      </c>
      <c r="G16" s="32"/>
      <c r="H16" s="8"/>
    </row>
    <row r="17" spans="2:8" ht="30">
      <c r="B17" s="28"/>
      <c r="C17" s="21" t="s">
        <v>30</v>
      </c>
      <c r="D17" s="33" t="s">
        <v>31</v>
      </c>
      <c r="E17" s="22">
        <v>0.33</v>
      </c>
      <c r="F17" s="21" t="s">
        <v>32</v>
      </c>
      <c r="G17" s="32"/>
      <c r="H17" s="8"/>
    </row>
    <row r="18" spans="2:8" ht="18">
      <c r="B18" s="34"/>
      <c r="C18" s="35"/>
      <c r="D18" s="35"/>
      <c r="E18" s="35"/>
      <c r="F18" s="35"/>
      <c r="G18" s="36"/>
      <c r="H18" s="8"/>
    </row>
    <row r="19" spans="2:8" ht="18">
      <c r="B19" s="8"/>
      <c r="C19" s="8"/>
      <c r="D19" s="8"/>
      <c r="E19" s="8"/>
      <c r="F19" s="8"/>
      <c r="G19" s="8"/>
      <c r="H19" s="8"/>
    </row>
    <row r="20" spans="2:8" ht="15.75">
      <c r="D20" s="37" t="s">
        <v>37</v>
      </c>
      <c r="E20" s="1"/>
      <c r="F20" s="1"/>
      <c r="G20" s="1"/>
      <c r="H20" s="1"/>
    </row>
  </sheetData>
  <sheetProtection password="CE28" sheet="1" objects="1" scenarios="1" formatCells="0" formatColumns="0" formatRows="0" insertColumns="0" insertRows="0" insertHyperlinks="0" deleteColumns="0" deleteRows="0" sort="0" autoFilter="0" pivotTables="0"/>
  <mergeCells count="6">
    <mergeCell ref="B2:F2"/>
    <mergeCell ref="B3:F3"/>
    <mergeCell ref="C8:F8"/>
    <mergeCell ref="C12:D12"/>
    <mergeCell ref="E12:E13"/>
    <mergeCell ref="F12:F13"/>
  </mergeCells>
  <pageMargins left="0.7" right="0.7" top="0.75" bottom="0.75" header="0.3" footer="0.3"/>
  <pageSetup paperSize="0" orientation="portrait" r:id="rId1"/>
  <drawing r:id="rId2"/>
</worksheet>
</file>

<file path=xl/worksheets/sheet9.xml><?xml version="1.0" encoding="utf-8"?>
<worksheet xmlns="http://schemas.openxmlformats.org/spreadsheetml/2006/main" xmlns:r="http://schemas.openxmlformats.org/officeDocument/2006/relationships">
  <dimension ref="B2:M22"/>
  <sheetViews>
    <sheetView topLeftCell="A10" workbookViewId="0"/>
  </sheetViews>
  <sheetFormatPr baseColWidth="10" defaultRowHeight="15"/>
  <cols>
    <col min="2" max="2" width="2.7109375" customWidth="1"/>
    <col min="6" max="6" width="43.140625" bestFit="1" customWidth="1"/>
    <col min="7" max="7" width="2.7109375" customWidth="1"/>
    <col min="258" max="258" width="2.7109375" customWidth="1"/>
    <col min="262" max="262" width="43.140625" bestFit="1" customWidth="1"/>
    <col min="263" max="263" width="2.7109375" customWidth="1"/>
    <col min="514" max="514" width="2.7109375" customWidth="1"/>
    <col min="518" max="518" width="43.140625" bestFit="1" customWidth="1"/>
    <col min="519" max="519" width="2.7109375" customWidth="1"/>
    <col min="770" max="770" width="2.7109375" customWidth="1"/>
    <col min="774" max="774" width="43.140625" bestFit="1" customWidth="1"/>
    <col min="775" max="775" width="2.7109375" customWidth="1"/>
    <col min="1026" max="1026" width="2.7109375" customWidth="1"/>
    <col min="1030" max="1030" width="43.140625" bestFit="1" customWidth="1"/>
    <col min="1031" max="1031" width="2.7109375" customWidth="1"/>
    <col min="1282" max="1282" width="2.7109375" customWidth="1"/>
    <col min="1286" max="1286" width="43.140625" bestFit="1" customWidth="1"/>
    <col min="1287" max="1287" width="2.7109375" customWidth="1"/>
    <col min="1538" max="1538" width="2.7109375" customWidth="1"/>
    <col min="1542" max="1542" width="43.140625" bestFit="1" customWidth="1"/>
    <col min="1543" max="1543" width="2.7109375" customWidth="1"/>
    <col min="1794" max="1794" width="2.7109375" customWidth="1"/>
    <col min="1798" max="1798" width="43.140625" bestFit="1" customWidth="1"/>
    <col min="1799" max="1799" width="2.7109375" customWidth="1"/>
    <col min="2050" max="2050" width="2.7109375" customWidth="1"/>
    <col min="2054" max="2054" width="43.140625" bestFit="1" customWidth="1"/>
    <col min="2055" max="2055" width="2.7109375" customWidth="1"/>
    <col min="2306" max="2306" width="2.7109375" customWidth="1"/>
    <col min="2310" max="2310" width="43.140625" bestFit="1" customWidth="1"/>
    <col min="2311" max="2311" width="2.7109375" customWidth="1"/>
    <col min="2562" max="2562" width="2.7109375" customWidth="1"/>
    <col min="2566" max="2566" width="43.140625" bestFit="1" customWidth="1"/>
    <col min="2567" max="2567" width="2.7109375" customWidth="1"/>
    <col min="2818" max="2818" width="2.7109375" customWidth="1"/>
    <col min="2822" max="2822" width="43.140625" bestFit="1" customWidth="1"/>
    <col min="2823" max="2823" width="2.7109375" customWidth="1"/>
    <col min="3074" max="3074" width="2.7109375" customWidth="1"/>
    <col min="3078" max="3078" width="43.140625" bestFit="1" customWidth="1"/>
    <col min="3079" max="3079" width="2.7109375" customWidth="1"/>
    <col min="3330" max="3330" width="2.7109375" customWidth="1"/>
    <col min="3334" max="3334" width="43.140625" bestFit="1" customWidth="1"/>
    <col min="3335" max="3335" width="2.7109375" customWidth="1"/>
    <col min="3586" max="3586" width="2.7109375" customWidth="1"/>
    <col min="3590" max="3590" width="43.140625" bestFit="1" customWidth="1"/>
    <col min="3591" max="3591" width="2.7109375" customWidth="1"/>
    <col min="3842" max="3842" width="2.7109375" customWidth="1"/>
    <col min="3846" max="3846" width="43.140625" bestFit="1" customWidth="1"/>
    <col min="3847" max="3847" width="2.7109375" customWidth="1"/>
    <col min="4098" max="4098" width="2.7109375" customWidth="1"/>
    <col min="4102" max="4102" width="43.140625" bestFit="1" customWidth="1"/>
    <col min="4103" max="4103" width="2.7109375" customWidth="1"/>
    <col min="4354" max="4354" width="2.7109375" customWidth="1"/>
    <col min="4358" max="4358" width="43.140625" bestFit="1" customWidth="1"/>
    <col min="4359" max="4359" width="2.7109375" customWidth="1"/>
    <col min="4610" max="4610" width="2.7109375" customWidth="1"/>
    <col min="4614" max="4614" width="43.140625" bestFit="1" customWidth="1"/>
    <col min="4615" max="4615" width="2.7109375" customWidth="1"/>
    <col min="4866" max="4866" width="2.7109375" customWidth="1"/>
    <col min="4870" max="4870" width="43.140625" bestFit="1" customWidth="1"/>
    <col min="4871" max="4871" width="2.7109375" customWidth="1"/>
    <col min="5122" max="5122" width="2.7109375" customWidth="1"/>
    <col min="5126" max="5126" width="43.140625" bestFit="1" customWidth="1"/>
    <col min="5127" max="5127" width="2.7109375" customWidth="1"/>
    <col min="5378" max="5378" width="2.7109375" customWidth="1"/>
    <col min="5382" max="5382" width="43.140625" bestFit="1" customWidth="1"/>
    <col min="5383" max="5383" width="2.7109375" customWidth="1"/>
    <col min="5634" max="5634" width="2.7109375" customWidth="1"/>
    <col min="5638" max="5638" width="43.140625" bestFit="1" customWidth="1"/>
    <col min="5639" max="5639" width="2.7109375" customWidth="1"/>
    <col min="5890" max="5890" width="2.7109375" customWidth="1"/>
    <col min="5894" max="5894" width="43.140625" bestFit="1" customWidth="1"/>
    <col min="5895" max="5895" width="2.7109375" customWidth="1"/>
    <col min="6146" max="6146" width="2.7109375" customWidth="1"/>
    <col min="6150" max="6150" width="43.140625" bestFit="1" customWidth="1"/>
    <col min="6151" max="6151" width="2.7109375" customWidth="1"/>
    <col min="6402" max="6402" width="2.7109375" customWidth="1"/>
    <col min="6406" max="6406" width="43.140625" bestFit="1" customWidth="1"/>
    <col min="6407" max="6407" width="2.7109375" customWidth="1"/>
    <col min="6658" max="6658" width="2.7109375" customWidth="1"/>
    <col min="6662" max="6662" width="43.140625" bestFit="1" customWidth="1"/>
    <col min="6663" max="6663" width="2.7109375" customWidth="1"/>
    <col min="6914" max="6914" width="2.7109375" customWidth="1"/>
    <col min="6918" max="6918" width="43.140625" bestFit="1" customWidth="1"/>
    <col min="6919" max="6919" width="2.7109375" customWidth="1"/>
    <col min="7170" max="7170" width="2.7109375" customWidth="1"/>
    <col min="7174" max="7174" width="43.140625" bestFit="1" customWidth="1"/>
    <col min="7175" max="7175" width="2.7109375" customWidth="1"/>
    <col min="7426" max="7426" width="2.7109375" customWidth="1"/>
    <col min="7430" max="7430" width="43.140625" bestFit="1" customWidth="1"/>
    <col min="7431" max="7431" width="2.7109375" customWidth="1"/>
    <col min="7682" max="7682" width="2.7109375" customWidth="1"/>
    <col min="7686" max="7686" width="43.140625" bestFit="1" customWidth="1"/>
    <col min="7687" max="7687" width="2.7109375" customWidth="1"/>
    <col min="7938" max="7938" width="2.7109375" customWidth="1"/>
    <col min="7942" max="7942" width="43.140625" bestFit="1" customWidth="1"/>
    <col min="7943" max="7943" width="2.7109375" customWidth="1"/>
    <col min="8194" max="8194" width="2.7109375" customWidth="1"/>
    <col min="8198" max="8198" width="43.140625" bestFit="1" customWidth="1"/>
    <col min="8199" max="8199" width="2.7109375" customWidth="1"/>
    <col min="8450" max="8450" width="2.7109375" customWidth="1"/>
    <col min="8454" max="8454" width="43.140625" bestFit="1" customWidth="1"/>
    <col min="8455" max="8455" width="2.7109375" customWidth="1"/>
    <col min="8706" max="8706" width="2.7109375" customWidth="1"/>
    <col min="8710" max="8710" width="43.140625" bestFit="1" customWidth="1"/>
    <col min="8711" max="8711" width="2.7109375" customWidth="1"/>
    <col min="8962" max="8962" width="2.7109375" customWidth="1"/>
    <col min="8966" max="8966" width="43.140625" bestFit="1" customWidth="1"/>
    <col min="8967" max="8967" width="2.7109375" customWidth="1"/>
    <col min="9218" max="9218" width="2.7109375" customWidth="1"/>
    <col min="9222" max="9222" width="43.140625" bestFit="1" customWidth="1"/>
    <col min="9223" max="9223" width="2.7109375" customWidth="1"/>
    <col min="9474" max="9474" width="2.7109375" customWidth="1"/>
    <col min="9478" max="9478" width="43.140625" bestFit="1" customWidth="1"/>
    <col min="9479" max="9479" width="2.7109375" customWidth="1"/>
    <col min="9730" max="9730" width="2.7109375" customWidth="1"/>
    <col min="9734" max="9734" width="43.140625" bestFit="1" customWidth="1"/>
    <col min="9735" max="9735" width="2.7109375" customWidth="1"/>
    <col min="9986" max="9986" width="2.7109375" customWidth="1"/>
    <col min="9990" max="9990" width="43.140625" bestFit="1" customWidth="1"/>
    <col min="9991" max="9991" width="2.7109375" customWidth="1"/>
    <col min="10242" max="10242" width="2.7109375" customWidth="1"/>
    <col min="10246" max="10246" width="43.140625" bestFit="1" customWidth="1"/>
    <col min="10247" max="10247" width="2.7109375" customWidth="1"/>
    <col min="10498" max="10498" width="2.7109375" customWidth="1"/>
    <col min="10502" max="10502" width="43.140625" bestFit="1" customWidth="1"/>
    <col min="10503" max="10503" width="2.7109375" customWidth="1"/>
    <col min="10754" max="10754" width="2.7109375" customWidth="1"/>
    <col min="10758" max="10758" width="43.140625" bestFit="1" customWidth="1"/>
    <col min="10759" max="10759" width="2.7109375" customWidth="1"/>
    <col min="11010" max="11010" width="2.7109375" customWidth="1"/>
    <col min="11014" max="11014" width="43.140625" bestFit="1" customWidth="1"/>
    <col min="11015" max="11015" width="2.7109375" customWidth="1"/>
    <col min="11266" max="11266" width="2.7109375" customWidth="1"/>
    <col min="11270" max="11270" width="43.140625" bestFit="1" customWidth="1"/>
    <col min="11271" max="11271" width="2.7109375" customWidth="1"/>
    <col min="11522" max="11522" width="2.7109375" customWidth="1"/>
    <col min="11526" max="11526" width="43.140625" bestFit="1" customWidth="1"/>
    <col min="11527" max="11527" width="2.7109375" customWidth="1"/>
    <col min="11778" max="11778" width="2.7109375" customWidth="1"/>
    <col min="11782" max="11782" width="43.140625" bestFit="1" customWidth="1"/>
    <col min="11783" max="11783" width="2.7109375" customWidth="1"/>
    <col min="12034" max="12034" width="2.7109375" customWidth="1"/>
    <col min="12038" max="12038" width="43.140625" bestFit="1" customWidth="1"/>
    <col min="12039" max="12039" width="2.7109375" customWidth="1"/>
    <col min="12290" max="12290" width="2.7109375" customWidth="1"/>
    <col min="12294" max="12294" width="43.140625" bestFit="1" customWidth="1"/>
    <col min="12295" max="12295" width="2.7109375" customWidth="1"/>
    <col min="12546" max="12546" width="2.7109375" customWidth="1"/>
    <col min="12550" max="12550" width="43.140625" bestFit="1" customWidth="1"/>
    <col min="12551" max="12551" width="2.7109375" customWidth="1"/>
    <col min="12802" max="12802" width="2.7109375" customWidth="1"/>
    <col min="12806" max="12806" width="43.140625" bestFit="1" customWidth="1"/>
    <col min="12807" max="12807" width="2.7109375" customWidth="1"/>
    <col min="13058" max="13058" width="2.7109375" customWidth="1"/>
    <col min="13062" max="13062" width="43.140625" bestFit="1" customWidth="1"/>
    <col min="13063" max="13063" width="2.7109375" customWidth="1"/>
    <col min="13314" max="13314" width="2.7109375" customWidth="1"/>
    <col min="13318" max="13318" width="43.140625" bestFit="1" customWidth="1"/>
    <col min="13319" max="13319" width="2.7109375" customWidth="1"/>
    <col min="13570" max="13570" width="2.7109375" customWidth="1"/>
    <col min="13574" max="13574" width="43.140625" bestFit="1" customWidth="1"/>
    <col min="13575" max="13575" width="2.7109375" customWidth="1"/>
    <col min="13826" max="13826" width="2.7109375" customWidth="1"/>
    <col min="13830" max="13830" width="43.140625" bestFit="1" customWidth="1"/>
    <col min="13831" max="13831" width="2.7109375" customWidth="1"/>
    <col min="14082" max="14082" width="2.7109375" customWidth="1"/>
    <col min="14086" max="14086" width="43.140625" bestFit="1" customWidth="1"/>
    <col min="14087" max="14087" width="2.7109375" customWidth="1"/>
    <col min="14338" max="14338" width="2.7109375" customWidth="1"/>
    <col min="14342" max="14342" width="43.140625" bestFit="1" customWidth="1"/>
    <col min="14343" max="14343" width="2.7109375" customWidth="1"/>
    <col min="14594" max="14594" width="2.7109375" customWidth="1"/>
    <col min="14598" max="14598" width="43.140625" bestFit="1" customWidth="1"/>
    <col min="14599" max="14599" width="2.7109375" customWidth="1"/>
    <col min="14850" max="14850" width="2.7109375" customWidth="1"/>
    <col min="14854" max="14854" width="43.140625" bestFit="1" customWidth="1"/>
    <col min="14855" max="14855" width="2.7109375" customWidth="1"/>
    <col min="15106" max="15106" width="2.7109375" customWidth="1"/>
    <col min="15110" max="15110" width="43.140625" bestFit="1" customWidth="1"/>
    <col min="15111" max="15111" width="2.7109375" customWidth="1"/>
    <col min="15362" max="15362" width="2.7109375" customWidth="1"/>
    <col min="15366" max="15366" width="43.140625" bestFit="1" customWidth="1"/>
    <col min="15367" max="15367" width="2.7109375" customWidth="1"/>
    <col min="15618" max="15618" width="2.7109375" customWidth="1"/>
    <col min="15622" max="15622" width="43.140625" bestFit="1" customWidth="1"/>
    <col min="15623" max="15623" width="2.7109375" customWidth="1"/>
    <col min="15874" max="15874" width="2.7109375" customWidth="1"/>
    <col min="15878" max="15878" width="43.140625" bestFit="1" customWidth="1"/>
    <col min="15879" max="15879" width="2.7109375" customWidth="1"/>
    <col min="16130" max="16130" width="2.7109375" customWidth="1"/>
    <col min="16134" max="16134" width="43.140625" bestFit="1" customWidth="1"/>
    <col min="16135" max="16135" width="2.7109375" customWidth="1"/>
  </cols>
  <sheetData>
    <row r="2" spans="2:13" ht="18">
      <c r="B2" s="183" t="s">
        <v>34</v>
      </c>
      <c r="C2" s="183"/>
      <c r="D2" s="183"/>
      <c r="E2" s="183"/>
      <c r="F2" s="183"/>
      <c r="G2" s="2"/>
      <c r="H2" s="2"/>
      <c r="I2" s="2"/>
      <c r="J2" s="2"/>
      <c r="K2" s="2"/>
      <c r="L2" s="2"/>
      <c r="M2" s="2"/>
    </row>
    <row r="3" spans="2:13" ht="18">
      <c r="B3" s="183" t="s">
        <v>38</v>
      </c>
      <c r="C3" s="183"/>
      <c r="D3" s="183"/>
      <c r="E3" s="183"/>
      <c r="F3" s="183"/>
      <c r="G3" s="2"/>
      <c r="H3" s="2"/>
      <c r="I3" s="2"/>
      <c r="J3" s="2"/>
      <c r="K3" s="2"/>
      <c r="L3" s="2"/>
      <c r="M3" s="2"/>
    </row>
    <row r="4" spans="2:13" ht="18">
      <c r="B4" s="8"/>
      <c r="C4" s="8"/>
      <c r="D4" s="8"/>
      <c r="E4" s="8"/>
      <c r="F4" s="8"/>
      <c r="G4" s="8"/>
      <c r="H4" s="8"/>
      <c r="I4" s="8"/>
      <c r="J4" s="8"/>
      <c r="K4" s="8"/>
      <c r="L4" s="8"/>
      <c r="M4" s="8"/>
    </row>
    <row r="5" spans="2:13" ht="18">
      <c r="B5" s="8"/>
      <c r="C5" s="24" t="s">
        <v>36</v>
      </c>
      <c r="D5" s="8"/>
      <c r="E5" s="8"/>
      <c r="F5" s="8"/>
      <c r="G5" s="8"/>
      <c r="H5" s="8"/>
      <c r="I5" s="8"/>
      <c r="J5" s="8"/>
      <c r="K5" s="8"/>
      <c r="L5" s="8"/>
      <c r="M5" s="8"/>
    </row>
    <row r="6" spans="2:13" ht="18">
      <c r="B6" s="8"/>
      <c r="C6" s="8"/>
      <c r="D6" s="8"/>
      <c r="E6" s="8"/>
      <c r="F6" s="8"/>
      <c r="G6" s="8"/>
      <c r="H6" s="8"/>
      <c r="I6" s="8"/>
      <c r="J6" s="8"/>
      <c r="K6" s="8"/>
      <c r="L6" s="8"/>
      <c r="M6" s="8"/>
    </row>
    <row r="7" spans="2:13" ht="18">
      <c r="B7" s="25"/>
      <c r="C7" s="26"/>
      <c r="D7" s="26"/>
      <c r="E7" s="26"/>
      <c r="F7" s="26"/>
      <c r="G7" s="27"/>
      <c r="H7" s="8"/>
      <c r="I7" s="8"/>
      <c r="J7" s="8"/>
      <c r="K7" s="8"/>
      <c r="L7" s="8"/>
      <c r="M7" s="8"/>
    </row>
    <row r="8" spans="2:13" ht="82.9" customHeight="1">
      <c r="B8" s="28"/>
      <c r="C8" s="184" t="s">
        <v>17</v>
      </c>
      <c r="D8" s="184"/>
      <c r="E8" s="184"/>
      <c r="F8" s="184"/>
      <c r="G8" s="29"/>
      <c r="H8" s="31"/>
      <c r="I8" s="31"/>
      <c r="J8" s="31"/>
      <c r="K8" s="31"/>
      <c r="L8" s="8"/>
      <c r="M8" s="8"/>
    </row>
    <row r="9" spans="2:13" ht="18">
      <c r="B9" s="28"/>
      <c r="C9" s="17"/>
      <c r="D9" s="17"/>
      <c r="E9" s="17"/>
      <c r="F9" s="17"/>
      <c r="G9" s="29"/>
      <c r="H9" s="31"/>
      <c r="I9" s="31"/>
      <c r="J9" s="31"/>
      <c r="K9" s="31"/>
      <c r="L9" s="8"/>
      <c r="M9" s="8"/>
    </row>
    <row r="10" spans="2:13" ht="18">
      <c r="B10" s="28"/>
      <c r="C10" s="38" t="s">
        <v>39</v>
      </c>
      <c r="D10" s="19"/>
      <c r="E10" s="19"/>
      <c r="F10" s="19"/>
      <c r="G10" s="32"/>
      <c r="H10" s="8"/>
      <c r="I10" s="8"/>
      <c r="J10" s="8"/>
      <c r="K10" s="8"/>
      <c r="L10" s="8"/>
      <c r="M10" s="8"/>
    </row>
    <row r="11" spans="2:13" ht="18">
      <c r="B11" s="28"/>
      <c r="C11" s="19"/>
      <c r="D11" s="19"/>
      <c r="E11" s="19"/>
      <c r="F11" s="19"/>
      <c r="G11" s="32"/>
      <c r="H11" s="8"/>
      <c r="I11" s="8"/>
      <c r="J11" s="8"/>
      <c r="K11" s="8"/>
      <c r="L11" s="8"/>
      <c r="M11" s="8"/>
    </row>
    <row r="12" spans="2:13" ht="18">
      <c r="B12" s="28"/>
      <c r="C12" s="186" t="s">
        <v>19</v>
      </c>
      <c r="D12" s="186"/>
      <c r="E12" s="186" t="s">
        <v>20</v>
      </c>
      <c r="F12" s="186" t="s">
        <v>21</v>
      </c>
      <c r="G12" s="32"/>
      <c r="H12" s="8"/>
      <c r="I12" s="8"/>
      <c r="J12" s="8"/>
      <c r="K12" s="8"/>
      <c r="L12" s="8"/>
      <c r="M12" s="8"/>
    </row>
    <row r="13" spans="2:13" ht="18">
      <c r="B13" s="28"/>
      <c r="C13" s="39" t="s">
        <v>22</v>
      </c>
      <c r="D13" s="39" t="s">
        <v>23</v>
      </c>
      <c r="E13" s="186"/>
      <c r="F13" s="186"/>
      <c r="G13" s="32"/>
      <c r="H13" s="8"/>
      <c r="I13" s="8"/>
      <c r="J13" s="8"/>
      <c r="K13" s="8"/>
      <c r="L13" s="8"/>
      <c r="M13" s="8"/>
    </row>
    <row r="14" spans="2:13" ht="18">
      <c r="B14" s="28"/>
      <c r="C14" s="40" t="s">
        <v>24</v>
      </c>
      <c r="D14" s="40">
        <v>600</v>
      </c>
      <c r="E14" s="41">
        <v>0</v>
      </c>
      <c r="F14" s="42">
        <v>0</v>
      </c>
      <c r="G14" s="32"/>
      <c r="H14" s="8"/>
      <c r="I14" s="8"/>
      <c r="J14" s="8"/>
      <c r="K14" s="8"/>
      <c r="L14" s="8"/>
      <c r="M14" s="8"/>
    </row>
    <row r="15" spans="2:13" ht="18">
      <c r="B15" s="28"/>
      <c r="C15" s="40" t="s">
        <v>40</v>
      </c>
      <c r="D15" s="40">
        <v>1000</v>
      </c>
      <c r="E15" s="41">
        <v>0.1</v>
      </c>
      <c r="F15" s="40" t="s">
        <v>41</v>
      </c>
      <c r="G15" s="32"/>
      <c r="H15" s="8"/>
      <c r="I15" s="8"/>
      <c r="J15" s="8"/>
      <c r="K15" s="8"/>
      <c r="L15" s="8"/>
      <c r="M15" s="8"/>
    </row>
    <row r="16" spans="2:13" ht="25.5">
      <c r="B16" s="28"/>
      <c r="C16" s="40" t="s">
        <v>42</v>
      </c>
      <c r="D16" s="40">
        <v>2000</v>
      </c>
      <c r="E16" s="41">
        <v>0.2</v>
      </c>
      <c r="F16" s="40" t="s">
        <v>43</v>
      </c>
      <c r="G16" s="32"/>
      <c r="H16" s="8"/>
      <c r="I16" s="8"/>
      <c r="J16" s="8"/>
      <c r="K16" s="8"/>
      <c r="L16" s="8"/>
      <c r="M16" s="8"/>
    </row>
    <row r="17" spans="2:11" ht="25.5">
      <c r="B17" s="43"/>
      <c r="C17" s="40" t="s">
        <v>44</v>
      </c>
      <c r="D17" s="40">
        <v>3000</v>
      </c>
      <c r="E17" s="41">
        <v>0.3</v>
      </c>
      <c r="F17" s="40" t="s">
        <v>45</v>
      </c>
      <c r="G17" s="44"/>
    </row>
    <row r="18" spans="2:11" ht="25.5">
      <c r="B18" s="43"/>
      <c r="C18" s="40" t="s">
        <v>46</v>
      </c>
      <c r="D18" s="40">
        <v>4000</v>
      </c>
      <c r="E18" s="41">
        <v>0.33</v>
      </c>
      <c r="F18" s="40" t="s">
        <v>47</v>
      </c>
      <c r="G18" s="44"/>
    </row>
    <row r="19" spans="2:11" ht="25.5">
      <c r="B19" s="43"/>
      <c r="C19" s="40" t="s">
        <v>48</v>
      </c>
      <c r="D19" s="40" t="s">
        <v>31</v>
      </c>
      <c r="E19" s="41">
        <v>0.35</v>
      </c>
      <c r="F19" s="41" t="s">
        <v>49</v>
      </c>
      <c r="G19" s="44"/>
    </row>
    <row r="20" spans="2:11">
      <c r="B20" s="45"/>
      <c r="C20" s="46"/>
      <c r="D20" s="46"/>
      <c r="E20" s="46"/>
      <c r="F20" s="46"/>
      <c r="G20" s="47"/>
    </row>
    <row r="21" spans="2:11" ht="15.75">
      <c r="E21" s="1"/>
      <c r="F21" s="1"/>
      <c r="G21" s="1"/>
      <c r="H21" s="1"/>
      <c r="I21" s="1"/>
      <c r="J21" s="1"/>
      <c r="K21" s="1"/>
    </row>
    <row r="22" spans="2:11" ht="15.75">
      <c r="D22" s="37" t="s">
        <v>37</v>
      </c>
      <c r="E22" s="1"/>
      <c r="F22" s="1"/>
      <c r="G22" s="1"/>
      <c r="H22" s="1"/>
      <c r="I22" s="1"/>
      <c r="J22" s="1"/>
      <c r="K22" s="1"/>
    </row>
  </sheetData>
  <sheetProtection password="CE28" sheet="1" objects="1" scenarios="1" formatCells="0" formatColumns="0" formatRows="0" insertColumns="0" insertRows="0" insertHyperlinks="0" deleteColumns="0" deleteRows="0" sort="0" autoFilter="0" pivotTables="0"/>
  <mergeCells count="6">
    <mergeCell ref="B2:F2"/>
    <mergeCell ref="B3:F3"/>
    <mergeCell ref="C8:F8"/>
    <mergeCell ref="C12:D12"/>
    <mergeCell ref="E12:E13"/>
    <mergeCell ref="F12:F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2:F24"/>
  <sheetViews>
    <sheetView workbookViewId="0">
      <pane xSplit="2" ySplit="4" topLeftCell="D23" activePane="bottomRight" state="frozen"/>
      <selection pane="topRight" activeCell="C1" sqref="C1"/>
      <selection pane="bottomLeft" activeCell="A5" sqref="A5"/>
      <selection pane="bottomRight" activeCell="E6" sqref="E6"/>
    </sheetView>
  </sheetViews>
  <sheetFormatPr baseColWidth="10" defaultRowHeight="15"/>
  <cols>
    <col min="2" max="2" width="20" customWidth="1"/>
    <col min="3" max="3" width="109.7109375" customWidth="1"/>
    <col min="5" max="5" width="109.7109375" customWidth="1"/>
    <col min="6" max="6" width="38" customWidth="1"/>
    <col min="8" max="8" width="11.5703125" customWidth="1"/>
    <col min="9" max="9" width="86" customWidth="1"/>
  </cols>
  <sheetData>
    <row r="2" spans="1:6" ht="18">
      <c r="C2" s="14" t="s">
        <v>123</v>
      </c>
      <c r="E2" s="92" t="s">
        <v>144</v>
      </c>
    </row>
    <row r="4" spans="1:6" ht="137.25" customHeight="1">
      <c r="A4" s="181" t="s">
        <v>53</v>
      </c>
      <c r="B4" s="182"/>
    </row>
    <row r="5" spans="1:6" ht="18">
      <c r="E5" s="83"/>
    </row>
    <row r="6" spans="1:6" ht="77.25">
      <c r="C6" s="48" t="s">
        <v>140</v>
      </c>
      <c r="E6" s="48" t="s">
        <v>141</v>
      </c>
    </row>
    <row r="7" spans="1:6" ht="15" customHeight="1">
      <c r="B7" s="78"/>
    </row>
    <row r="8" spans="1:6" ht="15" customHeight="1">
      <c r="B8" s="78"/>
    </row>
    <row r="9" spans="1:6" ht="18">
      <c r="B9" s="78"/>
      <c r="C9" s="12"/>
      <c r="E9" s="16"/>
    </row>
    <row r="10" spans="1:6" ht="15" customHeight="1">
      <c r="B10" s="78"/>
      <c r="C10" s="12"/>
    </row>
    <row r="11" spans="1:6" ht="15" customHeight="1">
      <c r="B11" s="78"/>
      <c r="C11" s="12"/>
      <c r="E11" s="12"/>
    </row>
    <row r="12" spans="1:6" ht="15" customHeight="1">
      <c r="B12" s="78"/>
      <c r="E12" s="49"/>
    </row>
    <row r="13" spans="1:6" ht="18">
      <c r="B13" s="78"/>
      <c r="E13" s="12"/>
      <c r="F13" s="15"/>
    </row>
    <row r="14" spans="1:6" ht="18">
      <c r="B14" s="78"/>
      <c r="E14" s="12"/>
      <c r="F14" s="15"/>
    </row>
    <row r="15" spans="1:6" ht="18">
      <c r="B15" s="78"/>
      <c r="E15" s="12"/>
      <c r="F15" s="15"/>
    </row>
    <row r="16" spans="1:6" ht="18">
      <c r="B16" s="78"/>
      <c r="E16" s="12"/>
      <c r="F16" s="15"/>
    </row>
    <row r="17" spans="1:6" ht="18">
      <c r="B17" s="78"/>
      <c r="E17" s="12"/>
      <c r="F17" s="15"/>
    </row>
    <row r="18" spans="1:6" ht="18">
      <c r="B18" s="78"/>
      <c r="E18" s="12"/>
      <c r="F18" s="15"/>
    </row>
    <row r="19" spans="1:6" ht="110.25">
      <c r="B19" s="78"/>
      <c r="C19" s="48" t="s">
        <v>142</v>
      </c>
      <c r="E19" s="48" t="s">
        <v>166</v>
      </c>
      <c r="F19" s="15"/>
    </row>
    <row r="20" spans="1:6" ht="18">
      <c r="B20" s="78"/>
      <c r="E20" s="12"/>
      <c r="F20" s="15"/>
    </row>
    <row r="21" spans="1:6" ht="98.25" customHeight="1">
      <c r="B21" s="78"/>
      <c r="E21" s="48" t="s">
        <v>143</v>
      </c>
      <c r="F21" s="15"/>
    </row>
    <row r="24" spans="1:6" ht="15.75">
      <c r="A24"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1.xml><?xml version="1.0" encoding="utf-8"?>
<worksheet xmlns="http://schemas.openxmlformats.org/spreadsheetml/2006/main" xmlns:r="http://schemas.openxmlformats.org/officeDocument/2006/relationships">
  <dimension ref="A2:E9"/>
  <sheetViews>
    <sheetView workbookViewId="0">
      <pane xSplit="2" ySplit="4" topLeftCell="D5" activePane="bottomRight" state="frozen"/>
      <selection pane="topRight" activeCell="C1" sqref="C1"/>
      <selection pane="bottomLeft" activeCell="A5" sqref="A5"/>
      <selection pane="bottomRight" activeCell="E6" sqref="E6"/>
    </sheetView>
  </sheetViews>
  <sheetFormatPr baseColWidth="10" defaultRowHeight="15"/>
  <cols>
    <col min="1" max="1" width="20.28515625" customWidth="1"/>
    <col min="2" max="2" width="12.5703125" customWidth="1"/>
    <col min="3" max="3" width="113" customWidth="1"/>
    <col min="5" max="5" width="109.7109375" customWidth="1"/>
    <col min="6" max="6" width="38" customWidth="1"/>
    <col min="8" max="8" width="11.5703125" customWidth="1"/>
    <col min="9" max="9" width="86" customWidth="1"/>
  </cols>
  <sheetData>
    <row r="2" spans="1:5" ht="18">
      <c r="C2" s="73" t="s">
        <v>123</v>
      </c>
      <c r="E2" s="73" t="s">
        <v>131</v>
      </c>
    </row>
    <row r="4" spans="1:5" ht="78.75" customHeight="1">
      <c r="A4" s="187" t="s">
        <v>145</v>
      </c>
      <c r="B4" s="187"/>
    </row>
    <row r="5" spans="1:5">
      <c r="B5" s="75"/>
    </row>
    <row r="6" spans="1:5" ht="31.5">
      <c r="B6" s="80"/>
      <c r="E6" s="48" t="s">
        <v>104</v>
      </c>
    </row>
    <row r="9" spans="1:5" ht="15.75">
      <c r="A9" s="1" t="s">
        <v>0</v>
      </c>
    </row>
  </sheetData>
  <sheetProtection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2.xml><?xml version="1.0" encoding="utf-8"?>
<worksheet xmlns="http://schemas.openxmlformats.org/spreadsheetml/2006/main" xmlns:r="http://schemas.openxmlformats.org/officeDocument/2006/relationships">
  <dimension ref="A2:E10"/>
  <sheetViews>
    <sheetView workbookViewId="0">
      <pane xSplit="2" ySplit="4" topLeftCell="D5" activePane="bottomRight" state="frozen"/>
      <selection pane="topRight" activeCell="C1" sqref="C1"/>
      <selection pane="bottomLeft" activeCell="A5" sqref="A5"/>
      <selection pane="bottomRight"/>
    </sheetView>
  </sheetViews>
  <sheetFormatPr baseColWidth="10" defaultRowHeight="15"/>
  <cols>
    <col min="3" max="3" width="109.7109375" customWidth="1"/>
    <col min="5" max="5" width="109.7109375" customWidth="1"/>
    <col min="6" max="6" width="38" customWidth="1"/>
    <col min="8" max="8" width="11.5703125" customWidth="1"/>
    <col min="9" max="9" width="86" customWidth="1"/>
  </cols>
  <sheetData>
    <row r="2" spans="1:5" ht="18">
      <c r="C2" s="14" t="s">
        <v>123</v>
      </c>
      <c r="E2" s="13" t="s">
        <v>132</v>
      </c>
    </row>
    <row r="4" spans="1:5" ht="81.75" customHeight="1">
      <c r="A4" s="187" t="s">
        <v>114</v>
      </c>
      <c r="B4" s="187"/>
    </row>
    <row r="6" spans="1:5" ht="18">
      <c r="C6" s="13" t="s">
        <v>54</v>
      </c>
      <c r="E6" s="13" t="s">
        <v>56</v>
      </c>
    </row>
    <row r="7" spans="1:5" ht="47.25">
      <c r="C7" s="48" t="s">
        <v>55</v>
      </c>
      <c r="E7" s="48" t="s">
        <v>57</v>
      </c>
    </row>
    <row r="10" spans="1:5" ht="15.75">
      <c r="A10"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3.xml><?xml version="1.0" encoding="utf-8"?>
<worksheet xmlns="http://schemas.openxmlformats.org/spreadsheetml/2006/main" xmlns:r="http://schemas.openxmlformats.org/officeDocument/2006/relationships">
  <dimension ref="A2:G17"/>
  <sheetViews>
    <sheetView workbookViewId="0">
      <pane xSplit="2" ySplit="4" topLeftCell="D12" activePane="bottomRight" state="frozen"/>
      <selection pane="topRight" activeCell="C1" sqref="C1"/>
      <selection pane="bottomLeft" activeCell="A5" sqref="A5"/>
      <selection pane="bottomRight"/>
    </sheetView>
  </sheetViews>
  <sheetFormatPr baseColWidth="10" defaultRowHeight="15"/>
  <cols>
    <col min="2" max="2" width="13.140625" bestFit="1" customWidth="1"/>
    <col min="3" max="3" width="109.7109375" customWidth="1"/>
    <col min="5" max="5" width="109.7109375" customWidth="1"/>
    <col min="7" max="7" width="86" customWidth="1"/>
  </cols>
  <sheetData>
    <row r="2" spans="1:7" ht="18">
      <c r="C2" s="14" t="s">
        <v>123</v>
      </c>
      <c r="E2" s="13" t="s">
        <v>133</v>
      </c>
    </row>
    <row r="4" spans="1:7" ht="78.75" customHeight="1">
      <c r="A4" s="187" t="s">
        <v>60</v>
      </c>
      <c r="B4" s="187"/>
    </row>
    <row r="6" spans="1:7" ht="45">
      <c r="C6" s="48" t="s">
        <v>58</v>
      </c>
      <c r="E6" s="48" t="s">
        <v>62</v>
      </c>
    </row>
    <row r="7" spans="1:7">
      <c r="B7" s="74"/>
    </row>
    <row r="8" spans="1:7" ht="57.75" customHeight="1">
      <c r="B8" s="74"/>
      <c r="C8" s="48" t="s">
        <v>64</v>
      </c>
      <c r="E8" s="48" t="s">
        <v>63</v>
      </c>
    </row>
    <row r="9" spans="1:7" ht="18">
      <c r="B9" s="74"/>
      <c r="C9" s="12"/>
      <c r="E9" s="16"/>
    </row>
    <row r="10" spans="1:7" ht="31.5">
      <c r="B10" s="74"/>
      <c r="C10" s="50" t="s">
        <v>61</v>
      </c>
      <c r="E10" s="50" t="s">
        <v>115</v>
      </c>
    </row>
    <row r="11" spans="1:7" ht="18">
      <c r="B11" s="74"/>
      <c r="C11" s="12"/>
      <c r="E11" s="16"/>
    </row>
    <row r="12" spans="1:7" ht="93">
      <c r="B12" s="74"/>
      <c r="C12" s="48" t="s">
        <v>59</v>
      </c>
      <c r="E12" s="48" t="s">
        <v>65</v>
      </c>
    </row>
    <row r="13" spans="1:7" ht="15.75">
      <c r="B13" s="74"/>
      <c r="E13" s="12"/>
      <c r="G13" s="97" t="s">
        <v>138</v>
      </c>
    </row>
    <row r="14" spans="1:7" ht="166.5">
      <c r="B14" s="74"/>
      <c r="C14" s="48" t="s">
        <v>116</v>
      </c>
      <c r="E14" s="48" t="s">
        <v>117</v>
      </c>
      <c r="G14" s="96" t="s">
        <v>195</v>
      </c>
    </row>
    <row r="17" spans="1:1" ht="15.75">
      <c r="A17"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4.xml><?xml version="1.0" encoding="utf-8"?>
<worksheet xmlns="http://schemas.openxmlformats.org/spreadsheetml/2006/main" xmlns:r="http://schemas.openxmlformats.org/officeDocument/2006/relationships">
  <dimension ref="A2:F17"/>
  <sheetViews>
    <sheetView workbookViewId="0">
      <pane xSplit="2" ySplit="4" topLeftCell="D5" activePane="bottomRight" state="frozen"/>
      <selection pane="topRight" activeCell="C1" sqref="C1"/>
      <selection pane="bottomLeft" activeCell="A5" sqref="A5"/>
      <selection pane="bottomRight"/>
    </sheetView>
  </sheetViews>
  <sheetFormatPr baseColWidth="10" defaultRowHeight="15"/>
  <cols>
    <col min="2" max="2" width="13.140625" bestFit="1" customWidth="1"/>
    <col min="3" max="3" width="109.7109375" customWidth="1"/>
    <col min="5" max="5" width="109.7109375" customWidth="1"/>
    <col min="6" max="6" width="38" customWidth="1"/>
    <col min="8" max="8" width="11.5703125" customWidth="1"/>
    <col min="9" max="9" width="86" customWidth="1"/>
  </cols>
  <sheetData>
    <row r="2" spans="1:6" ht="18">
      <c r="C2" s="14" t="s">
        <v>123</v>
      </c>
      <c r="E2" s="13" t="s">
        <v>134</v>
      </c>
    </row>
    <row r="4" spans="1:6" ht="94.5" customHeight="1">
      <c r="A4" s="187" t="s">
        <v>66</v>
      </c>
      <c r="B4" s="187"/>
    </row>
    <row r="6" spans="1:6" ht="30">
      <c r="C6" s="48" t="s">
        <v>67</v>
      </c>
      <c r="E6" s="48" t="s">
        <v>69</v>
      </c>
    </row>
    <row r="7" spans="1:6">
      <c r="B7" s="74"/>
    </row>
    <row r="8" spans="1:6" ht="31.5">
      <c r="B8" s="74"/>
      <c r="C8" s="48" t="s">
        <v>70</v>
      </c>
      <c r="E8" s="48" t="s">
        <v>72</v>
      </c>
    </row>
    <row r="9" spans="1:6" ht="18">
      <c r="B9" s="74"/>
      <c r="C9" s="12"/>
      <c r="E9" s="16"/>
    </row>
    <row r="10" spans="1:6" ht="31.5">
      <c r="B10" s="74"/>
      <c r="C10" s="48" t="s">
        <v>71</v>
      </c>
      <c r="E10" s="51"/>
    </row>
    <row r="11" spans="1:6" ht="18">
      <c r="B11" s="74"/>
      <c r="C11" s="12"/>
      <c r="E11" s="16"/>
    </row>
    <row r="12" spans="1:6" ht="46.5">
      <c r="B12" s="74"/>
      <c r="C12" s="48" t="s">
        <v>68</v>
      </c>
      <c r="E12" s="48" t="s">
        <v>118</v>
      </c>
      <c r="F12" s="15"/>
    </row>
    <row r="13" spans="1:6" ht="18">
      <c r="B13" s="74"/>
      <c r="E13" s="12"/>
      <c r="F13" s="15"/>
    </row>
    <row r="14" spans="1:6" ht="31.5">
      <c r="B14" s="74"/>
      <c r="C14" s="48" t="s">
        <v>74</v>
      </c>
      <c r="E14" s="48" t="s">
        <v>73</v>
      </c>
      <c r="F14" s="15"/>
    </row>
    <row r="17" spans="1:1" ht="15.75">
      <c r="A17" s="1" t="s">
        <v>0</v>
      </c>
    </row>
  </sheetData>
  <sheetProtection password="CE28" sheet="1" objects="1" scenarios="1"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5.xml><?xml version="1.0" encoding="utf-8"?>
<worksheet xmlns="http://schemas.openxmlformats.org/spreadsheetml/2006/main" xmlns:r="http://schemas.openxmlformats.org/officeDocument/2006/relationships">
  <dimension ref="A2:F8"/>
  <sheetViews>
    <sheetView topLeftCell="A4" workbookViewId="0">
      <selection activeCell="A15" sqref="A15"/>
    </sheetView>
  </sheetViews>
  <sheetFormatPr baseColWidth="10" defaultRowHeight="15"/>
  <cols>
    <col min="2" max="2" width="13.140625" bestFit="1" customWidth="1"/>
    <col min="3" max="3" width="109.7109375" customWidth="1"/>
    <col min="5" max="5" width="109.7109375" customWidth="1"/>
    <col min="6" max="6" width="38" customWidth="1"/>
    <col min="8" max="8" width="11.5703125" customWidth="1"/>
    <col min="9" max="9" width="86" customWidth="1"/>
  </cols>
  <sheetData>
    <row r="2" spans="1:6" ht="18">
      <c r="C2" s="14" t="s">
        <v>123</v>
      </c>
      <c r="E2" s="13" t="s">
        <v>125</v>
      </c>
    </row>
    <row r="4" spans="1:6" ht="94.5" customHeight="1">
      <c r="A4" s="187" t="s">
        <v>75</v>
      </c>
      <c r="B4" s="187"/>
    </row>
    <row r="5" spans="1:6" ht="15.75">
      <c r="A5" s="84"/>
      <c r="B5" s="84"/>
      <c r="C5" s="75"/>
      <c r="D5" s="75"/>
      <c r="E5" s="75"/>
      <c r="F5" s="75"/>
    </row>
    <row r="6" spans="1:6" ht="31.5">
      <c r="C6" s="9" t="s">
        <v>119</v>
      </c>
      <c r="E6" s="9" t="s">
        <v>120</v>
      </c>
    </row>
    <row r="8" spans="1:6" ht="15.75">
      <c r="A8" s="1" t="s">
        <v>0</v>
      </c>
    </row>
  </sheetData>
  <sheetProtection formatCells="0" formatColumns="0" formatRows="0" insertColumns="0" insertRows="0" insertHyperlinks="0" deleteColumns="0" deleteRows="0" sort="0" autoFilter="0" pivotTables="0"/>
  <mergeCells count="1">
    <mergeCell ref="A4:B4"/>
  </mergeCells>
  <pageMargins left="0.7" right="0.7" top="0.75" bottom="0.75" header="0.3" footer="0.3"/>
  <pageSetup paperSize="0" orientation="portrait" r:id="rId1"/>
  <drawing r:id="rId2"/>
</worksheet>
</file>

<file path=xl/worksheets/sheet16.xml><?xml version="1.0" encoding="utf-8"?>
<worksheet xmlns="http://schemas.openxmlformats.org/spreadsheetml/2006/main" xmlns:r="http://schemas.openxmlformats.org/officeDocument/2006/relationships">
  <dimension ref="A2:F10"/>
  <sheetViews>
    <sheetView workbookViewId="0">
      <pane xSplit="1" ySplit="4" topLeftCell="B9" activePane="bottomRight" state="frozen"/>
      <selection pane="topRight" activeCell="B1" sqref="B1"/>
      <selection pane="bottomLeft" activeCell="A5" sqref="A5"/>
      <selection pane="bottomRight" activeCell="D8" sqref="D8"/>
    </sheetView>
  </sheetViews>
  <sheetFormatPr baseColWidth="10" defaultRowHeight="15"/>
  <cols>
    <col min="1" max="1" width="17.140625" customWidth="1"/>
    <col min="2" max="2" width="68.85546875" customWidth="1"/>
    <col min="4" max="4" width="63" customWidth="1"/>
    <col min="6" max="6" width="86" customWidth="1"/>
  </cols>
  <sheetData>
    <row r="2" spans="1:6" ht="18">
      <c r="B2" s="188" t="s">
        <v>122</v>
      </c>
      <c r="C2" s="188"/>
      <c r="D2" s="188"/>
    </row>
    <row r="4" spans="1:6" ht="36">
      <c r="B4" s="54" t="s">
        <v>76</v>
      </c>
      <c r="D4" s="53" t="s">
        <v>77</v>
      </c>
      <c r="F4" s="81"/>
    </row>
    <row r="5" spans="1:6" ht="18">
      <c r="B5" s="85"/>
      <c r="C5" s="49"/>
      <c r="D5" s="86"/>
      <c r="F5" s="95" t="s">
        <v>159</v>
      </c>
    </row>
    <row r="6" spans="1:6" ht="264">
      <c r="B6" s="48" t="s">
        <v>157</v>
      </c>
      <c r="D6" s="48" t="s">
        <v>121</v>
      </c>
      <c r="F6" s="109" t="s">
        <v>158</v>
      </c>
    </row>
    <row r="8" spans="1:6" ht="92.25">
      <c r="D8" s="48" t="s">
        <v>160</v>
      </c>
      <c r="F8" s="110" t="s">
        <v>161</v>
      </c>
    </row>
    <row r="10" spans="1:6" ht="15.75">
      <c r="A10" s="1" t="s">
        <v>0</v>
      </c>
    </row>
  </sheetData>
  <sheetProtection password="CE28" sheet="1" objects="1" scenarios="1" formatCells="0" formatColumns="0" formatRows="0" insertColumns="0" insertRows="0" insertHyperlinks="0" deleteColumns="0" deleteRows="0" sort="0" autoFilter="0" pivotTables="0"/>
  <mergeCells count="1">
    <mergeCell ref="B2:D2"/>
  </mergeCells>
  <hyperlinks>
    <hyperlink ref="F6" location="DEFINICIONES!A1" display="DEFINICIONES!A1"/>
  </hyperlinks>
  <pageMargins left="0.7" right="0.7" top="0.75" bottom="0.75" header="0.3" footer="0.3"/>
  <pageSetup paperSize="0" orientation="portrait" r:id="rId1"/>
  <drawing r:id="rId2"/>
  <legacyDrawing r:id="rId3"/>
</worksheet>
</file>

<file path=xl/worksheets/sheet17.xml><?xml version="1.0" encoding="utf-8"?>
<worksheet xmlns="http://schemas.openxmlformats.org/spreadsheetml/2006/main" xmlns:r="http://schemas.openxmlformats.org/officeDocument/2006/relationships">
  <dimension ref="A1:B18"/>
  <sheetViews>
    <sheetView topLeftCell="A10" workbookViewId="0"/>
  </sheetViews>
  <sheetFormatPr baseColWidth="10" defaultRowHeight="15"/>
  <cols>
    <col min="1" max="1" width="20.85546875" customWidth="1"/>
    <col min="2" max="2" width="73.42578125" customWidth="1"/>
    <col min="257" max="257" width="20.85546875" customWidth="1"/>
    <col min="258" max="258" width="73.42578125" customWidth="1"/>
    <col min="513" max="513" width="20.85546875" customWidth="1"/>
    <col min="514" max="514" width="73.42578125" customWidth="1"/>
    <col min="769" max="769" width="20.85546875" customWidth="1"/>
    <col min="770" max="770" width="73.42578125" customWidth="1"/>
    <col min="1025" max="1025" width="20.85546875" customWidth="1"/>
    <col min="1026" max="1026" width="73.42578125" customWidth="1"/>
    <col min="1281" max="1281" width="20.85546875" customWidth="1"/>
    <col min="1282" max="1282" width="73.42578125" customWidth="1"/>
    <col min="1537" max="1537" width="20.85546875" customWidth="1"/>
    <col min="1538" max="1538" width="73.42578125" customWidth="1"/>
    <col min="1793" max="1793" width="20.85546875" customWidth="1"/>
    <col min="1794" max="1794" width="73.42578125" customWidth="1"/>
    <col min="2049" max="2049" width="20.85546875" customWidth="1"/>
    <col min="2050" max="2050" width="73.42578125" customWidth="1"/>
    <col min="2305" max="2305" width="20.85546875" customWidth="1"/>
    <col min="2306" max="2306" width="73.42578125" customWidth="1"/>
    <col min="2561" max="2561" width="20.85546875" customWidth="1"/>
    <col min="2562" max="2562" width="73.42578125" customWidth="1"/>
    <col min="2817" max="2817" width="20.85546875" customWidth="1"/>
    <col min="2818" max="2818" width="73.42578125" customWidth="1"/>
    <col min="3073" max="3073" width="20.85546875" customWidth="1"/>
    <col min="3074" max="3074" width="73.42578125" customWidth="1"/>
    <col min="3329" max="3329" width="20.85546875" customWidth="1"/>
    <col min="3330" max="3330" width="73.42578125" customWidth="1"/>
    <col min="3585" max="3585" width="20.85546875" customWidth="1"/>
    <col min="3586" max="3586" width="73.42578125" customWidth="1"/>
    <col min="3841" max="3841" width="20.85546875" customWidth="1"/>
    <col min="3842" max="3842" width="73.42578125" customWidth="1"/>
    <col min="4097" max="4097" width="20.85546875" customWidth="1"/>
    <col min="4098" max="4098" width="73.42578125" customWidth="1"/>
    <col min="4353" max="4353" width="20.85546875" customWidth="1"/>
    <col min="4354" max="4354" width="73.42578125" customWidth="1"/>
    <col min="4609" max="4609" width="20.85546875" customWidth="1"/>
    <col min="4610" max="4610" width="73.42578125" customWidth="1"/>
    <col min="4865" max="4865" width="20.85546875" customWidth="1"/>
    <col min="4866" max="4866" width="73.42578125" customWidth="1"/>
    <col min="5121" max="5121" width="20.85546875" customWidth="1"/>
    <col min="5122" max="5122" width="73.42578125" customWidth="1"/>
    <col min="5377" max="5377" width="20.85546875" customWidth="1"/>
    <col min="5378" max="5378" width="73.42578125" customWidth="1"/>
    <col min="5633" max="5633" width="20.85546875" customWidth="1"/>
    <col min="5634" max="5634" width="73.42578125" customWidth="1"/>
    <col min="5889" max="5889" width="20.85546875" customWidth="1"/>
    <col min="5890" max="5890" width="73.42578125" customWidth="1"/>
    <col min="6145" max="6145" width="20.85546875" customWidth="1"/>
    <col min="6146" max="6146" width="73.42578125" customWidth="1"/>
    <col min="6401" max="6401" width="20.85546875" customWidth="1"/>
    <col min="6402" max="6402" width="73.42578125" customWidth="1"/>
    <col min="6657" max="6657" width="20.85546875" customWidth="1"/>
    <col min="6658" max="6658" width="73.42578125" customWidth="1"/>
    <col min="6913" max="6913" width="20.85546875" customWidth="1"/>
    <col min="6914" max="6914" width="73.42578125" customWidth="1"/>
    <col min="7169" max="7169" width="20.85546875" customWidth="1"/>
    <col min="7170" max="7170" width="73.42578125" customWidth="1"/>
    <col min="7425" max="7425" width="20.85546875" customWidth="1"/>
    <col min="7426" max="7426" width="73.42578125" customWidth="1"/>
    <col min="7681" max="7681" width="20.85546875" customWidth="1"/>
    <col min="7682" max="7682" width="73.42578125" customWidth="1"/>
    <col min="7937" max="7937" width="20.85546875" customWidth="1"/>
    <col min="7938" max="7938" width="73.42578125" customWidth="1"/>
    <col min="8193" max="8193" width="20.85546875" customWidth="1"/>
    <col min="8194" max="8194" width="73.42578125" customWidth="1"/>
    <col min="8449" max="8449" width="20.85546875" customWidth="1"/>
    <col min="8450" max="8450" width="73.42578125" customWidth="1"/>
    <col min="8705" max="8705" width="20.85546875" customWidth="1"/>
    <col min="8706" max="8706" width="73.42578125" customWidth="1"/>
    <col min="8961" max="8961" width="20.85546875" customWidth="1"/>
    <col min="8962" max="8962" width="73.42578125" customWidth="1"/>
    <col min="9217" max="9217" width="20.85546875" customWidth="1"/>
    <col min="9218" max="9218" width="73.42578125" customWidth="1"/>
    <col min="9473" max="9473" width="20.85546875" customWidth="1"/>
    <col min="9474" max="9474" width="73.42578125" customWidth="1"/>
    <col min="9729" max="9729" width="20.85546875" customWidth="1"/>
    <col min="9730" max="9730" width="73.42578125" customWidth="1"/>
    <col min="9985" max="9985" width="20.85546875" customWidth="1"/>
    <col min="9986" max="9986" width="73.42578125" customWidth="1"/>
    <col min="10241" max="10241" width="20.85546875" customWidth="1"/>
    <col min="10242" max="10242" width="73.42578125" customWidth="1"/>
    <col min="10497" max="10497" width="20.85546875" customWidth="1"/>
    <col min="10498" max="10498" width="73.42578125" customWidth="1"/>
    <col min="10753" max="10753" width="20.85546875" customWidth="1"/>
    <col min="10754" max="10754" width="73.42578125" customWidth="1"/>
    <col min="11009" max="11009" width="20.85546875" customWidth="1"/>
    <col min="11010" max="11010" width="73.42578125" customWidth="1"/>
    <col min="11265" max="11265" width="20.85546875" customWidth="1"/>
    <col min="11266" max="11266" width="73.42578125" customWidth="1"/>
    <col min="11521" max="11521" width="20.85546875" customWidth="1"/>
    <col min="11522" max="11522" width="73.42578125" customWidth="1"/>
    <col min="11777" max="11777" width="20.85546875" customWidth="1"/>
    <col min="11778" max="11778" width="73.42578125" customWidth="1"/>
    <col min="12033" max="12033" width="20.85546875" customWidth="1"/>
    <col min="12034" max="12034" width="73.42578125" customWidth="1"/>
    <col min="12289" max="12289" width="20.85546875" customWidth="1"/>
    <col min="12290" max="12290" width="73.42578125" customWidth="1"/>
    <col min="12545" max="12545" width="20.85546875" customWidth="1"/>
    <col min="12546" max="12546" width="73.42578125" customWidth="1"/>
    <col min="12801" max="12801" width="20.85546875" customWidth="1"/>
    <col min="12802" max="12802" width="73.42578125" customWidth="1"/>
    <col min="13057" max="13057" width="20.85546875" customWidth="1"/>
    <col min="13058" max="13058" width="73.42578125" customWidth="1"/>
    <col min="13313" max="13313" width="20.85546875" customWidth="1"/>
    <col min="13314" max="13314" width="73.42578125" customWidth="1"/>
    <col min="13569" max="13569" width="20.85546875" customWidth="1"/>
    <col min="13570" max="13570" width="73.42578125" customWidth="1"/>
    <col min="13825" max="13825" width="20.85546875" customWidth="1"/>
    <col min="13826" max="13826" width="73.42578125" customWidth="1"/>
    <col min="14081" max="14081" width="20.85546875" customWidth="1"/>
    <col min="14082" max="14082" width="73.42578125" customWidth="1"/>
    <col min="14337" max="14337" width="20.85546875" customWidth="1"/>
    <col min="14338" max="14338" width="73.42578125" customWidth="1"/>
    <col min="14593" max="14593" width="20.85546875" customWidth="1"/>
    <col min="14594" max="14594" width="73.42578125" customWidth="1"/>
    <col min="14849" max="14849" width="20.85546875" customWidth="1"/>
    <col min="14850" max="14850" width="73.42578125" customWidth="1"/>
    <col min="15105" max="15105" width="20.85546875" customWidth="1"/>
    <col min="15106" max="15106" width="73.42578125" customWidth="1"/>
    <col min="15361" max="15361" width="20.85546875" customWidth="1"/>
    <col min="15362" max="15362" width="73.42578125" customWidth="1"/>
    <col min="15617" max="15617" width="20.85546875" customWidth="1"/>
    <col min="15618" max="15618" width="73.42578125" customWidth="1"/>
    <col min="15873" max="15873" width="20.85546875" customWidth="1"/>
    <col min="15874" max="15874" width="73.42578125" customWidth="1"/>
    <col min="16129" max="16129" width="20.85546875" customWidth="1"/>
    <col min="16130" max="16130" width="73.42578125" customWidth="1"/>
  </cols>
  <sheetData>
    <row r="1" spans="1:2">
      <c r="A1" s="98"/>
    </row>
    <row r="2" spans="1:2" ht="18">
      <c r="A2" s="91"/>
      <c r="B2" s="99" t="s">
        <v>35</v>
      </c>
    </row>
    <row r="4" spans="1:2" ht="31.5">
      <c r="B4" s="100" t="s">
        <v>146</v>
      </c>
    </row>
    <row r="5" spans="1:2" ht="15.75">
      <c r="B5" s="101"/>
    </row>
    <row r="6" spans="1:2" ht="77.25">
      <c r="A6" s="102" t="s">
        <v>147</v>
      </c>
      <c r="B6" s="103" t="s">
        <v>148</v>
      </c>
    </row>
    <row r="7" spans="1:2" ht="15.75">
      <c r="B7" s="101"/>
    </row>
    <row r="8" spans="1:2" ht="63">
      <c r="A8" s="90" t="s">
        <v>149</v>
      </c>
      <c r="B8" s="104" t="s">
        <v>150</v>
      </c>
    </row>
    <row r="9" spans="1:2" ht="15.75">
      <c r="B9" s="105"/>
    </row>
    <row r="10" spans="1:2" ht="47.25">
      <c r="B10" s="105" t="s">
        <v>151</v>
      </c>
    </row>
    <row r="11" spans="1:2" ht="15.75">
      <c r="B11" s="105"/>
    </row>
    <row r="12" spans="1:2" ht="82.15" customHeight="1">
      <c r="B12" s="106" t="s">
        <v>152</v>
      </c>
    </row>
    <row r="13" spans="1:2" ht="15.75">
      <c r="B13" s="105"/>
    </row>
    <row r="14" spans="1:2" ht="93.75">
      <c r="B14" s="107" t="s">
        <v>153</v>
      </c>
    </row>
    <row r="15" spans="1:2" ht="15.75">
      <c r="B15" s="101"/>
    </row>
    <row r="16" spans="1:2" ht="94.5">
      <c r="A16" s="90" t="s">
        <v>154</v>
      </c>
      <c r="B16" s="108" t="s">
        <v>155</v>
      </c>
    </row>
    <row r="18" spans="2:2" ht="15.75">
      <c r="B18" s="97" t="s">
        <v>156</v>
      </c>
    </row>
  </sheetData>
  <sheetProtection password="CE28" sheet="1" objects="1" scenarios="1" formatCells="0" formatColumns="0" formatRows="0" insertColumns="0" insertRows="0" insertHyperlinks="0" deleteColumns="0" deleteRows="0" sort="0" autoFilter="0" pivotTables="0"/>
  <printOptions horizontalCentered="1" verticalCentered="1"/>
  <pageMargins left="0.70866141732283472" right="0.70866141732283472" top="0.74803149606299213" bottom="0.74803149606299213" header="0.31496062992125984" footer="0.31496062992125984"/>
  <pageSetup orientation="portrait" r:id="rId1"/>
  <drawing r:id="rId2"/>
</worksheet>
</file>

<file path=xl/worksheets/sheet18.xml><?xml version="1.0" encoding="utf-8"?>
<worksheet xmlns="http://schemas.openxmlformats.org/spreadsheetml/2006/main" xmlns:r="http://schemas.openxmlformats.org/officeDocument/2006/relationships">
  <dimension ref="A2:G16"/>
  <sheetViews>
    <sheetView workbookViewId="0">
      <pane xSplit="2" ySplit="4" topLeftCell="C15" activePane="bottomRight" state="frozen"/>
      <selection pane="topRight" activeCell="C1" sqref="C1"/>
      <selection pane="bottomLeft" activeCell="A5" sqref="A5"/>
      <selection pane="bottomRight"/>
    </sheetView>
  </sheetViews>
  <sheetFormatPr baseColWidth="10" defaultRowHeight="15"/>
  <cols>
    <col min="2" max="2" width="13.140625" bestFit="1" customWidth="1"/>
    <col min="3" max="3" width="68.85546875" customWidth="1"/>
    <col min="5" max="5" width="68.42578125" customWidth="1"/>
    <col min="6" max="6" width="11.5703125" customWidth="1"/>
    <col min="7" max="7" width="86" customWidth="1"/>
  </cols>
  <sheetData>
    <row r="2" spans="1:7" ht="18">
      <c r="C2" s="14" t="s">
        <v>123</v>
      </c>
      <c r="E2" s="13" t="s">
        <v>124</v>
      </c>
    </row>
    <row r="4" spans="1:7" ht="110.25" customHeight="1">
      <c r="A4" s="181" t="s">
        <v>78</v>
      </c>
      <c r="B4" s="182"/>
    </row>
    <row r="5" spans="1:7" ht="15.75">
      <c r="G5" s="97" t="s">
        <v>138</v>
      </c>
    </row>
    <row r="6" spans="1:7" ht="137.25">
      <c r="C6" s="48" t="s">
        <v>164</v>
      </c>
      <c r="E6" s="48" t="s">
        <v>165</v>
      </c>
      <c r="G6" s="111" t="s">
        <v>163</v>
      </c>
    </row>
    <row r="7" spans="1:7">
      <c r="B7" s="74"/>
    </row>
    <row r="8" spans="1:7">
      <c r="B8" s="74"/>
      <c r="C8" s="70" t="s">
        <v>87</v>
      </c>
      <c r="E8" s="70" t="s">
        <v>87</v>
      </c>
    </row>
    <row r="9" spans="1:7" ht="18">
      <c r="B9" s="74"/>
      <c r="C9" s="12"/>
      <c r="E9" s="16"/>
    </row>
    <row r="10" spans="1:7" ht="94.5">
      <c r="B10" s="74"/>
      <c r="C10" s="50" t="s">
        <v>162</v>
      </c>
      <c r="E10" s="71" t="s">
        <v>89</v>
      </c>
    </row>
    <row r="11" spans="1:7" ht="18">
      <c r="B11" s="74"/>
      <c r="C11" s="12"/>
      <c r="E11" s="16"/>
    </row>
    <row r="12" spans="1:7" ht="180">
      <c r="B12" s="74"/>
      <c r="C12" s="48" t="s">
        <v>86</v>
      </c>
      <c r="E12" s="71" t="s">
        <v>89</v>
      </c>
    </row>
    <row r="13" spans="1:7">
      <c r="B13" s="74"/>
      <c r="E13" s="12"/>
    </row>
    <row r="14" spans="1:7" ht="92.25">
      <c r="B14" s="74"/>
      <c r="C14" s="48" t="s">
        <v>88</v>
      </c>
      <c r="E14" s="71" t="s">
        <v>89</v>
      </c>
    </row>
    <row r="16" spans="1:7" ht="15.75">
      <c r="A16" s="1" t="s">
        <v>0</v>
      </c>
    </row>
  </sheetData>
  <sheetProtection password="CE28" sheet="1" objects="1" scenarios="1" formatCells="0" formatColumns="0" formatRows="0" insertColumns="0" insertRows="0" insertHyperlinks="0" deleteColumns="0" deleteRows="0" sort="0" autoFilter="0" pivotTables="0"/>
  <mergeCells count="1">
    <mergeCell ref="A4:B4"/>
  </mergeCells>
  <hyperlinks>
    <hyperlink ref="C8" location="'TABLAS RETENCIÓN'!A1" display="VER TABLA DE RETENCIÓN"/>
    <hyperlink ref="E8" location="'TABLAS RETENCIÓN'!A1" display="VER TABLA DE RETENCIÓN"/>
  </hyperlinks>
  <pageMargins left="0.7" right="0.7" top="0.75" bottom="0.75" header="0.3" footer="0.3"/>
  <pageSetup paperSize="0" orientation="portrait" r:id="rId1"/>
  <drawing r:id="rId2"/>
</worksheet>
</file>

<file path=xl/worksheets/sheet19.xml><?xml version="1.0" encoding="utf-8"?>
<worksheet xmlns="http://schemas.openxmlformats.org/spreadsheetml/2006/main" xmlns:r="http://schemas.openxmlformats.org/officeDocument/2006/relationships">
  <dimension ref="A2:L17"/>
  <sheetViews>
    <sheetView workbookViewId="0"/>
  </sheetViews>
  <sheetFormatPr baseColWidth="10" defaultRowHeight="15"/>
  <cols>
    <col min="4" max="4" width="28" customWidth="1"/>
  </cols>
  <sheetData>
    <row r="2" spans="1:12" ht="18">
      <c r="A2" s="188" t="s">
        <v>123</v>
      </c>
      <c r="B2" s="188"/>
      <c r="C2" s="188"/>
      <c r="D2" s="188"/>
      <c r="F2" s="189" t="s">
        <v>125</v>
      </c>
      <c r="G2" s="189"/>
      <c r="H2" s="189"/>
      <c r="I2" s="189"/>
      <c r="J2" s="189"/>
      <c r="K2" s="189"/>
      <c r="L2" s="189"/>
    </row>
    <row r="3" spans="1:12" ht="15.75" thickBot="1"/>
    <row r="4" spans="1:12" ht="33" thickTop="1" thickBot="1">
      <c r="A4" s="58" t="s">
        <v>19</v>
      </c>
      <c r="B4" s="59"/>
      <c r="C4" s="60" t="s">
        <v>20</v>
      </c>
      <c r="D4" s="61" t="s">
        <v>21</v>
      </c>
    </row>
    <row r="5" spans="1:12" ht="16.5" thickBot="1">
      <c r="A5" s="62" t="s">
        <v>79</v>
      </c>
      <c r="B5" s="55" t="s">
        <v>23</v>
      </c>
      <c r="C5" s="56"/>
      <c r="D5" s="63"/>
    </row>
    <row r="6" spans="1:12" ht="16.5" thickBot="1">
      <c r="A6" s="64" t="s">
        <v>24</v>
      </c>
      <c r="B6" s="56">
        <v>95</v>
      </c>
      <c r="C6" s="57">
        <v>0</v>
      </c>
      <c r="D6" s="63">
        <v>0</v>
      </c>
    </row>
    <row r="7" spans="1:12" ht="46.5" thickBot="1">
      <c r="A7" s="64" t="s">
        <v>80</v>
      </c>
      <c r="B7" s="56">
        <v>150</v>
      </c>
      <c r="C7" s="57">
        <v>0.19</v>
      </c>
      <c r="D7" s="63" t="s">
        <v>81</v>
      </c>
    </row>
    <row r="8" spans="1:12" ht="61.5" thickBot="1">
      <c r="A8" s="64" t="s">
        <v>82</v>
      </c>
      <c r="B8" s="56">
        <v>360</v>
      </c>
      <c r="C8" s="57">
        <v>0.28000000000000003</v>
      </c>
      <c r="D8" s="63" t="s">
        <v>83</v>
      </c>
    </row>
    <row r="9" spans="1:12" ht="61.5" thickBot="1">
      <c r="A9" s="65" t="s">
        <v>84</v>
      </c>
      <c r="B9" s="66" t="s">
        <v>31</v>
      </c>
      <c r="C9" s="67">
        <v>0.33</v>
      </c>
      <c r="D9" s="68" t="s">
        <v>85</v>
      </c>
    </row>
    <row r="10" spans="1:12" ht="15.75" thickTop="1"/>
    <row r="17" spans="1:1" ht="15.75">
      <c r="A17" s="1" t="s">
        <v>0</v>
      </c>
    </row>
  </sheetData>
  <sheetProtection password="CE28" sheet="1" objects="1" scenarios="1" formatCells="0" formatColumns="0" formatRows="0" insertColumns="0" insertRows="0" insertHyperlinks="0" deleteColumns="0" deleteRows="0" sort="0" autoFilter="0" pivotTables="0"/>
  <mergeCells count="2">
    <mergeCell ref="A2:D2"/>
    <mergeCell ref="F2:L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I31"/>
  <sheetViews>
    <sheetView workbookViewId="0">
      <selection activeCell="G13" sqref="G13"/>
    </sheetView>
  </sheetViews>
  <sheetFormatPr baseColWidth="10" defaultRowHeight="15"/>
  <cols>
    <col min="2" max="2" width="34.28515625" bestFit="1" customWidth="1"/>
    <col min="3" max="3" width="15.5703125" bestFit="1" customWidth="1"/>
    <col min="4" max="4" width="15.28515625" bestFit="1" customWidth="1"/>
    <col min="5" max="5" width="12.7109375" customWidth="1"/>
    <col min="6" max="6" width="28.85546875" bestFit="1" customWidth="1"/>
    <col min="7" max="7" width="16.85546875" bestFit="1" customWidth="1"/>
    <col min="258" max="258" width="34.28515625" bestFit="1" customWidth="1"/>
    <col min="259" max="259" width="15.5703125" bestFit="1" customWidth="1"/>
    <col min="260" max="260" width="15.28515625" bestFit="1" customWidth="1"/>
    <col min="261" max="261" width="4.7109375" customWidth="1"/>
    <col min="262" max="262" width="28.85546875" bestFit="1" customWidth="1"/>
    <col min="263" max="263" width="16.85546875" bestFit="1" customWidth="1"/>
    <col min="514" max="514" width="34.28515625" bestFit="1" customWidth="1"/>
    <col min="515" max="515" width="15.5703125" bestFit="1" customWidth="1"/>
    <col min="516" max="516" width="15.28515625" bestFit="1" customWidth="1"/>
    <col min="517" max="517" width="4.7109375" customWidth="1"/>
    <col min="518" max="518" width="28.85546875" bestFit="1" customWidth="1"/>
    <col min="519" max="519" width="16.85546875" bestFit="1" customWidth="1"/>
    <col min="770" max="770" width="34.28515625" bestFit="1" customWidth="1"/>
    <col min="771" max="771" width="15.5703125" bestFit="1" customWidth="1"/>
    <col min="772" max="772" width="15.28515625" bestFit="1" customWidth="1"/>
    <col min="773" max="773" width="4.7109375" customWidth="1"/>
    <col min="774" max="774" width="28.85546875" bestFit="1" customWidth="1"/>
    <col min="775" max="775" width="16.85546875" bestFit="1" customWidth="1"/>
    <col min="1026" max="1026" width="34.28515625" bestFit="1" customWidth="1"/>
    <col min="1027" max="1027" width="15.5703125" bestFit="1" customWidth="1"/>
    <col min="1028" max="1028" width="15.28515625" bestFit="1" customWidth="1"/>
    <col min="1029" max="1029" width="4.7109375" customWidth="1"/>
    <col min="1030" max="1030" width="28.85546875" bestFit="1" customWidth="1"/>
    <col min="1031" max="1031" width="16.85546875" bestFit="1" customWidth="1"/>
    <col min="1282" max="1282" width="34.28515625" bestFit="1" customWidth="1"/>
    <col min="1283" max="1283" width="15.5703125" bestFit="1" customWidth="1"/>
    <col min="1284" max="1284" width="15.28515625" bestFit="1" customWidth="1"/>
    <col min="1285" max="1285" width="4.7109375" customWidth="1"/>
    <col min="1286" max="1286" width="28.85546875" bestFit="1" customWidth="1"/>
    <col min="1287" max="1287" width="16.85546875" bestFit="1" customWidth="1"/>
    <col min="1538" max="1538" width="34.28515625" bestFit="1" customWidth="1"/>
    <col min="1539" max="1539" width="15.5703125" bestFit="1" customWidth="1"/>
    <col min="1540" max="1540" width="15.28515625" bestFit="1" customWidth="1"/>
    <col min="1541" max="1541" width="4.7109375" customWidth="1"/>
    <col min="1542" max="1542" width="28.85546875" bestFit="1" customWidth="1"/>
    <col min="1543" max="1543" width="16.85546875" bestFit="1" customWidth="1"/>
    <col min="1794" max="1794" width="34.28515625" bestFit="1" customWidth="1"/>
    <col min="1795" max="1795" width="15.5703125" bestFit="1" customWidth="1"/>
    <col min="1796" max="1796" width="15.28515625" bestFit="1" customWidth="1"/>
    <col min="1797" max="1797" width="4.7109375" customWidth="1"/>
    <col min="1798" max="1798" width="28.85546875" bestFit="1" customWidth="1"/>
    <col min="1799" max="1799" width="16.85546875" bestFit="1" customWidth="1"/>
    <col min="2050" max="2050" width="34.28515625" bestFit="1" customWidth="1"/>
    <col min="2051" max="2051" width="15.5703125" bestFit="1" customWidth="1"/>
    <col min="2052" max="2052" width="15.28515625" bestFit="1" customWidth="1"/>
    <col min="2053" max="2053" width="4.7109375" customWidth="1"/>
    <col min="2054" max="2054" width="28.85546875" bestFit="1" customWidth="1"/>
    <col min="2055" max="2055" width="16.85546875" bestFit="1" customWidth="1"/>
    <col min="2306" max="2306" width="34.28515625" bestFit="1" customWidth="1"/>
    <col min="2307" max="2307" width="15.5703125" bestFit="1" customWidth="1"/>
    <col min="2308" max="2308" width="15.28515625" bestFit="1" customWidth="1"/>
    <col min="2309" max="2309" width="4.7109375" customWidth="1"/>
    <col min="2310" max="2310" width="28.85546875" bestFit="1" customWidth="1"/>
    <col min="2311" max="2311" width="16.85546875" bestFit="1" customWidth="1"/>
    <col min="2562" max="2562" width="34.28515625" bestFit="1" customWidth="1"/>
    <col min="2563" max="2563" width="15.5703125" bestFit="1" customWidth="1"/>
    <col min="2564" max="2564" width="15.28515625" bestFit="1" customWidth="1"/>
    <col min="2565" max="2565" width="4.7109375" customWidth="1"/>
    <col min="2566" max="2566" width="28.85546875" bestFit="1" customWidth="1"/>
    <col min="2567" max="2567" width="16.85546875" bestFit="1" customWidth="1"/>
    <col min="2818" max="2818" width="34.28515625" bestFit="1" customWidth="1"/>
    <col min="2819" max="2819" width="15.5703125" bestFit="1" customWidth="1"/>
    <col min="2820" max="2820" width="15.28515625" bestFit="1" customWidth="1"/>
    <col min="2821" max="2821" width="4.7109375" customWidth="1"/>
    <col min="2822" max="2822" width="28.85546875" bestFit="1" customWidth="1"/>
    <col min="2823" max="2823" width="16.85546875" bestFit="1" customWidth="1"/>
    <col min="3074" max="3074" width="34.28515625" bestFit="1" customWidth="1"/>
    <col min="3075" max="3075" width="15.5703125" bestFit="1" customWidth="1"/>
    <col min="3076" max="3076" width="15.28515625" bestFit="1" customWidth="1"/>
    <col min="3077" max="3077" width="4.7109375" customWidth="1"/>
    <col min="3078" max="3078" width="28.85546875" bestFit="1" customWidth="1"/>
    <col min="3079" max="3079" width="16.85546875" bestFit="1" customWidth="1"/>
    <col min="3330" max="3330" width="34.28515625" bestFit="1" customWidth="1"/>
    <col min="3331" max="3331" width="15.5703125" bestFit="1" customWidth="1"/>
    <col min="3332" max="3332" width="15.28515625" bestFit="1" customWidth="1"/>
    <col min="3333" max="3333" width="4.7109375" customWidth="1"/>
    <col min="3334" max="3334" width="28.85546875" bestFit="1" customWidth="1"/>
    <col min="3335" max="3335" width="16.85546875" bestFit="1" customWidth="1"/>
    <col min="3586" max="3586" width="34.28515625" bestFit="1" customWidth="1"/>
    <col min="3587" max="3587" width="15.5703125" bestFit="1" customWidth="1"/>
    <col min="3588" max="3588" width="15.28515625" bestFit="1" customWidth="1"/>
    <col min="3589" max="3589" width="4.7109375" customWidth="1"/>
    <col min="3590" max="3590" width="28.85546875" bestFit="1" customWidth="1"/>
    <col min="3591" max="3591" width="16.85546875" bestFit="1" customWidth="1"/>
    <col min="3842" max="3842" width="34.28515625" bestFit="1" customWidth="1"/>
    <col min="3843" max="3843" width="15.5703125" bestFit="1" customWidth="1"/>
    <col min="3844" max="3844" width="15.28515625" bestFit="1" customWidth="1"/>
    <col min="3845" max="3845" width="4.7109375" customWidth="1"/>
    <col min="3846" max="3846" width="28.85546875" bestFit="1" customWidth="1"/>
    <col min="3847" max="3847" width="16.85546875" bestFit="1" customWidth="1"/>
    <col min="4098" max="4098" width="34.28515625" bestFit="1" customWidth="1"/>
    <col min="4099" max="4099" width="15.5703125" bestFit="1" customWidth="1"/>
    <col min="4100" max="4100" width="15.28515625" bestFit="1" customWidth="1"/>
    <col min="4101" max="4101" width="4.7109375" customWidth="1"/>
    <col min="4102" max="4102" width="28.85546875" bestFit="1" customWidth="1"/>
    <col min="4103" max="4103" width="16.85546875" bestFit="1" customWidth="1"/>
    <col min="4354" max="4354" width="34.28515625" bestFit="1" customWidth="1"/>
    <col min="4355" max="4355" width="15.5703125" bestFit="1" customWidth="1"/>
    <col min="4356" max="4356" width="15.28515625" bestFit="1" customWidth="1"/>
    <col min="4357" max="4357" width="4.7109375" customWidth="1"/>
    <col min="4358" max="4358" width="28.85546875" bestFit="1" customWidth="1"/>
    <col min="4359" max="4359" width="16.85546875" bestFit="1" customWidth="1"/>
    <col min="4610" max="4610" width="34.28515625" bestFit="1" customWidth="1"/>
    <col min="4611" max="4611" width="15.5703125" bestFit="1" customWidth="1"/>
    <col min="4612" max="4612" width="15.28515625" bestFit="1" customWidth="1"/>
    <col min="4613" max="4613" width="4.7109375" customWidth="1"/>
    <col min="4614" max="4614" width="28.85546875" bestFit="1" customWidth="1"/>
    <col min="4615" max="4615" width="16.85546875" bestFit="1" customWidth="1"/>
    <col min="4866" max="4866" width="34.28515625" bestFit="1" customWidth="1"/>
    <col min="4867" max="4867" width="15.5703125" bestFit="1" customWidth="1"/>
    <col min="4868" max="4868" width="15.28515625" bestFit="1" customWidth="1"/>
    <col min="4869" max="4869" width="4.7109375" customWidth="1"/>
    <col min="4870" max="4870" width="28.85546875" bestFit="1" customWidth="1"/>
    <col min="4871" max="4871" width="16.85546875" bestFit="1" customWidth="1"/>
    <col min="5122" max="5122" width="34.28515625" bestFit="1" customWidth="1"/>
    <col min="5123" max="5123" width="15.5703125" bestFit="1" customWidth="1"/>
    <col min="5124" max="5124" width="15.28515625" bestFit="1" customWidth="1"/>
    <col min="5125" max="5125" width="4.7109375" customWidth="1"/>
    <col min="5126" max="5126" width="28.85546875" bestFit="1" customWidth="1"/>
    <col min="5127" max="5127" width="16.85546875" bestFit="1" customWidth="1"/>
    <col min="5378" max="5378" width="34.28515625" bestFit="1" customWidth="1"/>
    <col min="5379" max="5379" width="15.5703125" bestFit="1" customWidth="1"/>
    <col min="5380" max="5380" width="15.28515625" bestFit="1" customWidth="1"/>
    <col min="5381" max="5381" width="4.7109375" customWidth="1"/>
    <col min="5382" max="5382" width="28.85546875" bestFit="1" customWidth="1"/>
    <col min="5383" max="5383" width="16.85546875" bestFit="1" customWidth="1"/>
    <col min="5634" max="5634" width="34.28515625" bestFit="1" customWidth="1"/>
    <col min="5635" max="5635" width="15.5703125" bestFit="1" customWidth="1"/>
    <col min="5636" max="5636" width="15.28515625" bestFit="1" customWidth="1"/>
    <col min="5637" max="5637" width="4.7109375" customWidth="1"/>
    <col min="5638" max="5638" width="28.85546875" bestFit="1" customWidth="1"/>
    <col min="5639" max="5639" width="16.85546875" bestFit="1" customWidth="1"/>
    <col min="5890" max="5890" width="34.28515625" bestFit="1" customWidth="1"/>
    <col min="5891" max="5891" width="15.5703125" bestFit="1" customWidth="1"/>
    <col min="5892" max="5892" width="15.28515625" bestFit="1" customWidth="1"/>
    <col min="5893" max="5893" width="4.7109375" customWidth="1"/>
    <col min="5894" max="5894" width="28.85546875" bestFit="1" customWidth="1"/>
    <col min="5895" max="5895" width="16.85546875" bestFit="1" customWidth="1"/>
    <col min="6146" max="6146" width="34.28515625" bestFit="1" customWidth="1"/>
    <col min="6147" max="6147" width="15.5703125" bestFit="1" customWidth="1"/>
    <col min="6148" max="6148" width="15.28515625" bestFit="1" customWidth="1"/>
    <col min="6149" max="6149" width="4.7109375" customWidth="1"/>
    <col min="6150" max="6150" width="28.85546875" bestFit="1" customWidth="1"/>
    <col min="6151" max="6151" width="16.85546875" bestFit="1" customWidth="1"/>
    <col min="6402" max="6402" width="34.28515625" bestFit="1" customWidth="1"/>
    <col min="6403" max="6403" width="15.5703125" bestFit="1" customWidth="1"/>
    <col min="6404" max="6404" width="15.28515625" bestFit="1" customWidth="1"/>
    <col min="6405" max="6405" width="4.7109375" customWidth="1"/>
    <col min="6406" max="6406" width="28.85546875" bestFit="1" customWidth="1"/>
    <col min="6407" max="6407" width="16.85546875" bestFit="1" customWidth="1"/>
    <col min="6658" max="6658" width="34.28515625" bestFit="1" customWidth="1"/>
    <col min="6659" max="6659" width="15.5703125" bestFit="1" customWidth="1"/>
    <col min="6660" max="6660" width="15.28515625" bestFit="1" customWidth="1"/>
    <col min="6661" max="6661" width="4.7109375" customWidth="1"/>
    <col min="6662" max="6662" width="28.85546875" bestFit="1" customWidth="1"/>
    <col min="6663" max="6663" width="16.85546875" bestFit="1" customWidth="1"/>
    <col min="6914" max="6914" width="34.28515625" bestFit="1" customWidth="1"/>
    <col min="6915" max="6915" width="15.5703125" bestFit="1" customWidth="1"/>
    <col min="6916" max="6916" width="15.28515625" bestFit="1" customWidth="1"/>
    <col min="6917" max="6917" width="4.7109375" customWidth="1"/>
    <col min="6918" max="6918" width="28.85546875" bestFit="1" customWidth="1"/>
    <col min="6919" max="6919" width="16.85546875" bestFit="1" customWidth="1"/>
    <col min="7170" max="7170" width="34.28515625" bestFit="1" customWidth="1"/>
    <col min="7171" max="7171" width="15.5703125" bestFit="1" customWidth="1"/>
    <col min="7172" max="7172" width="15.28515625" bestFit="1" customWidth="1"/>
    <col min="7173" max="7173" width="4.7109375" customWidth="1"/>
    <col min="7174" max="7174" width="28.85546875" bestFit="1" customWidth="1"/>
    <col min="7175" max="7175" width="16.85546875" bestFit="1" customWidth="1"/>
    <col min="7426" max="7426" width="34.28515625" bestFit="1" customWidth="1"/>
    <col min="7427" max="7427" width="15.5703125" bestFit="1" customWidth="1"/>
    <col min="7428" max="7428" width="15.28515625" bestFit="1" customWidth="1"/>
    <col min="7429" max="7429" width="4.7109375" customWidth="1"/>
    <col min="7430" max="7430" width="28.85546875" bestFit="1" customWidth="1"/>
    <col min="7431" max="7431" width="16.85546875" bestFit="1" customWidth="1"/>
    <col min="7682" max="7682" width="34.28515625" bestFit="1" customWidth="1"/>
    <col min="7683" max="7683" width="15.5703125" bestFit="1" customWidth="1"/>
    <col min="7684" max="7684" width="15.28515625" bestFit="1" customWidth="1"/>
    <col min="7685" max="7685" width="4.7109375" customWidth="1"/>
    <col min="7686" max="7686" width="28.85546875" bestFit="1" customWidth="1"/>
    <col min="7687" max="7687" width="16.85546875" bestFit="1" customWidth="1"/>
    <col min="7938" max="7938" width="34.28515625" bestFit="1" customWidth="1"/>
    <col min="7939" max="7939" width="15.5703125" bestFit="1" customWidth="1"/>
    <col min="7940" max="7940" width="15.28515625" bestFit="1" customWidth="1"/>
    <col min="7941" max="7941" width="4.7109375" customWidth="1"/>
    <col min="7942" max="7942" width="28.85546875" bestFit="1" customWidth="1"/>
    <col min="7943" max="7943" width="16.85546875" bestFit="1" customWidth="1"/>
    <col min="8194" max="8194" width="34.28515625" bestFit="1" customWidth="1"/>
    <col min="8195" max="8195" width="15.5703125" bestFit="1" customWidth="1"/>
    <col min="8196" max="8196" width="15.28515625" bestFit="1" customWidth="1"/>
    <col min="8197" max="8197" width="4.7109375" customWidth="1"/>
    <col min="8198" max="8198" width="28.85546875" bestFit="1" customWidth="1"/>
    <col min="8199" max="8199" width="16.85546875" bestFit="1" customWidth="1"/>
    <col min="8450" max="8450" width="34.28515625" bestFit="1" customWidth="1"/>
    <col min="8451" max="8451" width="15.5703125" bestFit="1" customWidth="1"/>
    <col min="8452" max="8452" width="15.28515625" bestFit="1" customWidth="1"/>
    <col min="8453" max="8453" width="4.7109375" customWidth="1"/>
    <col min="8454" max="8454" width="28.85546875" bestFit="1" customWidth="1"/>
    <col min="8455" max="8455" width="16.85546875" bestFit="1" customWidth="1"/>
    <col min="8706" max="8706" width="34.28515625" bestFit="1" customWidth="1"/>
    <col min="8707" max="8707" width="15.5703125" bestFit="1" customWidth="1"/>
    <col min="8708" max="8708" width="15.28515625" bestFit="1" customWidth="1"/>
    <col min="8709" max="8709" width="4.7109375" customWidth="1"/>
    <col min="8710" max="8710" width="28.85546875" bestFit="1" customWidth="1"/>
    <col min="8711" max="8711" width="16.85546875" bestFit="1" customWidth="1"/>
    <col min="8962" max="8962" width="34.28515625" bestFit="1" customWidth="1"/>
    <col min="8963" max="8963" width="15.5703125" bestFit="1" customWidth="1"/>
    <col min="8964" max="8964" width="15.28515625" bestFit="1" customWidth="1"/>
    <col min="8965" max="8965" width="4.7109375" customWidth="1"/>
    <col min="8966" max="8966" width="28.85546875" bestFit="1" customWidth="1"/>
    <col min="8967" max="8967" width="16.85546875" bestFit="1" customWidth="1"/>
    <col min="9218" max="9218" width="34.28515625" bestFit="1" customWidth="1"/>
    <col min="9219" max="9219" width="15.5703125" bestFit="1" customWidth="1"/>
    <col min="9220" max="9220" width="15.28515625" bestFit="1" customWidth="1"/>
    <col min="9221" max="9221" width="4.7109375" customWidth="1"/>
    <col min="9222" max="9222" width="28.85546875" bestFit="1" customWidth="1"/>
    <col min="9223" max="9223" width="16.85546875" bestFit="1" customWidth="1"/>
    <col min="9474" max="9474" width="34.28515625" bestFit="1" customWidth="1"/>
    <col min="9475" max="9475" width="15.5703125" bestFit="1" customWidth="1"/>
    <col min="9476" max="9476" width="15.28515625" bestFit="1" customWidth="1"/>
    <col min="9477" max="9477" width="4.7109375" customWidth="1"/>
    <col min="9478" max="9478" width="28.85546875" bestFit="1" customWidth="1"/>
    <col min="9479" max="9479" width="16.85546875" bestFit="1" customWidth="1"/>
    <col min="9730" max="9730" width="34.28515625" bestFit="1" customWidth="1"/>
    <col min="9731" max="9731" width="15.5703125" bestFit="1" customWidth="1"/>
    <col min="9732" max="9732" width="15.28515625" bestFit="1" customWidth="1"/>
    <col min="9733" max="9733" width="4.7109375" customWidth="1"/>
    <col min="9734" max="9734" width="28.85546875" bestFit="1" customWidth="1"/>
    <col min="9735" max="9735" width="16.85546875" bestFit="1" customWidth="1"/>
    <col min="9986" max="9986" width="34.28515625" bestFit="1" customWidth="1"/>
    <col min="9987" max="9987" width="15.5703125" bestFit="1" customWidth="1"/>
    <col min="9988" max="9988" width="15.28515625" bestFit="1" customWidth="1"/>
    <col min="9989" max="9989" width="4.7109375" customWidth="1"/>
    <col min="9990" max="9990" width="28.85546875" bestFit="1" customWidth="1"/>
    <col min="9991" max="9991" width="16.85546875" bestFit="1" customWidth="1"/>
    <col min="10242" max="10242" width="34.28515625" bestFit="1" customWidth="1"/>
    <col min="10243" max="10243" width="15.5703125" bestFit="1" customWidth="1"/>
    <col min="10244" max="10244" width="15.28515625" bestFit="1" customWidth="1"/>
    <col min="10245" max="10245" width="4.7109375" customWidth="1"/>
    <col min="10246" max="10246" width="28.85546875" bestFit="1" customWidth="1"/>
    <col min="10247" max="10247" width="16.85546875" bestFit="1" customWidth="1"/>
    <col min="10498" max="10498" width="34.28515625" bestFit="1" customWidth="1"/>
    <col min="10499" max="10499" width="15.5703125" bestFit="1" customWidth="1"/>
    <col min="10500" max="10500" width="15.28515625" bestFit="1" customWidth="1"/>
    <col min="10501" max="10501" width="4.7109375" customWidth="1"/>
    <col min="10502" max="10502" width="28.85546875" bestFit="1" customWidth="1"/>
    <col min="10503" max="10503" width="16.85546875" bestFit="1" customWidth="1"/>
    <col min="10754" max="10754" width="34.28515625" bestFit="1" customWidth="1"/>
    <col min="10755" max="10755" width="15.5703125" bestFit="1" customWidth="1"/>
    <col min="10756" max="10756" width="15.28515625" bestFit="1" customWidth="1"/>
    <col min="10757" max="10757" width="4.7109375" customWidth="1"/>
    <col min="10758" max="10758" width="28.85546875" bestFit="1" customWidth="1"/>
    <col min="10759" max="10759" width="16.85546875" bestFit="1" customWidth="1"/>
    <col min="11010" max="11010" width="34.28515625" bestFit="1" customWidth="1"/>
    <col min="11011" max="11011" width="15.5703125" bestFit="1" customWidth="1"/>
    <col min="11012" max="11012" width="15.28515625" bestFit="1" customWidth="1"/>
    <col min="11013" max="11013" width="4.7109375" customWidth="1"/>
    <col min="11014" max="11014" width="28.85546875" bestFit="1" customWidth="1"/>
    <col min="11015" max="11015" width="16.85546875" bestFit="1" customWidth="1"/>
    <col min="11266" max="11266" width="34.28515625" bestFit="1" customWidth="1"/>
    <col min="11267" max="11267" width="15.5703125" bestFit="1" customWidth="1"/>
    <col min="11268" max="11268" width="15.28515625" bestFit="1" customWidth="1"/>
    <col min="11269" max="11269" width="4.7109375" customWidth="1"/>
    <col min="11270" max="11270" width="28.85546875" bestFit="1" customWidth="1"/>
    <col min="11271" max="11271" width="16.85546875" bestFit="1" customWidth="1"/>
    <col min="11522" max="11522" width="34.28515625" bestFit="1" customWidth="1"/>
    <col min="11523" max="11523" width="15.5703125" bestFit="1" customWidth="1"/>
    <col min="11524" max="11524" width="15.28515625" bestFit="1" customWidth="1"/>
    <col min="11525" max="11525" width="4.7109375" customWidth="1"/>
    <col min="11526" max="11526" width="28.85546875" bestFit="1" customWidth="1"/>
    <col min="11527" max="11527" width="16.85546875" bestFit="1" customWidth="1"/>
    <col min="11778" max="11778" width="34.28515625" bestFit="1" customWidth="1"/>
    <col min="11779" max="11779" width="15.5703125" bestFit="1" customWidth="1"/>
    <col min="11780" max="11780" width="15.28515625" bestFit="1" customWidth="1"/>
    <col min="11781" max="11781" width="4.7109375" customWidth="1"/>
    <col min="11782" max="11782" width="28.85546875" bestFit="1" customWidth="1"/>
    <col min="11783" max="11783" width="16.85546875" bestFit="1" customWidth="1"/>
    <col min="12034" max="12034" width="34.28515625" bestFit="1" customWidth="1"/>
    <col min="12035" max="12035" width="15.5703125" bestFit="1" customWidth="1"/>
    <col min="12036" max="12036" width="15.28515625" bestFit="1" customWidth="1"/>
    <col min="12037" max="12037" width="4.7109375" customWidth="1"/>
    <col min="12038" max="12038" width="28.85546875" bestFit="1" customWidth="1"/>
    <col min="12039" max="12039" width="16.85546875" bestFit="1" customWidth="1"/>
    <col min="12290" max="12290" width="34.28515625" bestFit="1" customWidth="1"/>
    <col min="12291" max="12291" width="15.5703125" bestFit="1" customWidth="1"/>
    <col min="12292" max="12292" width="15.28515625" bestFit="1" customWidth="1"/>
    <col min="12293" max="12293" width="4.7109375" customWidth="1"/>
    <col min="12294" max="12294" width="28.85546875" bestFit="1" customWidth="1"/>
    <col min="12295" max="12295" width="16.85546875" bestFit="1" customWidth="1"/>
    <col min="12546" max="12546" width="34.28515625" bestFit="1" customWidth="1"/>
    <col min="12547" max="12547" width="15.5703125" bestFit="1" customWidth="1"/>
    <col min="12548" max="12548" width="15.28515625" bestFit="1" customWidth="1"/>
    <col min="12549" max="12549" width="4.7109375" customWidth="1"/>
    <col min="12550" max="12550" width="28.85546875" bestFit="1" customWidth="1"/>
    <col min="12551" max="12551" width="16.85546875" bestFit="1" customWidth="1"/>
    <col min="12802" max="12802" width="34.28515625" bestFit="1" customWidth="1"/>
    <col min="12803" max="12803" width="15.5703125" bestFit="1" customWidth="1"/>
    <col min="12804" max="12804" width="15.28515625" bestFit="1" customWidth="1"/>
    <col min="12805" max="12805" width="4.7109375" customWidth="1"/>
    <col min="12806" max="12806" width="28.85546875" bestFit="1" customWidth="1"/>
    <col min="12807" max="12807" width="16.85546875" bestFit="1" customWidth="1"/>
    <col min="13058" max="13058" width="34.28515625" bestFit="1" customWidth="1"/>
    <col min="13059" max="13059" width="15.5703125" bestFit="1" customWidth="1"/>
    <col min="13060" max="13060" width="15.28515625" bestFit="1" customWidth="1"/>
    <col min="13061" max="13061" width="4.7109375" customWidth="1"/>
    <col min="13062" max="13062" width="28.85546875" bestFit="1" customWidth="1"/>
    <col min="13063" max="13063" width="16.85546875" bestFit="1" customWidth="1"/>
    <col min="13314" max="13314" width="34.28515625" bestFit="1" customWidth="1"/>
    <col min="13315" max="13315" width="15.5703125" bestFit="1" customWidth="1"/>
    <col min="13316" max="13316" width="15.28515625" bestFit="1" customWidth="1"/>
    <col min="13317" max="13317" width="4.7109375" customWidth="1"/>
    <col min="13318" max="13318" width="28.85546875" bestFit="1" customWidth="1"/>
    <col min="13319" max="13319" width="16.85546875" bestFit="1" customWidth="1"/>
    <col min="13570" max="13570" width="34.28515625" bestFit="1" customWidth="1"/>
    <col min="13571" max="13571" width="15.5703125" bestFit="1" customWidth="1"/>
    <col min="13572" max="13572" width="15.28515625" bestFit="1" customWidth="1"/>
    <col min="13573" max="13573" width="4.7109375" customWidth="1"/>
    <col min="13574" max="13574" width="28.85546875" bestFit="1" customWidth="1"/>
    <col min="13575" max="13575" width="16.85546875" bestFit="1" customWidth="1"/>
    <col min="13826" max="13826" width="34.28515625" bestFit="1" customWidth="1"/>
    <col min="13827" max="13827" width="15.5703125" bestFit="1" customWidth="1"/>
    <col min="13828" max="13828" width="15.28515625" bestFit="1" customWidth="1"/>
    <col min="13829" max="13829" width="4.7109375" customWidth="1"/>
    <col min="13830" max="13830" width="28.85546875" bestFit="1" customWidth="1"/>
    <col min="13831" max="13831" width="16.85546875" bestFit="1" customWidth="1"/>
    <col min="14082" max="14082" width="34.28515625" bestFit="1" customWidth="1"/>
    <col min="14083" max="14083" width="15.5703125" bestFit="1" customWidth="1"/>
    <col min="14084" max="14084" width="15.28515625" bestFit="1" customWidth="1"/>
    <col min="14085" max="14085" width="4.7109375" customWidth="1"/>
    <col min="14086" max="14086" width="28.85546875" bestFit="1" customWidth="1"/>
    <col min="14087" max="14087" width="16.85546875" bestFit="1" customWidth="1"/>
    <col min="14338" max="14338" width="34.28515625" bestFit="1" customWidth="1"/>
    <col min="14339" max="14339" width="15.5703125" bestFit="1" customWidth="1"/>
    <col min="14340" max="14340" width="15.28515625" bestFit="1" customWidth="1"/>
    <col min="14341" max="14341" width="4.7109375" customWidth="1"/>
    <col min="14342" max="14342" width="28.85546875" bestFit="1" customWidth="1"/>
    <col min="14343" max="14343" width="16.85546875" bestFit="1" customWidth="1"/>
    <col min="14594" max="14594" width="34.28515625" bestFit="1" customWidth="1"/>
    <col min="14595" max="14595" width="15.5703125" bestFit="1" customWidth="1"/>
    <col min="14596" max="14596" width="15.28515625" bestFit="1" customWidth="1"/>
    <col min="14597" max="14597" width="4.7109375" customWidth="1"/>
    <col min="14598" max="14598" width="28.85546875" bestFit="1" customWidth="1"/>
    <col min="14599" max="14599" width="16.85546875" bestFit="1" customWidth="1"/>
    <col min="14850" max="14850" width="34.28515625" bestFit="1" customWidth="1"/>
    <col min="14851" max="14851" width="15.5703125" bestFit="1" customWidth="1"/>
    <col min="14852" max="14852" width="15.28515625" bestFit="1" customWidth="1"/>
    <col min="14853" max="14853" width="4.7109375" customWidth="1"/>
    <col min="14854" max="14854" width="28.85546875" bestFit="1" customWidth="1"/>
    <col min="14855" max="14855" width="16.85546875" bestFit="1" customWidth="1"/>
    <col min="15106" max="15106" width="34.28515625" bestFit="1" customWidth="1"/>
    <col min="15107" max="15107" width="15.5703125" bestFit="1" customWidth="1"/>
    <col min="15108" max="15108" width="15.28515625" bestFit="1" customWidth="1"/>
    <col min="15109" max="15109" width="4.7109375" customWidth="1"/>
    <col min="15110" max="15110" width="28.85546875" bestFit="1" customWidth="1"/>
    <col min="15111" max="15111" width="16.85546875" bestFit="1" customWidth="1"/>
    <col min="15362" max="15362" width="34.28515625" bestFit="1" customWidth="1"/>
    <col min="15363" max="15363" width="15.5703125" bestFit="1" customWidth="1"/>
    <col min="15364" max="15364" width="15.28515625" bestFit="1" customWidth="1"/>
    <col min="15365" max="15365" width="4.7109375" customWidth="1"/>
    <col min="15366" max="15366" width="28.85546875" bestFit="1" customWidth="1"/>
    <col min="15367" max="15367" width="16.85546875" bestFit="1" customWidth="1"/>
    <col min="15618" max="15618" width="34.28515625" bestFit="1" customWidth="1"/>
    <col min="15619" max="15619" width="15.5703125" bestFit="1" customWidth="1"/>
    <col min="15620" max="15620" width="15.28515625" bestFit="1" customWidth="1"/>
    <col min="15621" max="15621" width="4.7109375" customWidth="1"/>
    <col min="15622" max="15622" width="28.85546875" bestFit="1" customWidth="1"/>
    <col min="15623" max="15623" width="16.85546875" bestFit="1" customWidth="1"/>
    <col min="15874" max="15874" width="34.28515625" bestFit="1" customWidth="1"/>
    <col min="15875" max="15875" width="15.5703125" bestFit="1" customWidth="1"/>
    <col min="15876" max="15876" width="15.28515625" bestFit="1" customWidth="1"/>
    <col min="15877" max="15877" width="4.7109375" customWidth="1"/>
    <col min="15878" max="15878" width="28.85546875" bestFit="1" customWidth="1"/>
    <col min="15879" max="15879" width="16.85546875" bestFit="1" customWidth="1"/>
    <col min="16130" max="16130" width="34.28515625" bestFit="1" customWidth="1"/>
    <col min="16131" max="16131" width="15.5703125" bestFit="1" customWidth="1"/>
    <col min="16132" max="16132" width="15.28515625" bestFit="1" customWidth="1"/>
    <col min="16133" max="16133" width="4.7109375" customWidth="1"/>
    <col min="16134" max="16134" width="28.85546875" bestFit="1" customWidth="1"/>
    <col min="16135" max="16135" width="16.85546875" bestFit="1" customWidth="1"/>
  </cols>
  <sheetData>
    <row r="1" spans="1:9" ht="15.75">
      <c r="A1" s="1"/>
      <c r="B1" s="1"/>
      <c r="C1" s="1"/>
      <c r="D1" s="1"/>
      <c r="E1" s="1"/>
      <c r="F1" s="1"/>
      <c r="G1" s="1"/>
      <c r="H1" s="1"/>
      <c r="I1" s="1"/>
    </row>
    <row r="2" spans="1:9" ht="15.75">
      <c r="A2" s="1"/>
      <c r="B2" s="190" t="s">
        <v>171</v>
      </c>
      <c r="C2" s="190"/>
      <c r="D2" s="190"/>
      <c r="E2" s="190"/>
      <c r="F2" s="190"/>
      <c r="G2" s="190"/>
      <c r="H2" s="1"/>
      <c r="I2" s="1"/>
    </row>
    <row r="3" spans="1:9" ht="15.75">
      <c r="A3" s="1"/>
      <c r="B3" s="190" t="s">
        <v>174</v>
      </c>
      <c r="C3" s="190"/>
      <c r="D3" s="190"/>
      <c r="E3" s="190"/>
      <c r="F3" s="190"/>
      <c r="G3" s="190"/>
      <c r="H3" s="1"/>
      <c r="I3" s="1"/>
    </row>
    <row r="4" spans="1:9" ht="15.75">
      <c r="A4" s="1"/>
      <c r="B4" s="1"/>
      <c r="C4" s="1"/>
      <c r="D4" s="1"/>
      <c r="E4" s="1"/>
      <c r="F4" s="1"/>
      <c r="G4" s="1"/>
      <c r="H4" s="1"/>
      <c r="I4" s="1"/>
    </row>
    <row r="5" spans="1:9" ht="15.75">
      <c r="A5" s="1"/>
      <c r="B5" s="192" t="s">
        <v>170</v>
      </c>
      <c r="C5" s="192"/>
      <c r="D5" s="192"/>
      <c r="E5" s="1"/>
      <c r="G5" s="1"/>
      <c r="H5" s="1"/>
      <c r="I5" s="1"/>
    </row>
    <row r="6" spans="1:9" ht="15.75">
      <c r="A6" s="1"/>
      <c r="B6" s="1"/>
      <c r="C6" s="1"/>
      <c r="D6" s="1"/>
      <c r="E6" s="1"/>
      <c r="F6" s="1"/>
      <c r="G6" s="1"/>
      <c r="H6" s="1"/>
      <c r="I6" s="1"/>
    </row>
    <row r="7" spans="1:9" ht="15.75">
      <c r="A7" s="1"/>
      <c r="B7" s="112" t="s">
        <v>172</v>
      </c>
      <c r="C7" s="113"/>
      <c r="D7" s="164">
        <v>50000000</v>
      </c>
      <c r="E7" s="114"/>
      <c r="F7" s="114"/>
      <c r="G7" s="114"/>
      <c r="H7" s="114"/>
      <c r="I7" s="1"/>
    </row>
    <row r="8" spans="1:9" ht="15.75">
      <c r="A8" s="1"/>
      <c r="B8" s="115"/>
      <c r="C8" s="116"/>
      <c r="D8" s="117"/>
      <c r="E8" s="114"/>
      <c r="F8" s="114"/>
      <c r="G8" s="114"/>
      <c r="H8" s="114"/>
      <c r="I8" s="1"/>
    </row>
    <row r="9" spans="1:9" ht="15.75">
      <c r="A9" s="1"/>
      <c r="B9" s="115" t="s">
        <v>191</v>
      </c>
      <c r="C9" s="116"/>
      <c r="D9" s="165">
        <v>40000000</v>
      </c>
      <c r="E9" s="114"/>
      <c r="F9" s="114"/>
      <c r="G9" s="114"/>
      <c r="H9" s="114"/>
      <c r="I9" s="1"/>
    </row>
    <row r="10" spans="1:9" ht="15.75">
      <c r="A10" s="1"/>
      <c r="B10" s="115"/>
      <c r="C10" s="116"/>
      <c r="D10" s="117"/>
      <c r="E10" s="114"/>
      <c r="F10" s="114"/>
      <c r="G10" s="114"/>
      <c r="H10" s="114"/>
      <c r="I10" s="1"/>
    </row>
    <row r="11" spans="1:9" ht="15.75">
      <c r="A11" s="1"/>
      <c r="B11" s="115" t="s">
        <v>192</v>
      </c>
      <c r="C11" s="116"/>
      <c r="D11" s="165">
        <v>30000000</v>
      </c>
      <c r="E11" s="193" t="s">
        <v>190</v>
      </c>
      <c r="F11" s="114"/>
      <c r="G11" s="114"/>
      <c r="H11" s="114"/>
      <c r="I11" s="1"/>
    </row>
    <row r="12" spans="1:9" ht="15.75">
      <c r="A12" s="1"/>
      <c r="B12" s="115"/>
      <c r="C12" s="116"/>
      <c r="D12" s="119"/>
      <c r="E12" s="193"/>
      <c r="F12" s="114"/>
      <c r="G12" s="114"/>
      <c r="H12" s="114"/>
      <c r="I12" s="1"/>
    </row>
    <row r="13" spans="1:9" ht="31.5">
      <c r="A13" s="1"/>
      <c r="B13" s="120" t="s">
        <v>193</v>
      </c>
      <c r="C13" s="121"/>
      <c r="D13" s="160">
        <f>SUM(D7:D11)</f>
        <v>120000000</v>
      </c>
      <c r="E13" s="114"/>
      <c r="F13" s="122" t="s">
        <v>167</v>
      </c>
      <c r="G13" s="167">
        <v>100000000</v>
      </c>
      <c r="H13" s="114"/>
      <c r="I13" s="1"/>
    </row>
    <row r="14" spans="1:9" ht="15.75">
      <c r="A14" s="1"/>
      <c r="B14" s="1"/>
      <c r="C14" s="1"/>
      <c r="D14" s="114"/>
      <c r="E14" s="114"/>
      <c r="F14" s="114"/>
      <c r="G14" s="114"/>
      <c r="H14" s="114"/>
      <c r="I14" s="1"/>
    </row>
    <row r="15" spans="1:9" ht="15.75">
      <c r="A15" s="1"/>
      <c r="B15" s="97" t="s">
        <v>173</v>
      </c>
      <c r="C15" s="1"/>
      <c r="D15" s="114"/>
      <c r="E15" s="114"/>
      <c r="F15" s="114"/>
      <c r="G15" s="114"/>
      <c r="H15" s="114"/>
      <c r="I15" s="1"/>
    </row>
    <row r="16" spans="1:9" ht="15.75">
      <c r="A16" s="1"/>
      <c r="B16" s="1"/>
      <c r="C16" s="1"/>
      <c r="D16" s="114"/>
      <c r="E16" s="114"/>
      <c r="F16" s="114"/>
      <c r="G16" s="114"/>
      <c r="H16" s="114"/>
      <c r="I16" s="1"/>
    </row>
    <row r="17" spans="1:9" ht="15.75">
      <c r="A17" s="1"/>
      <c r="B17" s="128" t="s">
        <v>185</v>
      </c>
      <c r="C17" s="129"/>
      <c r="D17" s="130">
        <v>60000000</v>
      </c>
      <c r="E17" s="114"/>
      <c r="F17" s="114"/>
      <c r="G17" s="114"/>
      <c r="H17" s="114"/>
      <c r="I17" s="1"/>
    </row>
    <row r="18" spans="1:9" ht="15.75">
      <c r="A18" s="1"/>
      <c r="B18" s="1"/>
      <c r="C18" s="1"/>
      <c r="D18" s="114"/>
      <c r="E18" s="114"/>
      <c r="F18" s="114"/>
      <c r="G18" s="114"/>
      <c r="H18" s="114"/>
      <c r="I18" s="1"/>
    </row>
    <row r="19" spans="1:9" ht="15.75">
      <c r="A19" s="1"/>
      <c r="B19" s="1"/>
      <c r="C19" s="1"/>
      <c r="D19" s="114"/>
      <c r="E19" s="114"/>
      <c r="F19" s="114"/>
      <c r="G19" s="114"/>
      <c r="H19" s="114"/>
      <c r="I19" s="1"/>
    </row>
    <row r="20" spans="1:9" ht="15.75">
      <c r="A20" s="1"/>
      <c r="B20" s="191" t="s">
        <v>187</v>
      </c>
      <c r="C20" s="191"/>
      <c r="D20" s="123">
        <f>IF(G20&lt;=0,+C26,+C24)</f>
        <v>28721000</v>
      </c>
      <c r="E20" s="97"/>
      <c r="F20" s="124" t="s">
        <v>168</v>
      </c>
      <c r="G20" s="125">
        <f>IF(G13&gt;D13,+'TARIFA ORDINARIO'!F35,0)</f>
        <v>0</v>
      </c>
      <c r="H20" s="1"/>
      <c r="I20" s="1"/>
    </row>
    <row r="21" spans="1:9" ht="15.75">
      <c r="A21" s="1"/>
      <c r="B21" s="115"/>
      <c r="C21" s="126"/>
      <c r="D21" s="1"/>
      <c r="E21" s="1"/>
      <c r="F21" s="1"/>
      <c r="G21" s="1"/>
      <c r="H21" s="1"/>
      <c r="I21" s="1"/>
    </row>
    <row r="22" spans="1:9" ht="15.75">
      <c r="A22" s="1"/>
      <c r="B22" s="118" t="s">
        <v>188</v>
      </c>
      <c r="C22" s="127">
        <f>+'TARIFA ORDINARIO'!F16</f>
        <v>21263000</v>
      </c>
      <c r="D22" s="1"/>
      <c r="E22" s="1"/>
      <c r="F22" s="1"/>
      <c r="G22" s="1"/>
      <c r="H22" s="1"/>
      <c r="I22" s="1"/>
    </row>
    <row r="23" spans="1:9" ht="15.75">
      <c r="A23" s="1"/>
      <c r="B23" s="115"/>
      <c r="C23" s="126"/>
      <c r="D23" s="1"/>
      <c r="E23" s="1"/>
      <c r="F23" s="1"/>
      <c r="G23" s="1"/>
      <c r="H23" s="1"/>
      <c r="I23" s="1"/>
    </row>
    <row r="24" spans="1:9" ht="17.25">
      <c r="A24" s="1"/>
      <c r="B24" s="118" t="s">
        <v>169</v>
      </c>
      <c r="C24" s="163">
        <f>ROUND((+D17/'TARIFA ORDINARIO'!F5-300)*0.15*'TARIFA ORDINARIO'!F5,-3)</f>
        <v>7458000</v>
      </c>
      <c r="D24" s="1"/>
      <c r="E24" s="1"/>
      <c r="F24" s="1"/>
      <c r="G24" s="1"/>
      <c r="H24" s="1"/>
      <c r="I24" s="1"/>
    </row>
    <row r="25" spans="1:9" ht="15.75">
      <c r="A25" s="1"/>
      <c r="B25" s="115"/>
      <c r="C25" s="126"/>
      <c r="D25" s="1"/>
      <c r="E25" s="1"/>
      <c r="F25" s="1"/>
      <c r="G25" s="1"/>
      <c r="H25" s="1"/>
      <c r="I25" s="1"/>
    </row>
    <row r="26" spans="1:9" ht="15.75">
      <c r="A26" s="1"/>
      <c r="B26" s="161" t="s">
        <v>189</v>
      </c>
      <c r="C26" s="162">
        <f>SUM(C21:C25)</f>
        <v>28721000</v>
      </c>
      <c r="D26" s="1"/>
      <c r="E26" s="1"/>
      <c r="F26" s="1"/>
      <c r="G26" s="1"/>
      <c r="H26" s="1"/>
      <c r="I26" s="1"/>
    </row>
    <row r="27" spans="1:9" ht="15.75">
      <c r="A27" s="1"/>
      <c r="B27" s="1"/>
      <c r="C27" s="1"/>
      <c r="D27" s="1"/>
      <c r="E27" s="1"/>
      <c r="F27" s="1"/>
      <c r="G27" s="1"/>
      <c r="H27" s="1"/>
      <c r="I27" s="1"/>
    </row>
    <row r="28" spans="1:9" ht="15.75">
      <c r="A28" s="1"/>
      <c r="B28" s="1"/>
      <c r="C28" s="1"/>
      <c r="D28" s="1"/>
      <c r="E28" s="1"/>
      <c r="F28" s="1"/>
      <c r="G28" s="1"/>
      <c r="H28" s="1"/>
      <c r="I28" s="1"/>
    </row>
    <row r="29" spans="1:9" ht="15.75">
      <c r="A29" s="1"/>
      <c r="B29" s="1" t="s">
        <v>0</v>
      </c>
      <c r="C29" s="1"/>
      <c r="D29" s="1"/>
      <c r="E29" s="1"/>
      <c r="F29" s="1"/>
      <c r="G29" s="1"/>
      <c r="H29" s="1"/>
      <c r="I29" s="1"/>
    </row>
    <row r="30" spans="1:9" ht="15.75">
      <c r="A30" s="1"/>
      <c r="B30" s="1"/>
      <c r="C30" s="1"/>
      <c r="D30" s="1"/>
      <c r="E30" s="1"/>
      <c r="F30" s="1"/>
      <c r="G30" s="1"/>
      <c r="H30" s="1"/>
      <c r="I30" s="1"/>
    </row>
    <row r="31" spans="1:9" ht="15.75">
      <c r="A31" s="1"/>
      <c r="B31" s="1"/>
      <c r="C31" s="1"/>
      <c r="D31" s="1"/>
      <c r="E31" s="1"/>
      <c r="F31" s="1"/>
      <c r="G31" s="1"/>
      <c r="H31" s="1"/>
      <c r="I31" s="1"/>
    </row>
  </sheetData>
  <sheetProtection password="CE28" sheet="1" objects="1" scenarios="1" formatCells="0" formatColumns="0" formatRows="0" insertColumns="0" insertRows="0" insertHyperlinks="0" deleteColumns="0" deleteRows="0" sort="0" autoFilter="0" pivotTables="0"/>
  <mergeCells count="5">
    <mergeCell ref="B2:G2"/>
    <mergeCell ref="B20:C20"/>
    <mergeCell ref="B3:G3"/>
    <mergeCell ref="B5:D5"/>
    <mergeCell ref="E11:E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1</vt:i4>
      </vt:variant>
    </vt:vector>
  </HeadingPairs>
  <TitlesOfParts>
    <vt:vector size="21" baseType="lpstr">
      <vt:lpstr>TARIFA ORDINARIO</vt:lpstr>
      <vt:lpstr>RESUMEN NATURALES</vt:lpstr>
      <vt:lpstr>REALIZACIÓN CESANTÍAS</vt:lpstr>
      <vt:lpstr>APORTES PENSIÓN</vt:lpstr>
      <vt:lpstr>RTAS EXENTAS ART. 206</vt:lpstr>
      <vt:lpstr>PRIMA COSTO DE VIDA</vt:lpstr>
      <vt:lpstr>TARIFA CG</vt:lpstr>
      <vt:lpstr>Num 1 241 E.T.</vt:lpstr>
      <vt:lpstr>Num 2 241 E.T.</vt:lpstr>
      <vt:lpstr>TARIFA DIVIDENDOS</vt:lpstr>
      <vt:lpstr>TRANSITORIO DIVIDENDOS</vt:lpstr>
      <vt:lpstr>SEGUROS DE VIDA</vt:lpstr>
      <vt:lpstr>RENTA CEDULAR</vt:lpstr>
      <vt:lpstr>RENTA LÍQUIDA</vt:lpstr>
      <vt:lpstr>RENTA PRESUNTIVA</vt:lpstr>
      <vt:lpstr>CÉDULA GENERAL</vt:lpstr>
      <vt:lpstr>DEFINICIONES</vt:lpstr>
      <vt:lpstr>RETENCIÓN SALARIOS</vt:lpstr>
      <vt:lpstr>TABLAS RETENCIÓN</vt:lpstr>
      <vt:lpstr>IMPTO PRESUNT.</vt:lpstr>
      <vt:lpstr>'TARIFA ORDINARIO'!Área_de_impresión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2017-01-06T14:51:09Z</dcterms:created>
  <dcterms:modified xsi:type="dcterms:W3CDTF">2019-02-11T17:33:30Z</dcterms:modified>
</cp:coreProperties>
</file>