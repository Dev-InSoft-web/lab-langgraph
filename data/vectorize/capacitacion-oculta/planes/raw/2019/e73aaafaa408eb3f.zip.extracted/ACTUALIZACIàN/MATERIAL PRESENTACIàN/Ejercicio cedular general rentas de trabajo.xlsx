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35" windowWidth="21315" windowHeight="9780" firstSheet="1" activeTab="1"/>
  </bookViews>
  <sheets>
    <sheet name="TARIFA ORDINARIO" sheetId="3" state="hidden" r:id="rId1"/>
    <sheet name="EJERCICIO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Año" localSheetId="1">#REF!</definedName>
    <definedName name="_Año" localSheetId="0">#REF!</definedName>
    <definedName name="_Año">#REF!</definedName>
    <definedName name="_DAT1">[1]EFINAN!$A$2:$A$2199</definedName>
    <definedName name="_DAT2">[1]EFINAN!$B$2:$B$2199</definedName>
    <definedName name="_DAT3">[1]EFINAN!$C$2:$C$2199</definedName>
    <definedName name="_Fill" localSheetId="1" hidden="1">#REF!</definedName>
    <definedName name="_Fill" localSheetId="0" hidden="1">#REF!</definedName>
    <definedName name="_Fill" hidden="1">#REF!</definedName>
    <definedName name="_Key1" localSheetId="1" hidden="1">#REF!</definedName>
    <definedName name="_Key1" localSheetId="0" hidden="1">#REF!</definedName>
    <definedName name="_Key1" hidden="1">#REF!</definedName>
    <definedName name="_Key2" localSheetId="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Parse_Out" localSheetId="1" hidden="1">#REF!</definedName>
    <definedName name="_Parse_Out" localSheetId="0" hidden="1">#REF!</definedName>
    <definedName name="_Parse_Out" hidden="1">#REF!</definedName>
    <definedName name="_Regression_Int" hidden="1">1</definedName>
    <definedName name="_Sort" localSheetId="1" hidden="1">#REF!</definedName>
    <definedName name="_Sort" localSheetId="0" hidden="1">#REF!</definedName>
    <definedName name="_Sort" hidden="1">#REF!</definedName>
    <definedName name="_UVT" localSheetId="1">#REF!</definedName>
    <definedName name="_UVT" localSheetId="0">#REF!</definedName>
    <definedName name="_UVT">#REF!</definedName>
    <definedName name="A_impresión_IM">[2]PYG0003!$A$8:$H$243</definedName>
    <definedName name="ABC">'[3]CENTROS DE COSTOS'!$A$2:$A$56</definedName>
    <definedName name="AccessDatabase" hidden="1">"F:\AndersonLegal\Modificado\ANEXOC2000 PARA SOCIEDADES.mdb"</definedName>
    <definedName name="AJUSTADO" localSheetId="1" hidden="1">{"'S. C. B.'!$E$207"}</definedName>
    <definedName name="AJUSTADO" localSheetId="0" hidden="1">{"'S. C. B.'!$E$207"}</definedName>
    <definedName name="AJUSTADO" hidden="1">{"'S. C. B.'!$E$207"}</definedName>
    <definedName name="ANEXOS" localSheetId="1">#REF!</definedName>
    <definedName name="ANEXOS" localSheetId="0">#REF!</definedName>
    <definedName name="ANEXOS">#REF!</definedName>
    <definedName name="ANEXOS4" localSheetId="1">#REF!</definedName>
    <definedName name="ANEXOS4" localSheetId="0">#REF!</definedName>
    <definedName name="ANEXOS4">#REF!</definedName>
    <definedName name="ANULAR" localSheetId="1" hidden="1">{"'S. C. B.'!$E$207"}</definedName>
    <definedName name="ANULAR" localSheetId="0" hidden="1">{"'S. C. B.'!$E$207"}</definedName>
    <definedName name="ANULAR" hidden="1">{"'S. C. B.'!$E$207"}</definedName>
    <definedName name="_xlnm.Print_Area" localSheetId="0">'TARIFA ORDINARIO'!$A$1:$H$20</definedName>
    <definedName name="_xlnm.Print_Area">[2]PYG0003!$A$54:$J$89</definedName>
    <definedName name="B" localSheetId="1" hidden="1">{"'S. C. B.'!$E$207"}</definedName>
    <definedName name="B" localSheetId="0" hidden="1">{"'S. C. B.'!$E$207"}</definedName>
    <definedName name="B" hidden="1">{"'S. C. B.'!$E$207"}</definedName>
    <definedName name="BALANCE1" localSheetId="1">#REF!</definedName>
    <definedName name="BALANCE1" localSheetId="0">#REF!</definedName>
    <definedName name="BALANCE1">#REF!</definedName>
    <definedName name="BB" localSheetId="1" hidden="1">{"'S. C. B.'!$E$207"}</definedName>
    <definedName name="BB" localSheetId="0" hidden="1">{"'S. C. B.'!$E$207"}</definedName>
    <definedName name="BB" hidden="1">{"'S. C. B.'!$E$207"}</definedName>
    <definedName name="Button_1">"ANEXOC2000_PARA_SOCIEDADES_Hoja1_Lista"</definedName>
    <definedName name="CC">[4]Hoja1!$A$2:$B$44</definedName>
    <definedName name="CCOSTO">[5]Hoja1!$A$2:$B$44</definedName>
    <definedName name="CDAARA" localSheetId="1" hidden="1">{"'S. C. B.'!$E$207"}</definedName>
    <definedName name="CDAARA" localSheetId="0" hidden="1">{"'S. C. B.'!$E$207"}</definedName>
    <definedName name="CDAARA" hidden="1">{"'S. C. B.'!$E$207"}</definedName>
    <definedName name="CENTRO_DE_COSTOS">'[6]CENTROS DE COSTOS'!$A$2:$A$56</definedName>
    <definedName name="CentrodeCostos_Descripcion">'[6]CENTROS DE COSTOS'!$A$2:$B$56</definedName>
    <definedName name="CFNAL" localSheetId="1" hidden="1">{"'S. C. B.'!$E$207"}</definedName>
    <definedName name="CFNAL" localSheetId="0" hidden="1">{"'S. C. B.'!$E$207"}</definedName>
    <definedName name="CFNAL" hidden="1">{"'S. C. B.'!$E$207"}</definedName>
    <definedName name="COD_REPRES">#N/A</definedName>
    <definedName name="conceptos">[7]conceptos!$A$1:$A$56</definedName>
    <definedName name="Contrapartidas">[8]CUENTAS!$A$37:$A$170</definedName>
    <definedName name="CUENTA">[6]CUENTAS!$A$2:$A$557</definedName>
    <definedName name="Cuentas_Descripcion">[6]CUENTAS!$A$2:$B$557</definedName>
    <definedName name="D" localSheetId="1" hidden="1">{"'S. C. B.'!$E$207"}</definedName>
    <definedName name="D" localSheetId="0" hidden="1">{"'S. C. B.'!$E$207"}</definedName>
    <definedName name="D" hidden="1">{"'S. C. B.'!$E$207"}</definedName>
    <definedName name="DARWERWETWRET" localSheetId="1" hidden="1">{"'S. C. B.'!$E$207"}</definedName>
    <definedName name="DARWERWETWRET" localSheetId="0" hidden="1">{"'S. C. B.'!$E$207"}</definedName>
    <definedName name="DARWERWETWRET" hidden="1">{"'S. C. B.'!$E$207"}</definedName>
    <definedName name="das" localSheetId="1" hidden="1">{"'S. C. B.'!$E$207"}</definedName>
    <definedName name="das" localSheetId="0" hidden="1">{"'S. C. B.'!$E$207"}</definedName>
    <definedName name="das" hidden="1">{"'S. C. B.'!$E$207"}</definedName>
    <definedName name="DDDDDDDDDDDD">'[8]CENTROS DE COSTOS'!$A$2:$A$33</definedName>
    <definedName name="de" localSheetId="1" hidden="1">{"'S. C. B.'!$E$207"}</definedName>
    <definedName name="de" localSheetId="0" hidden="1">{"'S. C. B.'!$E$207"}</definedName>
    <definedName name="de" hidden="1">{"'S. C. B.'!$E$207"}</definedName>
    <definedName name="DEOL" localSheetId="1" hidden="1">{"'S. C. B.'!$E$207"}</definedName>
    <definedName name="DEOL" localSheetId="0" hidden="1">{"'S. C. B.'!$E$207"}</definedName>
    <definedName name="DEOL" hidden="1">{"'S. C. B.'!$E$207"}</definedName>
    <definedName name="Dependientes" localSheetId="1">#REF!</definedName>
    <definedName name="Dependientes" localSheetId="0">#REF!</definedName>
    <definedName name="Dependientes">#REF!</definedName>
    <definedName name="deptos">[9]dane!$A$1:$A$33</definedName>
    <definedName name="descripcion_uen">[8]UEN!$A$2:$A$6</definedName>
    <definedName name="DEVOLUCIONES" localSheetId="1" hidden="1">{"'S. C. B.'!$E$207"}</definedName>
    <definedName name="DEVOLUCIONES" localSheetId="0" hidden="1">{"'S. C. B.'!$E$207"}</definedName>
    <definedName name="DEVOLUCIONES" hidden="1">{"'S. C. B.'!$E$207"}</definedName>
    <definedName name="DialogoOtros">"Dialog Frame 1"</definedName>
    <definedName name="divi" localSheetId="1" hidden="1">{"'S. C. B.'!$E$207"}</definedName>
    <definedName name="divi" localSheetId="0" hidden="1">{"'S. C. B.'!$E$207"}</definedName>
    <definedName name="divi" hidden="1">{"'S. C. B.'!$E$207"}</definedName>
    <definedName name="EEEEEEEEEEEE">'[8]CENTROS DE COSTOS'!$A$2:$B$33</definedName>
    <definedName name="ESTADO" localSheetId="1">#REF!</definedName>
    <definedName name="ESTADO" localSheetId="0">#REF!</definedName>
    <definedName name="ESTADO">#REF!</definedName>
    <definedName name="FR" localSheetId="1" hidden="1">{"'S. C. B.'!$E$207"}</definedName>
    <definedName name="FR" localSheetId="0" hidden="1">{"'S. C. B.'!$E$207"}</definedName>
    <definedName name="FR" hidden="1">{"'S. C. B.'!$E$207"}</definedName>
    <definedName name="HTML_CodePage" hidden="1">1252</definedName>
    <definedName name="HTML_Control" localSheetId="1" hidden="1">{"'S. C. B.'!$E$207"}</definedName>
    <definedName name="HTML_Control" localSheetId="0" hidden="1">{"'S. C. B.'!$E$207"}</definedName>
    <definedName name="HTML_Control" hidden="1">{"'S. C. B.'!$E$207"}</definedName>
    <definedName name="HTML_Description" hidden="1">""</definedName>
    <definedName name="HTML_Email" hidden="1">""</definedName>
    <definedName name="HTML_Header" hidden="1">"S. C. B."</definedName>
    <definedName name="HTML_LastUpdate" hidden="1">"20/6/00"</definedName>
    <definedName name="HTML_LineAfter" hidden="1">FALSE</definedName>
    <definedName name="HTML_LineBefore" hidden="1">FALSE</definedName>
    <definedName name="HTML_Name" hidden="1">"Nery Tuirán"</definedName>
    <definedName name="HTML_OBDlg2" hidden="1">TRUE</definedName>
    <definedName name="HTML_OBDlg4" hidden="1">TRUE</definedName>
    <definedName name="HTML_OS" hidden="1">0</definedName>
    <definedName name="HTML_PathFile" hidden="1">"A:\HTML.htm"</definedName>
    <definedName name="HTML_Title" hidden="1">"FIRMAS COMISIONISTAS"</definedName>
    <definedName name="i">[4]Hoja1!$A$2:$B$44</definedName>
    <definedName name="ibbgral">"Chart 19"</definedName>
    <definedName name="JE" localSheetId="1" hidden="1">{"'S. C. B.'!$E$207"}</definedName>
    <definedName name="JE" localSheetId="0" hidden="1">{"'S. C. B.'!$E$207"}</definedName>
    <definedName name="JE" hidden="1">{"'S. C. B.'!$E$207"}</definedName>
    <definedName name="jhjj" localSheetId="1" hidden="1">{"'S. C. B.'!$E$207"}</definedName>
    <definedName name="jhjj" localSheetId="0" hidden="1">{"'S. C. B.'!$E$207"}</definedName>
    <definedName name="jhjj" hidden="1">{"'S. C. B.'!$E$207"}</definedName>
    <definedName name="JJAJAJJ" localSheetId="1" hidden="1">{"'S. C. B.'!$E$207"}</definedName>
    <definedName name="JJAJAJJ" localSheetId="0" hidden="1">{"'S. C. B.'!$E$207"}</definedName>
    <definedName name="JJAJAJJ" hidden="1">{"'S. C. B.'!$E$207"}</definedName>
    <definedName name="JULIO" localSheetId="1" hidden="1">{"'S. C. B.'!$E$207"}</definedName>
    <definedName name="JULIO" localSheetId="0" hidden="1">{"'S. C. B.'!$E$207"}</definedName>
    <definedName name="JULIO" hidden="1">{"'S. C. B.'!$E$207"}</definedName>
    <definedName name="JUNIO" localSheetId="1" hidden="1">{"'S. C. B.'!$E$207"}</definedName>
    <definedName name="JUNIO" localSheetId="0" hidden="1">{"'S. C. B.'!$E$207"}</definedName>
    <definedName name="JUNIO" hidden="1">{"'S. C. B.'!$E$207"}</definedName>
    <definedName name="JV" localSheetId="1" hidden="1">{"'S. C. B.'!$E$207"}</definedName>
    <definedName name="JV" localSheetId="0" hidden="1">{"'S. C. B.'!$E$207"}</definedName>
    <definedName name="JV" hidden="1">{"'S. C. B.'!$E$207"}</definedName>
    <definedName name="LJ" localSheetId="1" hidden="1">{"'S. C. B.'!$E$207"}</definedName>
    <definedName name="LJ" localSheetId="0" hidden="1">{"'S. C. B.'!$E$207"}</definedName>
    <definedName name="LJ" hidden="1">{"'S. C. B.'!$E$207"}</definedName>
    <definedName name="LOGISTICA" localSheetId="1" hidden="1">{"'S. C. B.'!$E$207"}</definedName>
    <definedName name="LOGISTICA" localSheetId="0" hidden="1">{"'S. C. B.'!$E$207"}</definedName>
    <definedName name="LOGISTICA" hidden="1">{"'S. C. B.'!$E$207"}</definedName>
    <definedName name="MIOJAKDJKA" localSheetId="1" hidden="1">{"'S. C. B.'!$E$207"}</definedName>
    <definedName name="MIOJAKDJKA" localSheetId="0" hidden="1">{"'S. C. B.'!$E$207"}</definedName>
    <definedName name="MIOJAKDJKA" hidden="1">{"'S. C. B.'!$E$207"}</definedName>
    <definedName name="Mtrx_Conceptos">[8]CUENTAS!$A$2:$B$34</definedName>
    <definedName name="Mtrx_Contra">[8]CUENTAS!$A$37:$B$170</definedName>
    <definedName name="Mtrx_Proyectos">[8]PROYECTOS!$A$2:$B$29</definedName>
    <definedName name="muns">[9]dane!$B$1:$B$581</definedName>
    <definedName name="Nombre_CC">[10]Premisas2!$B$4:$B$57</definedName>
    <definedName name="NombreCC_y_Vice">[10]Premisas2!$B$4:$D$57</definedName>
    <definedName name="PLANTAAB2003">[11]Hoja1!$A$2:$B$44</definedName>
    <definedName name="Proyecto">[6]PROYECTOS!$A$2:$A$48</definedName>
    <definedName name="Proyecto_Descr">[6]PROYECTOS!$A$2:$B$48</definedName>
    <definedName name="Proyectos">[8]PROYECTOS!$A$2:$A$29</definedName>
    <definedName name="REA" localSheetId="1" hidden="1">{"'S. C. B.'!$E$207"}</definedName>
    <definedName name="REA" localSheetId="0" hidden="1">{"'S. C. B.'!$E$207"}</definedName>
    <definedName name="REA" hidden="1">{"'S. C. B.'!$E$207"}</definedName>
    <definedName name="reajuste" localSheetId="1" hidden="1">{"'S. C. B.'!$E$207"}</definedName>
    <definedName name="reajuste" localSheetId="0" hidden="1">{"'S. C. B.'!$E$207"}</definedName>
    <definedName name="reajuste" hidden="1">{"'S. C. B.'!$E$207"}</definedName>
    <definedName name="RENTA" localSheetId="1" hidden="1">{"'S. C. B.'!$E$207"}</definedName>
    <definedName name="RENTA" localSheetId="0" hidden="1">{"'S. C. B.'!$E$207"}</definedName>
    <definedName name="RENTA" hidden="1">{"'S. C. B.'!$E$207"}</definedName>
    <definedName name="RESUMEN" localSheetId="1" hidden="1">{"'S. C. B.'!$E$207"}</definedName>
    <definedName name="RESUMEN" localSheetId="0" hidden="1">{"'S. C. B.'!$E$207"}</definedName>
    <definedName name="RESUMEN" hidden="1">{"'S. C. B.'!$E$207"}</definedName>
    <definedName name="RT" localSheetId="1" hidden="1">{"'S. C. B.'!$E$207"}</definedName>
    <definedName name="RT" localSheetId="0" hidden="1">{"'S. C. B.'!$E$207"}</definedName>
    <definedName name="RT" hidden="1">{"'S. C. B.'!$E$207"}</definedName>
    <definedName name="RTAPP">'[12]Renta Presuntiva'!$J$70</definedName>
    <definedName name="Saf" localSheetId="1">#REF!</definedName>
    <definedName name="Saf" localSheetId="0">#REF!</definedName>
    <definedName name="Saf">#REF!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um" hidden="1">0</definedName>
    <definedName name="solver_nwt" hidden="1">1</definedName>
    <definedName name="solver_pre" hidden="1">0.000001</definedName>
    <definedName name="solver_scl" hidden="1">0</definedName>
    <definedName name="solver_sho" hidden="1">0</definedName>
    <definedName name="solver_tim" hidden="1">100</definedName>
    <definedName name="solver_tmp" hidden="1">#NULL!</definedName>
    <definedName name="solver_tol" hidden="1">0.05</definedName>
    <definedName name="solver_typ" hidden="1">1</definedName>
    <definedName name="solver_val" hidden="1">999999999</definedName>
    <definedName name="SSS" localSheetId="1">#REF!</definedName>
    <definedName name="SSS" localSheetId="0">#REF!</definedName>
    <definedName name="SSS">#REF!</definedName>
    <definedName name="SSSS" localSheetId="1">#REF!</definedName>
    <definedName name="SSSS" localSheetId="0">#REF!</definedName>
    <definedName name="SSSS">#REF!</definedName>
    <definedName name="sucuex">'[12]Datos de entrada'!$Q$19</definedName>
    <definedName name="t" localSheetId="1" hidden="1">{"'S. C. B.'!$E$207"}</definedName>
    <definedName name="t" localSheetId="0" hidden="1">{"'S. C. B.'!$E$207"}</definedName>
    <definedName name="t" hidden="1">{"'S. C. B.'!$E$207"}</definedName>
    <definedName name="TEST1">[1]EFINAN!$A$2004:$C$2199</definedName>
    <definedName name="TESTHKEY">[1]EFINAN!$C$1</definedName>
    <definedName name="TESTKEYS">[1]EFINAN!$A$2:$B$2199</definedName>
    <definedName name="TESTVKEY">[1]EFINAN!$A$1:$B$1</definedName>
    <definedName name="TESV" localSheetId="1" hidden="1">{"'S. C. B.'!$E$207"}</definedName>
    <definedName name="TESV" localSheetId="0" hidden="1">{"'S. C. B.'!$E$207"}</definedName>
    <definedName name="TESV" hidden="1">{"'S. C. B.'!$E$207"}</definedName>
    <definedName name="tid" localSheetId="1" hidden="1">{"'S. C. B.'!$E$207"}</definedName>
    <definedName name="tid" localSheetId="0" hidden="1">{"'S. C. B.'!$E$207"}</definedName>
    <definedName name="tid" hidden="1">{"'S. C. B.'!$E$207"}</definedName>
    <definedName name="_xlnm.Print_Titles">[13]DATOS!$A$1:$IV$5</definedName>
    <definedName name="Títulos_a_imprimir_IM">[2]PYG0003!$A$2:$IV$7</definedName>
    <definedName name="uen">[6]UEN!$A$2:$A$6</definedName>
    <definedName name="UEn_Descripcion">[6]UEN!$A$2:$B$6</definedName>
    <definedName name="VENTA" localSheetId="1" hidden="1">{"'S. C. B.'!$E$207"}</definedName>
    <definedName name="VENTA" localSheetId="0" hidden="1">{"'S. C. B.'!$E$207"}</definedName>
    <definedName name="VENTA" hidden="1">{"'S. C. B.'!$E$207"}</definedName>
    <definedName name="VENTAS" localSheetId="1" hidden="1">{"'S. C. B.'!$E$207"}</definedName>
    <definedName name="VENTAS" localSheetId="0" hidden="1">{"'S. C. B.'!$E$207"}</definedName>
    <definedName name="VENTAS" hidden="1">{"'S. C. B.'!$E$207"}</definedName>
    <definedName name="VTA" localSheetId="1" hidden="1">{"'S. C. B.'!$E$207"}</definedName>
    <definedName name="VTA" localSheetId="0" hidden="1">{"'S. C. B.'!$E$207"}</definedName>
    <definedName name="VTA" hidden="1">{"'S. C. B.'!$E$207"}</definedName>
    <definedName name="yadira">'[14]HONORARIOS '!$A$2:$A$557</definedName>
  </definedNames>
  <calcPr calcId="125725" iterateDelta="1E-4"/>
</workbook>
</file>

<file path=xl/calcChain.xml><?xml version="1.0" encoding="utf-8"?>
<calcChain xmlns="http://schemas.openxmlformats.org/spreadsheetml/2006/main">
  <c r="O26" i="2"/>
  <c r="O39" s="1"/>
  <c r="F44" i="3"/>
  <c r="F25"/>
  <c r="F6"/>
  <c r="F7" s="1"/>
  <c r="G14" s="1"/>
  <c r="F16" s="1"/>
  <c r="G19" i="2" s="1"/>
  <c r="F24" i="3"/>
  <c r="F26"/>
  <c r="G33" s="1"/>
  <c r="F35" s="1"/>
  <c r="K19" i="2" s="1"/>
  <c r="G16"/>
  <c r="O37"/>
  <c r="K37"/>
  <c r="O27"/>
  <c r="O41"/>
  <c r="N15"/>
  <c r="K28"/>
  <c r="O28" s="1"/>
  <c r="K27"/>
  <c r="F15"/>
  <c r="J27" s="1"/>
  <c r="N27" s="1"/>
  <c r="G13"/>
  <c r="K13" s="1"/>
  <c r="O13" s="1"/>
  <c r="G12"/>
  <c r="K12" s="1"/>
  <c r="K10"/>
  <c r="K32" s="1"/>
  <c r="O10" l="1"/>
  <c r="K33"/>
  <c r="O12"/>
  <c r="O33" s="1"/>
  <c r="K34"/>
  <c r="K36" s="1"/>
  <c r="K39" s="1"/>
  <c r="K15" s="1"/>
  <c r="O32"/>
  <c r="O34" s="1"/>
  <c r="O36" s="1"/>
  <c r="O42" s="1"/>
  <c r="O15" s="1"/>
  <c r="O17" s="1"/>
  <c r="F45" i="3" s="1"/>
  <c r="F46" s="1"/>
  <c r="G53" s="1"/>
  <c r="F55" s="1"/>
  <c r="O19" i="2" s="1"/>
  <c r="K17" l="1"/>
  <c r="K26"/>
  <c r="G17"/>
  <c r="K29" l="1"/>
  <c r="K14" s="1"/>
  <c r="O29" l="1"/>
  <c r="O14" s="1"/>
</calcChain>
</file>

<file path=xl/sharedStrings.xml><?xml version="1.0" encoding="utf-8"?>
<sst xmlns="http://schemas.openxmlformats.org/spreadsheetml/2006/main" count="101" uniqueCount="50">
  <si>
    <t xml:space="preserve">"Gastos de representación - renta exenta numeral 7 artículo 206 E.T." </t>
  </si>
  <si>
    <t>"Aportes voluntarios a pensión / cuentas AFC"</t>
  </si>
  <si>
    <t>DESCRIPCIÓN</t>
  </si>
  <si>
    <t>RENTA</t>
  </si>
  <si>
    <t>Ingresos laborales</t>
  </si>
  <si>
    <t>Aportes obligatorios salud</t>
  </si>
  <si>
    <t>Aportes obligatorios pensión</t>
  </si>
  <si>
    <t>Deducciones imputables (art. 387 del E.T., cesantías partícipe independiente y GMF)</t>
  </si>
  <si>
    <t>Renta exenta 25%</t>
  </si>
  <si>
    <t>Renta Líquida</t>
  </si>
  <si>
    <t>Valor impuesto</t>
  </si>
  <si>
    <t>Para determinar límite rentas exentas y deducciones:</t>
  </si>
  <si>
    <t>Valores iniciales:</t>
  </si>
  <si>
    <t>Renta exenta del 25%</t>
  </si>
  <si>
    <t xml:space="preserve">Deducciones imputables </t>
  </si>
  <si>
    <t>Cálculo límite:</t>
  </si>
  <si>
    <t>Ingresos</t>
  </si>
  <si>
    <t>(-) ingresos no constitutivos de renta (salud y pensión)</t>
  </si>
  <si>
    <t>Ingresos netos</t>
  </si>
  <si>
    <t>Límite inicial (40%)</t>
  </si>
  <si>
    <t>Límite máximo  no superior a 5.040 UVTs</t>
  </si>
  <si>
    <t>Monto máximo definitivo</t>
  </si>
  <si>
    <t>Ingresos no constitutivos de renta:</t>
  </si>
  <si>
    <t xml:space="preserve">     Aportes obligatorios salud</t>
  </si>
  <si>
    <t xml:space="preserve">     Aportes obligatorios pensión</t>
  </si>
  <si>
    <t>Rentas exentas y deducciones imputables</t>
  </si>
  <si>
    <t>Rentas exentas y deducciones imputables (LIMITADAS)</t>
  </si>
  <si>
    <t xml:space="preserve">Renta Líquida cedular </t>
  </si>
  <si>
    <t>(+) rentas exentas no sometidas a límite</t>
  </si>
  <si>
    <t>Total rentas exentas y deducciones imputables (limitadas)</t>
  </si>
  <si>
    <t>CON LEY 1607 DE 2012</t>
  </si>
  <si>
    <t>CON LEY 1819 DE 2016</t>
  </si>
  <si>
    <t>CON LEY 1943 DE 2018</t>
  </si>
  <si>
    <t>Valor UVT</t>
  </si>
  <si>
    <t>Valor Renta Liquida Gravable (Rlg)</t>
  </si>
  <si>
    <t>o Ganancia Ocasional Gravable</t>
  </si>
  <si>
    <t>Rangos en UVT</t>
  </si>
  <si>
    <t>Desde</t>
  </si>
  <si>
    <t>Hasta</t>
  </si>
  <si>
    <t>Tarifa marginal</t>
  </si>
  <si>
    <t>Impuesto</t>
  </si>
  <si>
    <t>(RlgUVT-1090UVT)*19%</t>
  </si>
  <si>
    <t>(RlgUVT-1700UVT)*28%+116UVT</t>
  </si>
  <si>
    <t>en adelante</t>
  </si>
  <si>
    <t>(RlgUVT-4100UVT)*33%+788UVT</t>
  </si>
  <si>
    <t>Valor Impuesto de Renta</t>
  </si>
  <si>
    <t>o Impuesto de Ganancia Ocasional</t>
  </si>
  <si>
    <t>NOTA: Para el año gravable 2019 la presente tabla NO está acutalizada; únicamente aplica hasta el segundo rango.</t>
  </si>
  <si>
    <t>Renta Líquida cedular</t>
  </si>
  <si>
    <t>EJERCICIO COMPARATIVO RENTAS DE TRABAJO</t>
  </si>
</sst>
</file>

<file path=xl/styles.xml><?xml version="1.0" encoding="utf-8"?>
<styleSheet xmlns="http://schemas.openxmlformats.org/spreadsheetml/2006/main">
  <numFmts count="43">
    <numFmt numFmtId="43" formatCode="_(* #,##0.00_);_(* \(#,##0.00\);_(* &quot;-&quot;??_);_(@_)"/>
    <numFmt numFmtId="164" formatCode="_-* #,##0\ _€_-;\-* #,##0\ _€_-;_-* &quot;-&quot;\ _€_-;_-@_-"/>
    <numFmt numFmtId="165" formatCode="_-* #,##0.00\ _€_-;\-* #,##0.00\ _€_-;_-* &quot;-&quot;\ _€_-;_-@_-"/>
    <numFmt numFmtId="166" formatCode="_-* #,##0.00_-;\-* #,##0.00_-;_-* &quot;-&quot;??_-;_-@_-"/>
    <numFmt numFmtId="167" formatCode="_ * #,##0.00_ ;_ * \-#,##0.00_ ;_ * &quot;-&quot;??_ ;_ @_ "/>
    <numFmt numFmtId="168" formatCode="_-* #,##0_-;\-* #,##0_-;_-* &quot;-&quot;??_-;_-@_-"/>
    <numFmt numFmtId="169" formatCode="_ * #,##0_ ;_ * \-#,##0_ ;_ * &quot;-&quot;??_ ;_ @_ "/>
    <numFmt numFmtId="170" formatCode="&quot;$&quot;#,##0.0000_);\(&quot;$&quot;#,##0.0000\)"/>
    <numFmt numFmtId="171" formatCode="_-* #,##0_-;\-* #,##0_-;_-* &quot;-&quot;_-;_-@_-"/>
    <numFmt numFmtId="172" formatCode="_-* #,##0.00\ _€_-;\-* #,##0.00\ _€_-;_-* &quot;-&quot;??\ _€_-;_-@_-"/>
    <numFmt numFmtId="173" formatCode="_-&quot;£&quot;* #,##0_-;\-&quot;£&quot;* #,##0_-;_-&quot;£&quot;* &quot;-&quot;_-;_-@_-"/>
    <numFmt numFmtId="174" formatCode="_ &quot;$&quot;\ * #,##0.00_ ;_ &quot;$&quot;\ * \-#,##0.00_ ;_ &quot;$&quot;\ * &quot;-&quot;??_ ;_ @_ "/>
    <numFmt numFmtId="175" formatCode="_-&quot;£&quot;* #,##0.00_-;\-&quot;£&quot;* #,##0.00_-;_-&quot;£&quot;* &quot;-&quot;??_-;_-@_-"/>
    <numFmt numFmtId="176" formatCode="\_x0000_\_x0000__(* #,##0_);_(* \(#,##0\);_(* &quot;-&quot;_);_(@"/>
    <numFmt numFmtId="177" formatCode="\_x0000_\_x0000__(* #,##0.00_);_(* \(#,##0.00\);_(* &quot;-&quot;??_);_(@"/>
    <numFmt numFmtId="178" formatCode="\_x0000_\_x0000__(&quot;$&quot;* #,##0_);_(&quot;$&quot;* \(#,##0\);_(&quot;$&quot;* &quot;-&quot;_);_(@"/>
    <numFmt numFmtId="179" formatCode="\_x0000_\_x0000__(&quot;$&quot;* #,##0.00_);_(&quot;$&quot;* \(#,##0.00\);_(&quot;$&quot;* &quot;-&quot;??_);_(@"/>
    <numFmt numFmtId="180" formatCode="_ [$€-2]\ * #,##0.00_ ;_ [$€-2]\ * \-#,##0.00_ ;_ [$€-2]\ * &quot;-&quot;??_ "/>
    <numFmt numFmtId="181" formatCode="_([$€]* #,##0.00_);_([$€]* \(#,##0.00\);_([$€]* &quot;-&quot;??_);_(@_)"/>
    <numFmt numFmtId="182" formatCode="_-* #,##0.00\ &quot;€&quot;_-;\-* #,##0.00\ &quot;€&quot;_-;_-* &quot;-&quot;??\ &quot;€&quot;_-;_-@_-"/>
    <numFmt numFmtId="183" formatCode="#,##0.0_);\(#,##0.0\)"/>
    <numFmt numFmtId="184" formatCode="_-* #,##0\ _p_t_a_-;\-* #,##0\ _p_t_a_-;_-* &quot;-&quot;\ _p_t_a_-;_-@_-"/>
    <numFmt numFmtId="185" formatCode="_-* #,##0\ _P_t_s_-;\-* #,##0\ _P_t_s_-;_-* &quot;-&quot;\ _P_t_s_-;_-@_-"/>
    <numFmt numFmtId="186" formatCode="_ * #,##0_ ;_ * \-#,##0_ ;_ * &quot;-&quot;_ ;_ @_ "/>
    <numFmt numFmtId="187" formatCode="_-* #,##0.00\ _p_t_a_-;\-* #,##0.00\ _p_t_a_-;_-* &quot;-&quot;??\ _p_t_a_-;_-@_-"/>
    <numFmt numFmtId="188" formatCode="_-* #,##0.00\ _$_-;\-* #,##0.00\ _$_-;_-* &quot;-&quot;??\ _$_-;_-@_-"/>
    <numFmt numFmtId="189" formatCode="_ &quot;$&quot;\ * #,##0_ ;_ &quot;$&quot;\ * \-#,##0_ ;_ &quot;$&quot;\ * &quot;-&quot;_ ;_ @_ "/>
    <numFmt numFmtId="190" formatCode="_-* #,##0.00\ _P_t_s_-;\-* #,##0.00\ _P_t_s_-;_-* &quot;-&quot;??\ _P_t_s_-;_-@_-"/>
    <numFmt numFmtId="191" formatCode="_(&quot;$&quot;* #,##0.00_);_(&quot;$&quot;* \(#,##0.00\);_(&quot;$&quot;* &quot;-&quot;??_);_(@_)"/>
    <numFmt numFmtId="192" formatCode="&quot;$&quot;\ #,##0;[Red]&quot;$&quot;\ \-#,##0"/>
    <numFmt numFmtId="193" formatCode="_ * #,##0.00_)&quot;£&quot;_ ;_ * \(#,##0.00\)&quot;£&quot;_ ;_ * &quot;-&quot;??_)&quot;£&quot;_ ;_ @_ "/>
    <numFmt numFmtId="194" formatCode="#,##0\ &quot;F&quot;;\-#,##0\ &quot;F&quot;"/>
    <numFmt numFmtId="195" formatCode="_-* #,##0\ &quot;€&quot;_-;\-* #,##0\ &quot;€&quot;_-;_-* &quot;-&quot;\ &quot;€&quot;_-;_-@_-"/>
    <numFmt numFmtId="196" formatCode="_-* #,##0.00\ &quot;$&quot;_-;\-* #,##0.00\ &quot;$&quot;_-;_-* &quot;-&quot;??\ &quot;$&quot;_-;_-@_-"/>
    <numFmt numFmtId="197" formatCode="_-&quot;$&quot;* #,##0.00_-;\-&quot;$&quot;* #,##0.00_-;_-&quot;$&quot;* &quot;-&quot;??_-;_-@_-"/>
    <numFmt numFmtId="198" formatCode="#,##0.00\ &quot;F&quot;;\-#,##0.00\ &quot;F&quot;"/>
    <numFmt numFmtId="199" formatCode="_ * #,##0.00_)_£_ ;_ * \(#,##0.00\)_£_ ;_ * &quot;-&quot;??_)_£_ ;_ @_ "/>
    <numFmt numFmtId="200" formatCode="0.0000"/>
    <numFmt numFmtId="201" formatCode="_-* #,##0.0_-;\-* #,##0.0_-;_-* &quot;-&quot;??_-;_-@_-"/>
    <numFmt numFmtId="202" formatCode="&quot;$&quot;\ #,##0;\-&quot;$&quot;\ #,##0"/>
    <numFmt numFmtId="203" formatCode="mm/dd/yy"/>
    <numFmt numFmtId="204" formatCode="#,##0.00\ &quot;F&quot;;[Red]\-#,##0.00\ &quot;F&quot;"/>
    <numFmt numFmtId="205" formatCode="_-* #,##0\ _p_t_a_-;\-* #,##0\ _p_t_a_-;_-* &quot;-&quot;??\ _p_t_a_-;_-@_-"/>
  </numFmts>
  <fonts count="1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u val="singleAccounting"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indexed="9"/>
      <name val="污扩楲湡⁳卍፣"/>
      <family val="2"/>
    </font>
    <font>
      <sz val="10"/>
      <name val="vlay"/>
      <charset val="204"/>
    </font>
    <font>
      <sz val="11"/>
      <color indexed="17"/>
      <name val="???????"/>
      <family val="2"/>
    </font>
    <font>
      <b/>
      <sz val="18"/>
      <color indexed="56"/>
      <name val="???????"/>
      <family val="2"/>
    </font>
    <font>
      <b/>
      <sz val="11"/>
      <color indexed="52"/>
      <name val="???????"/>
      <family val="2"/>
    </font>
    <font>
      <b/>
      <sz val="8"/>
      <color indexed="8"/>
      <name val="vans"/>
    </font>
    <font>
      <sz val="8"/>
      <name val="?????"/>
    </font>
    <font>
      <sz val="10"/>
      <name val="?????"/>
    </font>
    <font>
      <sz val="10"/>
      <color indexed="8"/>
      <name val="?????"/>
      <family val="2"/>
    </font>
    <font>
      <sz val="11"/>
      <color indexed="52"/>
      <name val="???????"/>
      <family val="2"/>
    </font>
    <font>
      <sz val="11"/>
      <color indexed="10"/>
      <name val="???????"/>
      <family val="2"/>
    </font>
    <font>
      <b/>
      <sz val="11"/>
      <color indexed="9"/>
      <name val="???????"/>
      <family val="2"/>
    </font>
    <font>
      <sz val="10"/>
      <name val="vmaS"/>
    </font>
    <font>
      <sz val="10"/>
      <color indexed="14"/>
      <name val="?????"/>
      <family val="2"/>
    </font>
    <font>
      <sz val="10"/>
      <name val="?????"/>
      <family val="2"/>
    </font>
    <font>
      <b/>
      <sz val="8"/>
      <name val="?????"/>
    </font>
    <font>
      <b/>
      <sz val="10"/>
      <name val="?????"/>
    </font>
    <font>
      <b/>
      <sz val="11"/>
      <color indexed="56"/>
      <name val="???????"/>
      <family val="2"/>
    </font>
    <font>
      <sz val="8"/>
      <name val="vdin"/>
    </font>
    <font>
      <b/>
      <sz val="11"/>
      <color indexed="8"/>
      <name val="???????"/>
      <family val="2"/>
    </font>
    <font>
      <sz val="10"/>
      <name val="Helv"/>
    </font>
    <font>
      <sz val="10"/>
      <name val="Helv"/>
      <charset val="204"/>
    </font>
    <font>
      <sz val="10"/>
      <name val="Helv"/>
      <family val="2"/>
    </font>
    <font>
      <sz val="11"/>
      <color indexed="8"/>
      <name val="Calibri"/>
      <family val="2"/>
    </font>
    <font>
      <sz val="10"/>
      <name val="楲污ۤӊ⨕"/>
    </font>
    <font>
      <sz val="11"/>
      <color indexed="9"/>
      <name val="Calibri"/>
      <family val="2"/>
    </font>
    <font>
      <sz val="8"/>
      <name val="Times New Roman"/>
      <family val="1"/>
    </font>
    <font>
      <sz val="11"/>
      <color indexed="20"/>
      <name val="Calibri"/>
      <family val="2"/>
    </font>
    <font>
      <b/>
      <sz val="10"/>
      <color indexed="9"/>
      <name val="Arial"/>
      <family val="2"/>
    </font>
    <font>
      <sz val="11"/>
      <color indexed="17"/>
      <name val="Calibri"/>
      <family val="2"/>
    </font>
    <font>
      <sz val="10"/>
      <color indexed="8"/>
      <name val="Arial"/>
      <family val="2"/>
    </font>
    <font>
      <b/>
      <sz val="11"/>
      <color indexed="52"/>
      <name val="Calibri"/>
      <family val="2"/>
    </font>
    <font>
      <sz val="10"/>
      <name val="MS Sans Serif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8"/>
      <name val="Tahoma"/>
      <family val="2"/>
    </font>
    <font>
      <sz val="10"/>
      <name val="Times New Roman"/>
      <family val="1"/>
    </font>
    <font>
      <sz val="10"/>
      <name val="MS Serif"/>
      <family val="1"/>
    </font>
    <font>
      <sz val="10"/>
      <name val="Courier"/>
      <family val="3"/>
    </font>
    <font>
      <sz val="10"/>
      <color indexed="24"/>
      <name val="Arial"/>
      <family val="2"/>
    </font>
    <font>
      <b/>
      <sz val="11"/>
      <color indexed="56"/>
      <name val="污扩楲睦删浯湡"/>
      <family val="2"/>
    </font>
    <font>
      <sz val="8"/>
      <name val="楲污ۤӊ⨕"/>
    </font>
    <font>
      <sz val="8"/>
      <name val="楲污١ӊ⨕"/>
      <family val="2"/>
    </font>
    <font>
      <b/>
      <sz val="11"/>
      <color indexed="56"/>
      <name val="Calibri"/>
      <family val="2"/>
    </font>
    <font>
      <sz val="10"/>
      <color indexed="12"/>
      <name val="Arial"/>
      <family val="2"/>
    </font>
    <font>
      <sz val="10"/>
      <color indexed="16"/>
      <name val="MS Serif"/>
      <family val="1"/>
    </font>
    <font>
      <sz val="11"/>
      <color indexed="62"/>
      <name val="Calibri"/>
      <family val="2"/>
    </font>
    <font>
      <sz val="10"/>
      <color indexed="10"/>
      <name val="楲污١ӊ⨕"/>
      <family val="2"/>
    </font>
    <font>
      <i/>
      <sz val="11"/>
      <color indexed="23"/>
      <name val="Calibri"/>
      <family val="2"/>
    </font>
    <font>
      <u/>
      <sz val="12"/>
      <color indexed="36"/>
      <name val="Times New Roman"/>
      <family val="1"/>
    </font>
    <font>
      <sz val="8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8"/>
      <name val="MS Sans Serif"/>
      <family val="2"/>
    </font>
    <font>
      <u/>
      <sz val="10"/>
      <color indexed="12"/>
      <name val="Arial"/>
      <family val="2"/>
    </font>
    <font>
      <u/>
      <sz val="12"/>
      <color indexed="12"/>
      <name val="Times New Roman"/>
      <family val="1"/>
    </font>
    <font>
      <sz val="9"/>
      <name val="楲污獮匠牥"/>
    </font>
    <font>
      <sz val="12"/>
      <name val="Helv"/>
    </font>
    <font>
      <sz val="10"/>
      <color indexed="12"/>
      <name val="楲污楲睦删"/>
      <family val="2"/>
    </font>
    <font>
      <sz val="11"/>
      <color indexed="62"/>
      <name val="污扩楲睦删浯湡"/>
      <family val="2"/>
    </font>
    <font>
      <sz val="10"/>
      <color indexed="14"/>
      <name val="Arial"/>
      <family val="2"/>
    </font>
    <font>
      <sz val="12"/>
      <color indexed="9"/>
      <name val="Helv"/>
    </font>
    <font>
      <b/>
      <sz val="12"/>
      <color indexed="16"/>
      <name val="Times New Roman"/>
      <family val="1"/>
    </font>
    <font>
      <sz val="12"/>
      <color theme="1"/>
      <name val="Calibri"/>
      <family val="2"/>
      <scheme val="minor"/>
    </font>
    <font>
      <sz val="9.9499999999999993"/>
      <color indexed="8"/>
      <name val="Device Font 17cpi"/>
    </font>
    <font>
      <sz val="12"/>
      <name val="Britannic Bold"/>
      <family val="2"/>
    </font>
    <font>
      <sz val="9.85"/>
      <color indexed="8"/>
      <name val="Times New Roman"/>
      <family val="1"/>
    </font>
    <font>
      <sz val="11"/>
      <color theme="1"/>
      <name val="Verdana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sz val="11"/>
      <color rgb="FF000000"/>
      <name val="Calibri"/>
      <family val="2"/>
    </font>
    <font>
      <sz val="10"/>
      <color indexed="8"/>
      <name val="MS Sans Serif"/>
      <family val="2"/>
    </font>
    <font>
      <sz val="10"/>
      <color indexed="8"/>
      <name val="匠牥晩††††††††††"/>
    </font>
    <font>
      <sz val="11"/>
      <name val="‚l‚r –¾’©"/>
      <charset val="128"/>
    </font>
    <font>
      <b/>
      <sz val="11"/>
      <color indexed="63"/>
      <name val="Calibri"/>
      <family val="2"/>
    </font>
    <font>
      <sz val="1"/>
      <color indexed="8"/>
      <name val="Courier"/>
      <family val="3"/>
    </font>
    <font>
      <sz val="10"/>
      <color indexed="10"/>
      <name val="Arial"/>
      <family val="2"/>
    </font>
    <font>
      <sz val="10"/>
      <name val="Tms Rmn"/>
    </font>
    <font>
      <b/>
      <sz val="10"/>
      <name val="MS Sans Serif"/>
      <family val="2"/>
    </font>
    <font>
      <sz val="9"/>
      <name val="Arial"/>
      <family val="2"/>
    </font>
    <font>
      <sz val="8"/>
      <name val="Wingdings"/>
      <charset val="2"/>
    </font>
    <font>
      <b/>
      <sz val="10"/>
      <color indexed="9"/>
      <name val="楲污丠睥删"/>
      <family val="2"/>
    </font>
    <font>
      <sz val="8"/>
      <name val="Helv"/>
    </font>
    <font>
      <sz val="8"/>
      <name val="MS Sans Serif"/>
      <family val="2"/>
    </font>
    <font>
      <sz val="10"/>
      <name val="vmaS"/>
      <family val="2"/>
    </font>
    <font>
      <b/>
      <sz val="8"/>
      <color indexed="8"/>
      <name val="Helv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sz val="11"/>
      <color indexed="20"/>
      <name val="污扩楲匠牥晩湡"/>
      <family val="2"/>
    </font>
    <font>
      <b/>
      <sz val="11"/>
      <color indexed="8"/>
      <name val="Calibri"/>
      <family val="2"/>
    </font>
    <font>
      <sz val="12"/>
      <name val="楲污ۤӊ⨕"/>
    </font>
    <font>
      <b/>
      <sz val="12"/>
      <name val="楲污١ӊ⨕"/>
      <family val="2"/>
    </font>
    <font>
      <b/>
      <sz val="8"/>
      <name val="楲污ۤӊ⨕"/>
    </font>
    <font>
      <sz val="10"/>
      <color indexed="14"/>
      <name val="楲污楲匠牥"/>
      <family val="2"/>
    </font>
    <font>
      <sz val="10"/>
      <name val="楲污١ӊ⨕"/>
      <family val="2"/>
    </font>
    <font>
      <sz val="11"/>
      <color indexed="17"/>
      <name val="污扩楲睥删浯湡"/>
      <family val="2"/>
    </font>
    <font>
      <sz val="10"/>
      <color indexed="8"/>
      <name val="楲污楲睥删"/>
      <family val="2"/>
    </font>
    <font>
      <b/>
      <sz val="11"/>
      <color indexed="52"/>
      <name val="污扩楲睥删浯湡"/>
      <family val="2"/>
    </font>
    <font>
      <b/>
      <sz val="10"/>
      <name val="楲污ۤӊ⨕"/>
    </font>
    <font>
      <sz val="11"/>
      <color indexed="10"/>
      <name val="污扩楲匠牥晩湡"/>
      <family val="2"/>
    </font>
    <font>
      <b/>
      <sz val="11"/>
      <color indexed="9"/>
      <name val="污扩楲睥删浯湡"/>
      <family val="2"/>
    </font>
    <font>
      <b/>
      <sz val="11"/>
      <color indexed="63"/>
      <name val="污扩楲獧牥晩湡"/>
      <family val="2"/>
    </font>
    <font>
      <sz val="11"/>
      <color indexed="52"/>
      <name val="污扩楲睥删浯湡"/>
      <family val="2"/>
    </font>
    <font>
      <b/>
      <sz val="11"/>
      <color indexed="8"/>
      <name val="污扩楲匠牥晩湡"/>
      <family val="2"/>
    </font>
    <font>
      <b/>
      <sz val="18"/>
      <color indexed="56"/>
      <name val="浡牢慩匠牥晩湡"/>
      <family val="2"/>
    </font>
    <font>
      <sz val="11"/>
      <color indexed="60"/>
      <name val="污扩楲匠牥晩湡"/>
      <family val="2"/>
    </font>
    <font>
      <i/>
      <sz val="11"/>
      <color indexed="23"/>
      <name val="污扩楲匠牥晩湡"/>
      <family val="2"/>
    </font>
    <font>
      <sz val="10"/>
      <name val="Verdana"/>
      <family val="2"/>
    </font>
    <font>
      <sz val="12"/>
      <color indexed="9"/>
      <name val="Arial"/>
      <family val="2"/>
    </font>
    <font>
      <sz val="12"/>
      <color indexed="18"/>
      <name val="Arial"/>
      <family val="2"/>
    </font>
    <font>
      <sz val="12"/>
      <color theme="0"/>
      <name val="Arial"/>
      <family val="2"/>
    </font>
    <font>
      <sz val="10"/>
      <color rgb="FFFF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30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8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darkVertical"/>
    </fill>
  </fills>
  <borders count="3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54">
    <xf numFmtId="0" fontId="0" fillId="0" borderId="0"/>
    <xf numFmtId="0" fontId="2" fillId="0" borderId="0"/>
    <xf numFmtId="166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10" fillId="0" borderId="0" applyFont="0" applyFill="0" applyBorder="0" applyAlignment="0" applyProtection="0"/>
    <xf numFmtId="0" fontId="11" fillId="13" borderId="0" applyNumberFormat="0" applyBorder="0" applyAlignment="0" applyProtection="0"/>
    <xf numFmtId="0" fontId="12" fillId="0" borderId="0" applyNumberFormat="0" applyFill="0" applyBorder="0" applyAlignment="0" applyProtection="0"/>
    <xf numFmtId="0" fontId="13" fillId="14" borderId="14" applyNumberFormat="0" applyAlignment="0" applyProtection="0"/>
    <xf numFmtId="40" fontId="14" fillId="0" borderId="0" applyBorder="0">
      <alignment horizontal="right"/>
    </xf>
    <xf numFmtId="14" fontId="15" fillId="0" borderId="0">
      <alignment horizontal="center" wrapText="1"/>
      <protection locked="0"/>
    </xf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ill="0" applyBorder="0" applyAlignment="0"/>
    <xf numFmtId="0" fontId="17" fillId="0" borderId="0" applyFill="0" applyBorder="0" applyAlignment="0"/>
    <xf numFmtId="0" fontId="18" fillId="0" borderId="15" applyNumberFormat="0" applyFill="0" applyAlignment="0" applyProtection="0"/>
    <xf numFmtId="0" fontId="16" fillId="0" borderId="0" applyFill="0" applyBorder="0" applyAlignment="0"/>
    <xf numFmtId="0" fontId="17" fillId="0" borderId="0" applyFill="0" applyBorder="0" applyAlignment="0"/>
    <xf numFmtId="0" fontId="19" fillId="0" borderId="0" applyNumberFormat="0" applyFill="0" applyBorder="0" applyAlignment="0" applyProtection="0"/>
    <xf numFmtId="0" fontId="20" fillId="15" borderId="16" applyNumberFormat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16" fillId="0" borderId="0" applyFont="0" applyFill="0" applyBorder="0" applyAlignment="0" applyProtection="0"/>
    <xf numFmtId="0" fontId="22" fillId="0" borderId="0" applyFill="0" applyBorder="0" applyAlignment="0"/>
    <xf numFmtId="0" fontId="16" fillId="0" borderId="0" applyFont="0" applyFill="0" applyBorder="0" applyAlignment="0" applyProtection="0"/>
    <xf numFmtId="0" fontId="22" fillId="0" borderId="0" applyFill="0" applyBorder="0" applyAlignment="0"/>
    <xf numFmtId="0" fontId="23" fillId="0" borderId="0" applyFont="0" applyFill="0" applyBorder="0" applyAlignment="0" applyProtection="0"/>
    <xf numFmtId="0" fontId="24" fillId="0" borderId="0">
      <alignment horizontal="center"/>
    </xf>
    <xf numFmtId="40" fontId="16" fillId="0" borderId="0" applyFont="0" applyFill="0" applyBorder="0" applyAlignment="0" applyProtection="0"/>
    <xf numFmtId="0" fontId="25" fillId="0" borderId="17">
      <alignment horizontal="center"/>
    </xf>
    <xf numFmtId="0" fontId="26" fillId="0" borderId="18" applyNumberFormat="0" applyFill="0" applyAlignment="0" applyProtection="0"/>
    <xf numFmtId="14" fontId="27" fillId="0" borderId="0" applyNumberFormat="0" applyFill="0" applyBorder="0" applyAlignment="0" applyProtection="0">
      <alignment horizontal="left"/>
    </xf>
    <xf numFmtId="0" fontId="16" fillId="0" borderId="0" applyNumberFormat="0" applyAlignment="0">
      <alignment horizontal="left"/>
    </xf>
    <xf numFmtId="0" fontId="21" fillId="0" borderId="0"/>
    <xf numFmtId="0" fontId="28" fillId="0" borderId="19" applyNumberFormat="0" applyFill="0" applyAlignment="0" applyProtection="0"/>
    <xf numFmtId="0" fontId="2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29" fillId="0" borderId="0"/>
    <xf numFmtId="0" fontId="29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1" fillId="0" borderId="0"/>
    <xf numFmtId="0" fontId="29" fillId="0" borderId="0"/>
    <xf numFmtId="0" fontId="31" fillId="0" borderId="0"/>
    <xf numFmtId="0" fontId="29" fillId="0" borderId="0"/>
    <xf numFmtId="0" fontId="29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2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21" fillId="0" borderId="0"/>
    <xf numFmtId="0" fontId="21" fillId="0" borderId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1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5" fillId="0" borderId="0">
      <alignment horizontal="center" wrapText="1"/>
      <protection locked="0"/>
    </xf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7" fillId="27" borderId="0" applyNumberFormat="0" applyBorder="0" applyAlignment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170" fontId="2" fillId="0" borderId="0" applyFill="0" applyBorder="0" applyAlignment="0"/>
    <xf numFmtId="170" fontId="2" fillId="0" borderId="0" applyFill="0" applyBorder="0" applyAlignment="0"/>
    <xf numFmtId="170" fontId="2" fillId="0" borderId="0" applyFill="0" applyBorder="0" applyAlignment="0"/>
    <xf numFmtId="0" fontId="39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39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39" fillId="0" borderId="0" applyFill="0" applyBorder="0" applyAlignment="0"/>
    <xf numFmtId="0" fontId="40" fillId="14" borderId="14" applyNumberFormat="0" applyAlignment="0" applyProtection="0"/>
    <xf numFmtId="0" fontId="40" fillId="14" borderId="14" applyNumberFormat="0" applyAlignment="0" applyProtection="0"/>
    <xf numFmtId="0" fontId="40" fillId="14" borderId="14" applyNumberFormat="0" applyAlignment="0" applyProtection="0"/>
    <xf numFmtId="0" fontId="40" fillId="14" borderId="14" applyNumberFormat="0" applyAlignment="0" applyProtection="0"/>
    <xf numFmtId="0" fontId="40" fillId="14" borderId="14" applyNumberFormat="0" applyAlignment="0" applyProtection="0"/>
    <xf numFmtId="0" fontId="41" fillId="0" borderId="0"/>
    <xf numFmtId="0" fontId="42" fillId="15" borderId="16" applyNumberFormat="0" applyAlignment="0" applyProtection="0"/>
    <xf numFmtId="0" fontId="42" fillId="15" borderId="16" applyNumberFormat="0" applyAlignment="0" applyProtection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0" fontId="42" fillId="15" borderId="16" applyNumberFormat="0" applyAlignment="0" applyProtection="0"/>
    <xf numFmtId="0" fontId="42" fillId="15" borderId="16" applyNumberFormat="0" applyAlignment="0" applyProtection="0"/>
    <xf numFmtId="0" fontId="42" fillId="15" borderId="16" applyNumberFormat="0" applyAlignment="0" applyProtection="0"/>
    <xf numFmtId="171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2" fontId="44" fillId="0" borderId="0" applyFont="0" applyFill="0" applyBorder="0" applyAlignment="0" applyProtection="0"/>
    <xf numFmtId="172" fontId="44" fillId="0" borderId="0" applyFont="0" applyFill="0" applyBorder="0" applyAlignment="0" applyProtection="0"/>
    <xf numFmtId="166" fontId="2" fillId="0" borderId="0" applyFont="0" applyFill="0" applyBorder="0" applyAlignment="0" applyProtection="0"/>
    <xf numFmtId="3" fontId="45" fillId="0" borderId="0" applyFont="0" applyFill="0" applyBorder="0" applyAlignment="0" applyProtection="0"/>
    <xf numFmtId="0" fontId="46" fillId="0" borderId="0" applyNumberFormat="0" applyAlignment="0">
      <alignment horizontal="left"/>
    </xf>
    <xf numFmtId="0" fontId="47" fillId="0" borderId="0" applyNumberFormat="0" applyAlignment="0"/>
    <xf numFmtId="173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3" fontId="45" fillId="0" borderId="0" applyFont="0" applyFill="0" applyBorder="0" applyAlignment="0" applyProtection="0"/>
    <xf numFmtId="0" fontId="48" fillId="0" borderId="0" applyFont="0" applyFill="0" applyBorder="0" applyAlignment="0" applyProtection="0"/>
    <xf numFmtId="14" fontId="39" fillId="0" borderId="0" applyFill="0" applyBorder="0" applyAlignment="0"/>
    <xf numFmtId="0" fontId="9" fillId="26" borderId="0" applyNumberFormat="0" applyBorder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>
      <alignment horizontal="center"/>
    </xf>
    <xf numFmtId="0" fontId="50" fillId="1" borderId="20" applyNumberFormat="0" applyFont="0" applyAlignment="0">
      <alignment horizontal="center"/>
    </xf>
    <xf numFmtId="10" fontId="51" fillId="28" borderId="2" applyNumberFormat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53" fillId="0" borderId="0" applyFill="0" applyBorder="0" applyAlignment="0"/>
    <xf numFmtId="0" fontId="53" fillId="0" borderId="0" applyFill="0" applyBorder="0" applyAlignment="0"/>
    <xf numFmtId="0" fontId="53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53" fillId="0" borderId="0" applyFill="0" applyBorder="0" applyAlignment="0"/>
    <xf numFmtId="0" fontId="54" fillId="0" borderId="0" applyNumberFormat="0" applyAlignment="0">
      <alignment horizontal="left"/>
    </xf>
    <xf numFmtId="0" fontId="55" fillId="20" borderId="14" applyNumberFormat="0" applyAlignment="0" applyProtection="0"/>
    <xf numFmtId="0" fontId="55" fillId="20" borderId="14" applyNumberFormat="0" applyAlignment="0" applyProtection="0"/>
    <xf numFmtId="0" fontId="56" fillId="0" borderId="0" applyFill="0" applyBorder="0" applyAlignment="0"/>
    <xf numFmtId="0" fontId="56" fillId="0" borderId="0" applyFill="0" applyBorder="0" applyAlignment="0"/>
    <xf numFmtId="0" fontId="56" fillId="0" borderId="0" applyFill="0" applyBorder="0" applyAlignment="0"/>
    <xf numFmtId="0" fontId="33" fillId="0" borderId="0" applyFill="0" applyBorder="0" applyAlignment="0"/>
    <xf numFmtId="0" fontId="56" fillId="0" borderId="0" applyFill="0" applyBorder="0" applyAlignment="0"/>
    <xf numFmtId="0" fontId="30" fillId="0" borderId="0"/>
    <xf numFmtId="0" fontId="2" fillId="0" borderId="0"/>
    <xf numFmtId="176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2" fontId="2" fillId="0" borderId="0" applyFon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38" fontId="51" fillId="29" borderId="0" applyNumberFormat="0" applyBorder="0" applyAlignment="0" applyProtection="0"/>
    <xf numFmtId="15" fontId="5" fillId="0" borderId="11" applyFont="0" applyFill="0" applyBorder="0" applyAlignment="0" applyProtection="0"/>
    <xf numFmtId="0" fontId="58" fillId="0" borderId="0" applyNumberFormat="0" applyFill="0" applyBorder="0" applyAlignment="0" applyProtection="0">
      <alignment vertical="top"/>
      <protection locked="0"/>
    </xf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38" fontId="59" fillId="29" borderId="0" applyNumberFormat="0" applyBorder="0" applyAlignment="0" applyProtection="0"/>
    <xf numFmtId="38" fontId="59" fillId="29" borderId="0" applyNumberFormat="0" applyBorder="0" applyAlignment="0" applyProtection="0"/>
    <xf numFmtId="38" fontId="59" fillId="29" borderId="0" applyNumberFormat="0" applyBorder="0" applyAlignment="0" applyProtection="0"/>
    <xf numFmtId="38" fontId="59" fillId="29" borderId="0" applyNumberFormat="0" applyBorder="0" applyAlignment="0" applyProtection="0"/>
    <xf numFmtId="0" fontId="50" fillId="0" borderId="0">
      <alignment horizontal="center" wrapText="1"/>
      <protection locked="0"/>
    </xf>
    <xf numFmtId="0" fontId="3" fillId="0" borderId="21" applyNumberFormat="0" applyAlignment="0" applyProtection="0">
      <alignment horizontal="left" vertical="center"/>
    </xf>
    <xf numFmtId="0" fontId="3" fillId="0" borderId="20">
      <alignment horizontal="left" vertical="center"/>
    </xf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1" fillId="0" borderId="23" applyNumberFormat="0" applyFill="0" applyAlignment="0" applyProtection="0"/>
    <xf numFmtId="0" fontId="61" fillId="0" borderId="23" applyNumberFormat="0" applyFill="0" applyAlignment="0" applyProtection="0"/>
    <xf numFmtId="0" fontId="52" fillId="0" borderId="18" applyNumberFormat="0" applyFill="0" applyAlignment="0" applyProtection="0"/>
    <xf numFmtId="0" fontId="52" fillId="0" borderId="18" applyNumberFormat="0" applyFill="0" applyAlignment="0" applyProtection="0"/>
    <xf numFmtId="0" fontId="52" fillId="0" borderId="18" applyNumberFormat="0" applyFill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62" fillId="0" borderId="17">
      <alignment horizontal="center"/>
    </xf>
    <xf numFmtId="0" fontId="62" fillId="0" borderId="0">
      <alignment horizontal="center"/>
    </xf>
    <xf numFmtId="0" fontId="63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33" fillId="0" borderId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65" fillId="0" borderId="0" applyNumberFormat="0" applyFont="0" applyFill="0" applyBorder="0" applyAlignment="0"/>
    <xf numFmtId="0" fontId="55" fillId="20" borderId="14" applyNumberFormat="0" applyAlignment="0" applyProtection="0"/>
    <xf numFmtId="10" fontId="59" fillId="28" borderId="2" applyNumberFormat="0" applyBorder="0" applyAlignment="0" applyProtection="0"/>
    <xf numFmtId="10" fontId="59" fillId="28" borderId="2" applyNumberFormat="0" applyBorder="0" applyAlignment="0" applyProtection="0"/>
    <xf numFmtId="10" fontId="59" fillId="28" borderId="2" applyNumberFormat="0" applyBorder="0" applyAlignment="0" applyProtection="0"/>
    <xf numFmtId="10" fontId="59" fillId="28" borderId="2" applyNumberFormat="0" applyBorder="0" applyAlignment="0" applyProtection="0"/>
    <xf numFmtId="0" fontId="55" fillId="20" borderId="14" applyNumberFormat="0" applyAlignment="0" applyProtection="0"/>
    <xf numFmtId="0" fontId="55" fillId="20" borderId="14" applyNumberFormat="0" applyAlignment="0" applyProtection="0"/>
    <xf numFmtId="0" fontId="55" fillId="20" borderId="14" applyNumberFormat="0" applyAlignment="0" applyProtection="0"/>
    <xf numFmtId="183" fontId="66" fillId="30" borderId="0"/>
    <xf numFmtId="0" fontId="55" fillId="20" borderId="14" applyNumberFormat="0" applyAlignment="0" applyProtection="0"/>
    <xf numFmtId="0" fontId="67" fillId="0" borderId="0" applyFill="0" applyBorder="0" applyAlignment="0"/>
    <xf numFmtId="0" fontId="33" fillId="0" borderId="0" applyFill="0" applyBorder="0" applyAlignment="0"/>
    <xf numFmtId="0" fontId="68" fillId="20" borderId="14" applyNumberFormat="0" applyAlignment="0" applyProtection="0"/>
    <xf numFmtId="0" fontId="67" fillId="0" borderId="0" applyFill="0" applyBorder="0" applyAlignment="0"/>
    <xf numFmtId="0" fontId="68" fillId="20" borderId="14" applyNumberFormat="0" applyAlignment="0" applyProtection="0"/>
    <xf numFmtId="0" fontId="69" fillId="0" borderId="0" applyFill="0" applyBorder="0" applyAlignment="0"/>
    <xf numFmtId="0" fontId="69" fillId="0" borderId="0" applyFill="0" applyBorder="0" applyAlignment="0"/>
    <xf numFmtId="0" fontId="69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69" fillId="0" borderId="0" applyFill="0" applyBorder="0" applyAlignment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183" fontId="70" fillId="31" borderId="0"/>
    <xf numFmtId="0" fontId="71" fillId="0" borderId="0"/>
    <xf numFmtId="184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6" fontId="2" fillId="0" borderId="0" applyFont="0" applyFill="0" applyBorder="0" applyAlignment="0" applyProtection="0"/>
    <xf numFmtId="171" fontId="72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1" fillId="0" borderId="0" applyFont="0" applyFill="0" applyBorder="0" applyAlignment="0" applyProtection="0"/>
    <xf numFmtId="187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9" fontId="74" fillId="0" borderId="0" applyFont="0" applyFill="0" applyBorder="0" applyAlignment="0" applyProtection="0"/>
    <xf numFmtId="189" fontId="74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187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32" fillId="0" borderId="0"/>
    <xf numFmtId="190" fontId="2" fillId="0" borderId="0" applyFont="0" applyFill="0" applyBorder="0" applyAlignment="0" applyProtection="0"/>
    <xf numFmtId="191" fontId="2" fillId="0" borderId="0" applyFont="0" applyFill="0" applyBorder="0" applyAlignment="0" applyProtection="0"/>
    <xf numFmtId="0" fontId="32" fillId="0" borderId="0"/>
    <xf numFmtId="190" fontId="2" fillId="0" borderId="0" applyFont="0" applyFill="0" applyBorder="0" applyAlignment="0" applyProtection="0"/>
    <xf numFmtId="0" fontId="8" fillId="0" borderId="0" applyFont="0" applyFill="0" applyBorder="0" applyAlignment="0" applyProtection="0"/>
    <xf numFmtId="192" fontId="2" fillId="0" borderId="0" applyFont="0" applyFill="0" applyBorder="0" applyAlignment="0" applyProtection="0"/>
    <xf numFmtId="0" fontId="32" fillId="0" borderId="0"/>
    <xf numFmtId="167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6" fontId="7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93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5" fontId="2" fillId="0" borderId="0" applyFont="0" applyFill="0" applyBorder="0" applyAlignment="0" applyProtection="0"/>
    <xf numFmtId="0" fontId="75" fillId="0" borderId="0" applyNumberFormat="0" applyFill="0" applyBorder="0" applyProtection="0">
      <alignment horizontal="left" vertical="center"/>
    </xf>
    <xf numFmtId="196" fontId="76" fillId="0" borderId="0" applyFont="0" applyFill="0" applyBorder="0" applyAlignment="0" applyProtection="0"/>
    <xf numFmtId="191" fontId="2" fillId="0" borderId="0" applyFont="0" applyFill="0" applyBorder="0" applyAlignment="0" applyProtection="0"/>
    <xf numFmtId="191" fontId="32" fillId="0" borderId="0" applyFont="0" applyFill="0" applyBorder="0" applyAlignment="0" applyProtection="0"/>
    <xf numFmtId="197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91" fontId="2" fillId="0" borderId="0" applyFont="0" applyFill="0" applyBorder="0" applyAlignment="0" applyProtection="0"/>
    <xf numFmtId="0" fontId="75" fillId="0" borderId="0" applyNumberFormat="0" applyFill="0" applyBorder="0" applyProtection="0">
      <alignment horizontal="left" vertical="center"/>
    </xf>
    <xf numFmtId="191" fontId="2" fillId="0" borderId="0" applyFont="0" applyFill="0" applyBorder="0" applyAlignment="0" applyProtection="0"/>
    <xf numFmtId="191" fontId="2" fillId="0" borderId="0" applyFont="0" applyFill="0" applyBorder="0" applyAlignment="0" applyProtection="0"/>
    <xf numFmtId="191" fontId="2" fillId="0" borderId="0" applyFont="0" applyFill="0" applyBorder="0" applyAlignment="0" applyProtection="0"/>
    <xf numFmtId="191" fontId="2" fillId="0" borderId="0" applyFont="0" applyFill="0" applyBorder="0" applyAlignment="0" applyProtection="0"/>
    <xf numFmtId="198" fontId="2" fillId="0" borderId="0" applyFont="0" applyFill="0" applyBorder="0" applyAlignment="0" applyProtection="0"/>
    <xf numFmtId="199" fontId="2" fillId="0" borderId="0" applyFont="0" applyFill="0" applyBorder="0" applyAlignment="0" applyProtection="0"/>
    <xf numFmtId="0" fontId="77" fillId="32" borderId="0" applyNumberFormat="0" applyBorder="0" applyAlignment="0" applyProtection="0"/>
    <xf numFmtId="0" fontId="77" fillId="32" borderId="0" applyNumberFormat="0" applyBorder="0" applyAlignment="0" applyProtection="0"/>
    <xf numFmtId="0" fontId="77" fillId="32" borderId="0" applyNumberFormat="0" applyBorder="0" applyAlignment="0" applyProtection="0"/>
    <xf numFmtId="37" fontId="78" fillId="0" borderId="0"/>
    <xf numFmtId="0" fontId="47" fillId="0" borderId="0"/>
    <xf numFmtId="200" fontId="2" fillId="0" borderId="0"/>
    <xf numFmtId="200" fontId="2" fillId="0" borderId="0"/>
    <xf numFmtId="200" fontId="2" fillId="0" borderId="0"/>
    <xf numFmtId="0" fontId="79" fillId="0" borderId="0"/>
    <xf numFmtId="0" fontId="1" fillId="0" borderId="0"/>
    <xf numFmtId="0" fontId="7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44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32" fillId="0" borderId="0"/>
    <xf numFmtId="0" fontId="76" fillId="0" borderId="0"/>
    <xf numFmtId="0" fontId="39" fillId="0" borderId="0">
      <alignment vertical="top"/>
    </xf>
    <xf numFmtId="0" fontId="2" fillId="0" borderId="0"/>
    <xf numFmtId="0" fontId="2" fillId="0" borderId="0"/>
    <xf numFmtId="0" fontId="39" fillId="0" borderId="0"/>
    <xf numFmtId="0" fontId="2" fillId="0" borderId="0"/>
    <xf numFmtId="0" fontId="39" fillId="0" borderId="0">
      <alignment vertical="top"/>
    </xf>
    <xf numFmtId="0" fontId="2" fillId="0" borderId="0" applyNumberFormat="0" applyFill="0" applyBorder="0" applyAlignment="0" applyProtection="0"/>
    <xf numFmtId="0" fontId="1" fillId="0" borderId="0"/>
    <xf numFmtId="0" fontId="39" fillId="0" borderId="0">
      <alignment vertical="top"/>
    </xf>
    <xf numFmtId="0" fontId="39" fillId="0" borderId="0">
      <alignment vertical="top"/>
    </xf>
    <xf numFmtId="0" fontId="2" fillId="0" borderId="0"/>
    <xf numFmtId="0" fontId="8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80" fillId="0" borderId="0"/>
    <xf numFmtId="0" fontId="1" fillId="0" borderId="0"/>
    <xf numFmtId="0" fontId="2" fillId="0" borderId="0"/>
    <xf numFmtId="0" fontId="2" fillId="0" borderId="0"/>
    <xf numFmtId="0" fontId="74" fillId="0" borderId="0"/>
    <xf numFmtId="0" fontId="1" fillId="0" borderId="0"/>
    <xf numFmtId="0" fontId="7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9" fillId="0" borderId="0"/>
    <xf numFmtId="0" fontId="8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9" fillId="0" borderId="0"/>
    <xf numFmtId="0" fontId="2" fillId="0" borderId="0"/>
    <xf numFmtId="0" fontId="2" fillId="0" borderId="0"/>
    <xf numFmtId="0" fontId="32" fillId="0" borderId="0"/>
    <xf numFmtId="0" fontId="7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79" fillId="0" borderId="0"/>
    <xf numFmtId="0" fontId="81" fillId="0" borderId="0"/>
    <xf numFmtId="0" fontId="32" fillId="0" borderId="0"/>
    <xf numFmtId="0" fontId="2" fillId="0" borderId="0"/>
    <xf numFmtId="0" fontId="41" fillId="0" borderId="0"/>
    <xf numFmtId="0" fontId="2" fillId="33" borderId="24" applyNumberFormat="0" applyFont="0" applyAlignment="0" applyProtection="0"/>
    <xf numFmtId="0" fontId="32" fillId="2" borderId="1" applyNumberFormat="0" applyFont="0" applyAlignment="0" applyProtection="0"/>
    <xf numFmtId="0" fontId="2" fillId="33" borderId="24" applyNumberFormat="0" applyFont="0" applyAlignment="0" applyProtection="0"/>
    <xf numFmtId="0" fontId="2" fillId="33" borderId="24" applyNumberFormat="0" applyFont="0" applyAlignment="0" applyProtection="0"/>
    <xf numFmtId="0" fontId="32" fillId="33" borderId="24" applyNumberFormat="0" applyFont="0" applyAlignment="0" applyProtection="0"/>
    <xf numFmtId="0" fontId="2" fillId="33" borderId="24" applyNumberFormat="0" applyFont="0" applyAlignment="0" applyProtection="0"/>
    <xf numFmtId="0" fontId="2" fillId="33" borderId="24" applyNumberFormat="0" applyFont="0" applyAlignment="0" applyProtection="0"/>
    <xf numFmtId="40" fontId="82" fillId="0" borderId="0" applyFont="0" applyFill="0" applyBorder="0" applyAlignment="0" applyProtection="0"/>
    <xf numFmtId="38" fontId="82" fillId="0" borderId="0" applyFont="0" applyFill="0" applyBorder="0" applyAlignment="0" applyProtection="0"/>
    <xf numFmtId="0" fontId="83" fillId="14" borderId="25" applyNumberFormat="0" applyAlignment="0" applyProtection="0"/>
    <xf numFmtId="0" fontId="83" fillId="14" borderId="25" applyNumberFormat="0" applyAlignment="0" applyProtection="0"/>
    <xf numFmtId="14" fontId="35" fillId="0" borderId="0">
      <alignment horizontal="center" wrapText="1"/>
      <protection locked="0"/>
    </xf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84" fillId="0" borderId="0">
      <protection locked="0"/>
    </xf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32" fillId="0" borderId="0" applyFont="0" applyFill="0" applyBorder="0" applyAlignment="0" applyProtection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85" fillId="0" borderId="0" applyFill="0" applyBorder="0" applyAlignment="0"/>
    <xf numFmtId="0" fontId="85" fillId="0" borderId="0" applyFill="0" applyBorder="0" applyAlignment="0"/>
    <xf numFmtId="0" fontId="85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85" fillId="0" borderId="0" applyFill="0" applyBorder="0" applyAlignment="0"/>
    <xf numFmtId="202" fontId="86" fillId="0" borderId="0"/>
    <xf numFmtId="0" fontId="41" fillId="0" borderId="0" applyNumberFormat="0" applyFont="0" applyFill="0" applyBorder="0" applyAlignment="0" applyProtection="0">
      <alignment horizontal="left"/>
    </xf>
    <xf numFmtId="0" fontId="87" fillId="0" borderId="17">
      <alignment horizontal="center"/>
    </xf>
    <xf numFmtId="0" fontId="88" fillId="0" borderId="0" applyNumberFormat="0" applyFont="0" applyFill="0" applyBorder="0" applyAlignment="0"/>
    <xf numFmtId="0" fontId="88" fillId="0" borderId="0" applyNumberFormat="0" applyFont="0" applyFill="0" applyBorder="0" applyAlignment="0"/>
    <xf numFmtId="0" fontId="88" fillId="0" borderId="0" applyNumberFormat="0" applyFont="0" applyFill="0" applyBorder="0" applyAlignment="0"/>
    <xf numFmtId="0" fontId="33" fillId="0" borderId="0">
      <alignment horizontal="center"/>
    </xf>
    <xf numFmtId="0" fontId="89" fillId="34" borderId="0" applyNumberFormat="0" applyFont="0" applyBorder="0" applyAlignment="0">
      <alignment horizontal="center"/>
    </xf>
    <xf numFmtId="0" fontId="90" fillId="27" borderId="0" applyNumberFormat="0" applyBorder="0" applyAlignment="0"/>
    <xf numFmtId="203" fontId="91" fillId="0" borderId="0" applyNumberFormat="0" applyFill="0" applyBorder="0" applyAlignment="0" applyProtection="0">
      <alignment horizontal="left"/>
    </xf>
    <xf numFmtId="0" fontId="67" fillId="0" borderId="0" applyFill="0" applyBorder="0" applyAlignment="0"/>
    <xf numFmtId="0" fontId="67" fillId="0" borderId="0" applyFill="0" applyBorder="0" applyAlignment="0"/>
    <xf numFmtId="0" fontId="83" fillId="14" borderId="25" applyNumberFormat="0" applyAlignment="0" applyProtection="0"/>
    <xf numFmtId="0" fontId="83" fillId="14" borderId="25" applyNumberFormat="0" applyAlignment="0" applyProtection="0"/>
    <xf numFmtId="0" fontId="89" fillId="1" borderId="20" applyNumberFormat="0" applyFont="0" applyAlignment="0">
      <alignment horizontal="center"/>
    </xf>
    <xf numFmtId="0" fontId="92" fillId="0" borderId="0" applyNumberFormat="0" applyFill="0" applyBorder="0" applyAlignment="0">
      <alignment horizontal="center"/>
    </xf>
    <xf numFmtId="0" fontId="93" fillId="0" borderId="0"/>
    <xf numFmtId="204" fontId="41" fillId="0" borderId="0">
      <alignment horizontal="center"/>
    </xf>
    <xf numFmtId="176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40" fontId="94" fillId="0" borderId="0" applyBorder="0">
      <alignment horizontal="right"/>
    </xf>
    <xf numFmtId="49" fontId="39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1" fillId="0" borderId="23" applyNumberFormat="0" applyFill="0" applyAlignment="0" applyProtection="0"/>
    <xf numFmtId="0" fontId="61" fillId="0" borderId="23" applyNumberFormat="0" applyFill="0" applyAlignment="0" applyProtection="0"/>
    <xf numFmtId="0" fontId="52" fillId="0" borderId="18" applyNumberFormat="0" applyFill="0" applyAlignment="0" applyProtection="0"/>
    <xf numFmtId="0" fontId="52" fillId="0" borderId="18" applyNumberFormat="0" applyFill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7" fillId="17" borderId="0" applyNumberFormat="0" applyBorder="0" applyAlignment="0" applyProtection="0"/>
    <xf numFmtId="0" fontId="98" fillId="0" borderId="19" applyNumberFormat="0" applyFill="0" applyAlignment="0" applyProtection="0"/>
    <xf numFmtId="0" fontId="98" fillId="0" borderId="19" applyNumberFormat="0" applyFill="0" applyAlignment="0" applyProtection="0"/>
    <xf numFmtId="0" fontId="98" fillId="0" borderId="19" applyNumberFormat="0" applyFill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33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100" fillId="0" borderId="21" applyNumberFormat="0" applyAlignment="0" applyProtection="0">
      <alignment horizontal="left" vertical="center"/>
    </xf>
    <xf numFmtId="0" fontId="100" fillId="0" borderId="20">
      <alignment horizontal="left" vertical="center"/>
    </xf>
    <xf numFmtId="0" fontId="33" fillId="0" borderId="0"/>
    <xf numFmtId="0" fontId="101" fillId="0" borderId="0">
      <alignment horizontal="center"/>
    </xf>
    <xf numFmtId="0" fontId="101" fillId="0" borderId="17">
      <alignment horizontal="center"/>
    </xf>
    <xf numFmtId="0" fontId="33" fillId="33" borderId="24" applyNumberFormat="0" applyFont="0" applyAlignment="0" applyProtection="0"/>
    <xf numFmtId="0" fontId="33" fillId="0" borderId="0"/>
    <xf numFmtId="0" fontId="102" fillId="0" borderId="0" applyFill="0" applyBorder="0" applyAlignment="0"/>
    <xf numFmtId="0" fontId="33" fillId="0" borderId="0"/>
    <xf numFmtId="0" fontId="10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104" fillId="13" borderId="0" applyNumberFormat="0" applyBorder="0" applyAlignment="0" applyProtection="0"/>
    <xf numFmtId="0" fontId="33" fillId="0" borderId="0" applyFont="0" applyFill="0" applyBorder="0" applyAlignment="0" applyProtection="0"/>
    <xf numFmtId="0" fontId="33" fillId="0" borderId="0" applyFill="0" applyBorder="0" applyAlignment="0"/>
    <xf numFmtId="0" fontId="105" fillId="0" borderId="0" applyFill="0" applyBorder="0" applyAlignment="0"/>
    <xf numFmtId="0" fontId="106" fillId="14" borderId="14" applyNumberFormat="0" applyAlignment="0" applyProtection="0"/>
    <xf numFmtId="0" fontId="105" fillId="0" borderId="0" applyFill="0" applyBorder="0" applyAlignment="0"/>
    <xf numFmtId="0" fontId="105" fillId="0" borderId="0" applyFill="0" applyBorder="0" applyAlignment="0"/>
    <xf numFmtId="49" fontId="105" fillId="0" borderId="0" applyFill="0" applyBorder="0" applyAlignment="0"/>
    <xf numFmtId="0" fontId="33" fillId="0" borderId="0" applyFill="0" applyBorder="0" applyAlignment="0"/>
    <xf numFmtId="0" fontId="33" fillId="0" borderId="0" applyFill="0" applyBorder="0" applyAlignment="0"/>
    <xf numFmtId="0" fontId="107" fillId="0" borderId="17">
      <alignment horizontal="center"/>
    </xf>
    <xf numFmtId="0" fontId="108" fillId="0" borderId="0" applyNumberFormat="0" applyFill="0" applyBorder="0" applyAlignment="0" applyProtection="0"/>
    <xf numFmtId="0" fontId="109" fillId="15" borderId="16" applyNumberFormat="0" applyAlignment="0" applyProtection="0"/>
    <xf numFmtId="0" fontId="21" fillId="0" borderId="0"/>
    <xf numFmtId="0" fontId="21" fillId="0" borderId="0"/>
    <xf numFmtId="0" fontId="21" fillId="0" borderId="0"/>
    <xf numFmtId="40" fontId="33" fillId="0" borderId="0" applyFont="0" applyFill="0" applyBorder="0" applyAlignment="0" applyProtection="0"/>
    <xf numFmtId="38" fontId="33" fillId="0" borderId="0" applyFont="0" applyFill="0" applyBorder="0" applyAlignment="0" applyProtection="0"/>
    <xf numFmtId="0" fontId="50" fillId="34" borderId="0" applyNumberFormat="0" applyFont="0" applyBorder="0" applyAlignment="0">
      <alignment horizontal="center"/>
    </xf>
    <xf numFmtId="14" fontId="105" fillId="0" borderId="0" applyFill="0" applyBorder="0" applyAlignment="0"/>
    <xf numFmtId="14" fontId="27" fillId="0" borderId="0" applyNumberFormat="0" applyFill="0" applyBorder="0" applyAlignment="0" applyProtection="0">
      <alignment horizontal="left"/>
    </xf>
    <xf numFmtId="0" fontId="110" fillId="14" borderId="25" applyNumberFormat="0" applyAlignment="0" applyProtection="0"/>
    <xf numFmtId="0" fontId="10" fillId="0" borderId="0"/>
    <xf numFmtId="0" fontId="111" fillId="0" borderId="15" applyNumberFormat="0" applyFill="0" applyAlignment="0" applyProtection="0"/>
    <xf numFmtId="0" fontId="10" fillId="0" borderId="0"/>
    <xf numFmtId="40" fontId="14" fillId="0" borderId="0" applyBorder="0">
      <alignment horizontal="right"/>
    </xf>
    <xf numFmtId="0" fontId="112" fillId="0" borderId="19" applyNumberFormat="0" applyFill="0" applyAlignment="0" applyProtection="0"/>
    <xf numFmtId="0" fontId="113" fillId="0" borderId="0" applyNumberFormat="0" applyFill="0" applyBorder="0" applyAlignment="0" applyProtection="0"/>
    <xf numFmtId="0" fontId="49" fillId="0" borderId="18" applyNumberFormat="0" applyFill="0" applyAlignment="0" applyProtection="0"/>
    <xf numFmtId="14" fontId="50" fillId="0" borderId="0">
      <alignment horizontal="center" wrapText="1"/>
      <protection locked="0"/>
    </xf>
    <xf numFmtId="0" fontId="33" fillId="0" borderId="0" applyFont="0" applyFill="0" applyBorder="0" applyAlignment="0" applyProtection="0"/>
    <xf numFmtId="0" fontId="21" fillId="0" borderId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114" fillId="32" borderId="0" applyNumberFormat="0" applyBorder="0" applyAlignment="0" applyProtection="0"/>
    <xf numFmtId="0" fontId="21" fillId="0" borderId="0"/>
    <xf numFmtId="0" fontId="115" fillId="0" borderId="0" applyNumberFormat="0" applyFill="0" applyBorder="0" applyAlignment="0" applyProtection="0"/>
    <xf numFmtId="0" fontId="3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102" fillId="0" borderId="0" applyFill="0" applyBorder="0" applyAlignment="0"/>
    <xf numFmtId="0" fontId="102" fillId="0" borderId="0" applyFill="0" applyBorder="0" applyAlignment="0"/>
    <xf numFmtId="0" fontId="21" fillId="0" borderId="0"/>
    <xf numFmtId="0" fontId="33" fillId="0" borderId="0" applyNumberFormat="0" applyAlignment="0">
      <alignment horizontal="left"/>
    </xf>
    <xf numFmtId="0" fontId="33" fillId="0" borderId="0" applyFont="0" applyFill="0" applyBorder="0" applyAlignment="0" applyProtection="0"/>
  </cellStyleXfs>
  <cellXfs count="107">
    <xf numFmtId="0" fontId="0" fillId="0" borderId="0" xfId="0"/>
    <xf numFmtId="164" fontId="3" fillId="3" borderId="0" xfId="1" applyNumberFormat="1" applyFont="1" applyFill="1" applyBorder="1" applyAlignment="1">
      <alignment horizontal="left" vertical="center"/>
    </xf>
    <xf numFmtId="165" fontId="3" fillId="3" borderId="0" xfId="1" applyNumberFormat="1" applyFont="1" applyFill="1" applyBorder="1" applyAlignment="1">
      <alignment vertical="center"/>
    </xf>
    <xf numFmtId="0" fontId="2" fillId="0" borderId="0" xfId="1"/>
    <xf numFmtId="0" fontId="5" fillId="0" borderId="2" xfId="1" applyFont="1" applyBorder="1" applyAlignment="1">
      <alignment wrapText="1"/>
    </xf>
    <xf numFmtId="0" fontId="5" fillId="0" borderId="2" xfId="1" applyFont="1" applyFill="1" applyBorder="1" applyAlignment="1">
      <alignment horizontal="center" vertical="center"/>
    </xf>
    <xf numFmtId="0" fontId="3" fillId="5" borderId="2" xfId="1" applyFont="1" applyFill="1" applyBorder="1" applyAlignment="1" applyProtection="1">
      <alignment horizontal="center" vertical="center"/>
      <protection locked="0"/>
    </xf>
    <xf numFmtId="0" fontId="5" fillId="0" borderId="2" xfId="1" applyFont="1" applyBorder="1"/>
    <xf numFmtId="166" fontId="3" fillId="6" borderId="5" xfId="2" applyFont="1" applyFill="1" applyBorder="1" applyAlignment="1">
      <alignment horizontal="center" vertical="center" wrapText="1"/>
    </xf>
    <xf numFmtId="167" fontId="3" fillId="6" borderId="5" xfId="3" applyFont="1" applyFill="1" applyBorder="1" applyAlignment="1">
      <alignment horizontal="center" vertical="center" wrapText="1"/>
    </xf>
    <xf numFmtId="0" fontId="2" fillId="0" borderId="0" xfId="1" applyAlignment="1">
      <alignment wrapText="1"/>
    </xf>
    <xf numFmtId="167" fontId="3" fillId="6" borderId="6" xfId="3" applyFont="1" applyFill="1" applyBorder="1" applyAlignment="1">
      <alignment horizontal="center" wrapText="1"/>
    </xf>
    <xf numFmtId="166" fontId="5" fillId="3" borderId="6" xfId="2" applyFont="1" applyFill="1" applyBorder="1" applyAlignment="1">
      <alignment horizontal="left" vertical="center"/>
    </xf>
    <xf numFmtId="166" fontId="5" fillId="0" borderId="6" xfId="2" applyFont="1" applyFill="1" applyBorder="1" applyAlignment="1" applyProtection="1">
      <alignment vertical="center"/>
    </xf>
    <xf numFmtId="168" fontId="5" fillId="5" borderId="6" xfId="2" applyNumberFormat="1" applyFont="1" applyFill="1" applyBorder="1" applyAlignment="1" applyProtection="1">
      <alignment horizontal="center" vertical="center"/>
      <protection locked="0"/>
    </xf>
    <xf numFmtId="168" fontId="5" fillId="5" borderId="6" xfId="2" applyNumberFormat="1" applyFont="1" applyFill="1" applyBorder="1" applyAlignment="1" applyProtection="1">
      <alignment horizontal="center" vertical="center"/>
    </xf>
    <xf numFmtId="168" fontId="5" fillId="0" borderId="6" xfId="2" applyNumberFormat="1" applyFont="1" applyFill="1" applyBorder="1" applyAlignment="1" applyProtection="1">
      <alignment vertical="center"/>
    </xf>
    <xf numFmtId="168" fontId="2" fillId="0" borderId="0" xfId="1" applyNumberFormat="1"/>
    <xf numFmtId="168" fontId="5" fillId="3" borderId="6" xfId="2" applyNumberFormat="1" applyFont="1" applyFill="1" applyBorder="1" applyAlignment="1">
      <alignment horizontal="left" vertical="center"/>
    </xf>
    <xf numFmtId="166" fontId="5" fillId="3" borderId="6" xfId="2" applyFont="1" applyFill="1" applyBorder="1" applyAlignment="1">
      <alignment vertical="top" wrapText="1"/>
    </xf>
    <xf numFmtId="166" fontId="5" fillId="5" borderId="6" xfId="2" applyFont="1" applyFill="1" applyBorder="1" applyAlignment="1" applyProtection="1">
      <alignment vertical="center"/>
      <protection locked="0"/>
    </xf>
    <xf numFmtId="166" fontId="5" fillId="0" borderId="6" xfId="2" applyFont="1" applyFill="1" applyBorder="1" applyAlignment="1" applyProtection="1">
      <alignment horizontal="center" vertical="center"/>
      <protection locked="0"/>
    </xf>
    <xf numFmtId="166" fontId="5" fillId="3" borderId="6" xfId="2" applyFont="1" applyFill="1" applyBorder="1" applyAlignment="1">
      <alignment horizontal="left" vertical="center" wrapText="1"/>
    </xf>
    <xf numFmtId="166" fontId="5" fillId="0" borderId="6" xfId="2" applyFont="1" applyFill="1" applyBorder="1" applyAlignment="1" applyProtection="1">
      <alignment horizontal="center" vertical="center"/>
    </xf>
    <xf numFmtId="166" fontId="6" fillId="0" borderId="6" xfId="2" applyFont="1" applyFill="1" applyBorder="1" applyAlignment="1" applyProtection="1">
      <alignment vertical="center"/>
    </xf>
    <xf numFmtId="166" fontId="3" fillId="3" borderId="6" xfId="2" applyFont="1" applyFill="1" applyBorder="1" applyAlignment="1">
      <alignment horizontal="left" vertical="center" wrapText="1"/>
    </xf>
    <xf numFmtId="166" fontId="3" fillId="3" borderId="7" xfId="2" applyFont="1" applyFill="1" applyBorder="1" applyAlignment="1">
      <alignment horizontal="center" vertical="center"/>
    </xf>
    <xf numFmtId="166" fontId="3" fillId="6" borderId="7" xfId="2" applyFont="1" applyFill="1" applyBorder="1" applyAlignment="1" applyProtection="1">
      <alignment vertical="center"/>
    </xf>
    <xf numFmtId="0" fontId="7" fillId="0" borderId="0" xfId="1" applyFont="1"/>
    <xf numFmtId="0" fontId="8" fillId="0" borderId="0" xfId="1" applyFont="1"/>
    <xf numFmtId="166" fontId="2" fillId="0" borderId="0" xfId="1" applyNumberFormat="1"/>
    <xf numFmtId="169" fontId="3" fillId="0" borderId="0" xfId="3" applyNumberFormat="1" applyFont="1"/>
    <xf numFmtId="169" fontId="5" fillId="0" borderId="0" xfId="3" applyNumberFormat="1" applyFont="1"/>
    <xf numFmtId="167" fontId="1" fillId="0" borderId="0" xfId="3" applyFont="1"/>
    <xf numFmtId="169" fontId="3" fillId="0" borderId="8" xfId="3" applyNumberFormat="1" applyFont="1" applyBorder="1"/>
    <xf numFmtId="169" fontId="5" fillId="0" borderId="9" xfId="3" applyNumberFormat="1" applyFont="1" applyBorder="1"/>
    <xf numFmtId="169" fontId="5" fillId="0" borderId="10" xfId="3" applyNumberFormat="1" applyFont="1" applyBorder="1"/>
    <xf numFmtId="169" fontId="5" fillId="0" borderId="11" xfId="3" applyNumberFormat="1" applyFont="1" applyBorder="1"/>
    <xf numFmtId="169" fontId="5" fillId="0" borderId="10" xfId="3" applyNumberFormat="1" applyFont="1" applyBorder="1" applyAlignment="1">
      <alignment wrapText="1"/>
    </xf>
    <xf numFmtId="169" fontId="6" fillId="0" borderId="11" xfId="3" applyNumberFormat="1" applyFont="1" applyBorder="1"/>
    <xf numFmtId="169" fontId="3" fillId="5" borderId="11" xfId="3" applyNumberFormat="1" applyFont="1" applyFill="1" applyBorder="1"/>
    <xf numFmtId="169" fontId="3" fillId="0" borderId="10" xfId="3" applyNumberFormat="1" applyFont="1" applyBorder="1"/>
    <xf numFmtId="169" fontId="3" fillId="0" borderId="10" xfId="3" applyNumberFormat="1" applyFont="1" applyBorder="1" applyAlignment="1">
      <alignment horizontal="right"/>
    </xf>
    <xf numFmtId="169" fontId="3" fillId="0" borderId="11" xfId="3" applyNumberFormat="1" applyFont="1" applyBorder="1"/>
    <xf numFmtId="169" fontId="3" fillId="0" borderId="12" xfId="3" applyNumberFormat="1" applyFont="1" applyBorder="1"/>
    <xf numFmtId="169" fontId="2" fillId="0" borderId="0" xfId="1" applyNumberFormat="1"/>
    <xf numFmtId="43" fontId="2" fillId="0" borderId="0" xfId="1" applyNumberFormat="1"/>
    <xf numFmtId="169" fontId="3" fillId="0" borderId="0" xfId="3" applyNumberFormat="1" applyFont="1" applyBorder="1"/>
    <xf numFmtId="169" fontId="3" fillId="0" borderId="10" xfId="3" applyNumberFormat="1" applyFont="1" applyBorder="1" applyAlignment="1">
      <alignment wrapText="1"/>
    </xf>
    <xf numFmtId="0" fontId="2" fillId="0" borderId="12" xfId="1" applyBorder="1"/>
    <xf numFmtId="0" fontId="2" fillId="0" borderId="13" xfId="1" applyBorder="1"/>
    <xf numFmtId="169" fontId="3" fillId="5" borderId="13" xfId="3" applyNumberFormat="1" applyFont="1" applyFill="1" applyBorder="1"/>
    <xf numFmtId="169" fontId="3" fillId="5" borderId="11" xfId="1" applyNumberFormat="1" applyFont="1" applyFill="1" applyBorder="1" applyAlignment="1">
      <alignment vertical="center"/>
    </xf>
    <xf numFmtId="166" fontId="3" fillId="0" borderId="6" xfId="2" applyFont="1" applyFill="1" applyBorder="1" applyAlignment="1" applyProtection="1">
      <alignment vertical="center"/>
    </xf>
    <xf numFmtId="0" fontId="2" fillId="0" borderId="0" xfId="444"/>
    <xf numFmtId="0" fontId="2" fillId="0" borderId="26" xfId="444" applyBorder="1"/>
    <xf numFmtId="0" fontId="2" fillId="0" borderId="27" xfId="444" applyBorder="1"/>
    <xf numFmtId="0" fontId="2" fillId="0" borderId="28" xfId="444" applyBorder="1"/>
    <xf numFmtId="0" fontId="2" fillId="0" borderId="29" xfId="444" applyBorder="1"/>
    <xf numFmtId="0" fontId="2" fillId="0" borderId="0" xfId="444" applyBorder="1"/>
    <xf numFmtId="0" fontId="2" fillId="0" borderId="30" xfId="444" applyBorder="1"/>
    <xf numFmtId="0" fontId="5" fillId="0" borderId="0" xfId="444" applyFont="1" applyBorder="1"/>
    <xf numFmtId="0" fontId="5" fillId="0" borderId="30" xfId="444" applyFont="1" applyBorder="1"/>
    <xf numFmtId="3" fontId="5" fillId="5" borderId="31" xfId="444" applyNumberFormat="1" applyFont="1" applyFill="1" applyBorder="1" applyProtection="1">
      <protection locked="0"/>
    </xf>
    <xf numFmtId="0" fontId="116" fillId="0" borderId="0" xfId="444" applyFont="1"/>
    <xf numFmtId="3" fontId="5" fillId="6" borderId="31" xfId="444" applyNumberFormat="1" applyFont="1" applyFill="1" applyBorder="1"/>
    <xf numFmtId="0" fontId="117" fillId="0" borderId="0" xfId="444" applyFont="1" applyBorder="1"/>
    <xf numFmtId="0" fontId="3" fillId="0" borderId="2" xfId="444" applyFont="1" applyBorder="1"/>
    <xf numFmtId="0" fontId="3" fillId="0" borderId="2" xfId="444" applyFont="1" applyBorder="1" applyAlignment="1">
      <alignment vertical="center"/>
    </xf>
    <xf numFmtId="0" fontId="3" fillId="0" borderId="2" xfId="444" applyFont="1" applyBorder="1" applyAlignment="1">
      <alignment horizontal="center"/>
    </xf>
    <xf numFmtId="205" fontId="118" fillId="0" borderId="2" xfId="359" applyNumberFormat="1" applyFont="1" applyBorder="1"/>
    <xf numFmtId="9" fontId="118" fillId="0" borderId="2" xfId="444" applyNumberFormat="1" applyFont="1" applyBorder="1"/>
    <xf numFmtId="0" fontId="118" fillId="0" borderId="2" xfId="444" applyFont="1" applyBorder="1" applyAlignment="1">
      <alignment horizontal="center"/>
    </xf>
    <xf numFmtId="0" fontId="118" fillId="0" borderId="2" xfId="444" applyFont="1" applyBorder="1" applyAlignment="1">
      <alignment horizontal="center" wrapText="1"/>
    </xf>
    <xf numFmtId="205" fontId="118" fillId="0" borderId="2" xfId="359" applyNumberFormat="1" applyFont="1" applyBorder="1" applyAlignment="1">
      <alignment horizontal="center" wrapText="1"/>
    </xf>
    <xf numFmtId="9" fontId="118" fillId="0" borderId="2" xfId="444" applyNumberFormat="1" applyFont="1" applyBorder="1" applyAlignment="1">
      <alignment horizontal="center" wrapText="1"/>
    </xf>
    <xf numFmtId="0" fontId="117" fillId="0" borderId="30" xfId="444" applyFont="1" applyBorder="1"/>
    <xf numFmtId="3" fontId="2" fillId="0" borderId="0" xfId="444" applyNumberFormat="1"/>
    <xf numFmtId="0" fontId="2" fillId="0" borderId="34" xfId="444" applyBorder="1"/>
    <xf numFmtId="0" fontId="5" fillId="0" borderId="17" xfId="444" applyFont="1" applyBorder="1"/>
    <xf numFmtId="0" fontId="5" fillId="0" borderId="35" xfId="444" applyFont="1" applyBorder="1"/>
    <xf numFmtId="0" fontId="2" fillId="0" borderId="0" xfId="444" applyFont="1"/>
    <xf numFmtId="0" fontId="5" fillId="0" borderId="0" xfId="444" applyFont="1"/>
    <xf numFmtId="0" fontId="2" fillId="0" borderId="26" xfId="444" applyFont="1" applyBorder="1"/>
    <xf numFmtId="0" fontId="2" fillId="0" borderId="27" xfId="444" applyFont="1" applyBorder="1"/>
    <xf numFmtId="0" fontId="2" fillId="0" borderId="28" xfId="444" applyFont="1" applyBorder="1"/>
    <xf numFmtId="0" fontId="2" fillId="0" borderId="29" xfId="444" applyFont="1" applyBorder="1"/>
    <xf numFmtId="0" fontId="2" fillId="0" borderId="0" xfId="444" applyFont="1" applyBorder="1"/>
    <xf numFmtId="0" fontId="2" fillId="0" borderId="30" xfId="444" applyFont="1" applyBorder="1"/>
    <xf numFmtId="205" fontId="5" fillId="0" borderId="2" xfId="359" applyNumberFormat="1" applyFont="1" applyBorder="1"/>
    <xf numFmtId="9" fontId="5" fillId="0" borderId="2" xfId="444" applyNumberFormat="1" applyFont="1" applyBorder="1"/>
    <xf numFmtId="0" fontId="5" fillId="0" borderId="2" xfId="444" applyFont="1" applyBorder="1" applyAlignment="1">
      <alignment horizontal="center"/>
    </xf>
    <xf numFmtId="0" fontId="5" fillId="0" borderId="2" xfId="444" applyFont="1" applyBorder="1" applyAlignment="1">
      <alignment horizontal="center" wrapText="1"/>
    </xf>
    <xf numFmtId="205" fontId="5" fillId="0" borderId="2" xfId="359" applyNumberFormat="1" applyFont="1" applyBorder="1" applyAlignment="1">
      <alignment horizontal="center" wrapText="1"/>
    </xf>
    <xf numFmtId="9" fontId="5" fillId="0" borderId="2" xfId="444" applyNumberFormat="1" applyFont="1" applyBorder="1" applyAlignment="1">
      <alignment horizontal="center" wrapText="1"/>
    </xf>
    <xf numFmtId="0" fontId="2" fillId="0" borderId="34" xfId="444" applyFont="1" applyBorder="1"/>
    <xf numFmtId="0" fontId="119" fillId="3" borderId="30" xfId="444" applyFont="1" applyFill="1" applyBorder="1"/>
    <xf numFmtId="0" fontId="120" fillId="0" borderId="0" xfId="444" applyFont="1"/>
    <xf numFmtId="166" fontId="4" fillId="0" borderId="0" xfId="2" applyFont="1" applyFill="1" applyBorder="1" applyAlignment="1">
      <alignment vertical="center"/>
    </xf>
    <xf numFmtId="0" fontId="3" fillId="0" borderId="32" xfId="444" applyFont="1" applyBorder="1" applyAlignment="1">
      <alignment horizontal="center"/>
    </xf>
    <xf numFmtId="0" fontId="3" fillId="0" borderId="33" xfId="444" applyFont="1" applyBorder="1" applyAlignment="1">
      <alignment horizontal="center"/>
    </xf>
    <xf numFmtId="166" fontId="4" fillId="4" borderId="32" xfId="2" applyFont="1" applyFill="1" applyBorder="1" applyAlignment="1">
      <alignment horizontal="center" vertical="center"/>
    </xf>
    <xf numFmtId="166" fontId="4" fillId="4" borderId="20" xfId="2" applyFont="1" applyFill="1" applyBorder="1" applyAlignment="1">
      <alignment horizontal="center" vertical="center"/>
    </xf>
    <xf numFmtId="166" fontId="4" fillId="4" borderId="33" xfId="2" applyFont="1" applyFill="1" applyBorder="1" applyAlignment="1">
      <alignment horizontal="center" vertical="center"/>
    </xf>
    <xf numFmtId="0" fontId="3" fillId="5" borderId="3" xfId="1" applyFont="1" applyFill="1" applyBorder="1" applyAlignment="1">
      <alignment horizontal="center"/>
    </xf>
    <xf numFmtId="0" fontId="3" fillId="5" borderId="4" xfId="1" applyFont="1" applyFill="1" applyBorder="1" applyAlignment="1">
      <alignment horizontal="center"/>
    </xf>
    <xf numFmtId="169" fontId="3" fillId="4" borderId="0" xfId="3" applyNumberFormat="1" applyFont="1" applyFill="1" applyAlignment="1">
      <alignment horizontal="center"/>
    </xf>
  </cellXfs>
  <cellStyles count="654">
    <cellStyle name="% - Énfasis1. " xfId="6"/>
    <cellStyle name="% - Énfasis2. " xfId="7"/>
    <cellStyle name="% - Énfasis3. " xfId="8"/>
    <cellStyle name="% - Énfasis4. " xfId="9"/>
    <cellStyle name="% - Énfasis5. " xfId="10"/>
    <cellStyle name="% - Énfasis6. " xfId="11"/>
    <cellStyle name="????" xfId="12"/>
    <cellStyle name="?????" xfId="13"/>
    <cellStyle name="??????" xfId="14"/>
    <cellStyle name="???????" xfId="15"/>
    <cellStyle name="????????" xfId="16"/>
    <cellStyle name="?????????" xfId="17"/>
    <cellStyle name="??????????" xfId="18"/>
    <cellStyle name="???????????" xfId="19"/>
    <cellStyle name="????????????" xfId="20"/>
    <cellStyle name="?????????????" xfId="21"/>
    <cellStyle name="??????????????" xfId="22"/>
    <cellStyle name="???????????????" xfId="23"/>
    <cellStyle name="????????????????" xfId="24"/>
    <cellStyle name="?????????????????" xfId="25"/>
    <cellStyle name="??????????????????" xfId="26"/>
    <cellStyle name="?????????????????????" xfId="27"/>
    <cellStyle name="???????????????????????" xfId="28"/>
    <cellStyle name="????????????????????????" xfId="29"/>
    <cellStyle name="????????????????????????????? ?????" xfId="30"/>
    <cellStyle name="????????????????????????????? ?????_x0001_" xfId="31"/>
    <cellStyle name="??????????????????_Varios Junio" xfId="32"/>
    <cellStyle name="?????????????????_Varios Junio" xfId="33"/>
    <cellStyle name="???????????????_Varios Junio" xfId="34"/>
    <cellStyle name="??????????????_Varios Junio" xfId="35"/>
    <cellStyle name="?????????????_Varios Junio" xfId="36"/>
    <cellStyle name="???????????_Varios Junio" xfId="37"/>
    <cellStyle name="??????????_Varios Junio" xfId="38"/>
    <cellStyle name="?????????_Varios Junio" xfId="39"/>
    <cellStyle name="????????_Varios Junio" xfId="40"/>
    <cellStyle name="???????_Varios Junio" xfId="41"/>
    <cellStyle name="??????_Varios Junio" xfId="42"/>
    <cellStyle name="??????†?????????????????????? ?" xfId="43"/>
    <cellStyle name="?????_Varios Junio" xfId="44"/>
    <cellStyle name="?????e???" xfId="45"/>
    <cellStyle name="_02 Octubre" xfId="46"/>
    <cellStyle name="_04 setiembre" xfId="47"/>
    <cellStyle name="_11 JULIO" xfId="48"/>
    <cellStyle name="_19 junio" xfId="49"/>
    <cellStyle name="_22 mayo" xfId="50"/>
    <cellStyle name="_23 AGOSTO" xfId="51"/>
    <cellStyle name="_425035" xfId="52"/>
    <cellStyle name="_6 febrero" xfId="53"/>
    <cellStyle name="_AN07" xfId="54"/>
    <cellStyle name="_ANEXO AUTORRETENCIONES 2007" xfId="55"/>
    <cellStyle name="_ANEXO AUTORRETENCIONES 2007 2" xfId="56"/>
    <cellStyle name="_ANEXO AUTORRETENCIONES 2007 3" xfId="57"/>
    <cellStyle name="_Anexos Renta 2007" xfId="58"/>
    <cellStyle name="_Cartera Mayo 2 de 2006" xfId="59"/>
    <cellStyle name="_Cartera Mayo 2 de 20061" xfId="60"/>
    <cellStyle name="_Cartera Sed international 05 Mayo-08" xfId="61"/>
    <cellStyle name="_CUENTA HP A 02 de mayo" xfId="62"/>
    <cellStyle name="_Estado Cuenta SED  2  Mar-2006" xfId="63"/>
    <cellStyle name="_Estado de Cta Sed International al 02-09-081" xfId="64"/>
    <cellStyle name="_Estado de Cta Sed International al 05-08-08" xfId="65"/>
    <cellStyle name="_Estado de Cta Sed International al 05-11-08" xfId="66"/>
    <cellStyle name="_Estado de Cta Sed International al 06-10-08" xfId="67"/>
    <cellStyle name="_Estado de Cta. SED INT. 01-08-2006" xfId="68"/>
    <cellStyle name="_Estado de Cta. SED INT. 01-08-20061" xfId="69"/>
    <cellStyle name="_Estado de Cta. SED INT. 04-07-2006" xfId="70"/>
    <cellStyle name="_Estado de Cta. SED INT. 06-07-2006" xfId="71"/>
    <cellStyle name="_Estado de Cta. SED INT. 18-12-2006" xfId="72"/>
    <cellStyle name="_Estado de Cta. Sed Internacional 31-05-2006" xfId="73"/>
    <cellStyle name="_Estado de Cta. Sed Internacional 31-05-20061" xfId="74"/>
    <cellStyle name="_Hoja1" xfId="75"/>
    <cellStyle name="_Hoja2" xfId="76"/>
    <cellStyle name="_Hoja3" xfId="77"/>
    <cellStyle name="_IMPORTACIONES" xfId="78"/>
    <cellStyle name="_Nov3008" xfId="79"/>
    <cellStyle name="_Oct3008" xfId="80"/>
    <cellStyle name="_P" xfId="81"/>
    <cellStyle name="_Pago Aportes Parafiscales y Seguridad Social" xfId="82"/>
    <cellStyle name="_Pasivos Estimados" xfId="83"/>
    <cellStyle name="_PASIVOS ESTIMADOS DEFINITIVOS" xfId="84"/>
    <cellStyle name="_Renta 20061" xfId="85"/>
    <cellStyle name="_SEPTIEMBRE " xfId="86"/>
    <cellStyle name="‹????e???" xfId="87"/>
    <cellStyle name="‹番楮浯牢e쀀∠∤" xfId="88"/>
    <cellStyle name="‱啊䥌浏牢e쀀∠∤" xfId="89"/>
    <cellStyle name="2 mayoom" xfId="90"/>
    <cellStyle name="20% - Accent1" xfId="91"/>
    <cellStyle name="20% - Accent1 2" xfId="92"/>
    <cellStyle name="20% - Accent2" xfId="93"/>
    <cellStyle name="20% - Accent2 2" xfId="94"/>
    <cellStyle name="20% - Accent3" xfId="95"/>
    <cellStyle name="20% - Accent3 2" xfId="96"/>
    <cellStyle name="20% - Accent4" xfId="97"/>
    <cellStyle name="20% - Accent4 2" xfId="98"/>
    <cellStyle name="20% - Accent5" xfId="99"/>
    <cellStyle name="20% - Accent5 2" xfId="100"/>
    <cellStyle name="20% - Accent6" xfId="101"/>
    <cellStyle name="20% - Accent6 2" xfId="102"/>
    <cellStyle name="20% - Énfasis1 2" xfId="103"/>
    <cellStyle name="20% - Énfasis1 3" xfId="104"/>
    <cellStyle name="20% - Énfasis2 2" xfId="105"/>
    <cellStyle name="20% - Énfasis2 3" xfId="106"/>
    <cellStyle name="20% - Énfasis3 2" xfId="107"/>
    <cellStyle name="20% - Énfasis3 3" xfId="108"/>
    <cellStyle name="20% - Énfasis4 2" xfId="109"/>
    <cellStyle name="20% - Énfasis4 3" xfId="110"/>
    <cellStyle name="20% - Énfasis5 2" xfId="111"/>
    <cellStyle name="20% - Énfasis5 3" xfId="112"/>
    <cellStyle name="20% - Énfasis6 2" xfId="113"/>
    <cellStyle name="20% - Énfasis6 3" xfId="114"/>
    <cellStyle name="3 AGOSTObr" xfId="115"/>
    <cellStyle name="4 setiembre" xfId="116"/>
    <cellStyle name="40% - Accent1" xfId="117"/>
    <cellStyle name="40% - Accent1 2" xfId="118"/>
    <cellStyle name="40% - Accent2" xfId="119"/>
    <cellStyle name="40% - Accent2 2" xfId="120"/>
    <cellStyle name="40% - Accent3" xfId="121"/>
    <cellStyle name="40% - Accent3 2" xfId="122"/>
    <cellStyle name="40% - Accent4" xfId="123"/>
    <cellStyle name="40% - Accent4 2" xfId="124"/>
    <cellStyle name="40% - Accent5" xfId="125"/>
    <cellStyle name="40% - Accent5 2" xfId="126"/>
    <cellStyle name="40% - Accent6" xfId="127"/>
    <cellStyle name="40% - Accent6 2" xfId="128"/>
    <cellStyle name="40% - Énfasis1 2" xfId="129"/>
    <cellStyle name="40% - Énfasis1 3" xfId="130"/>
    <cellStyle name="40% - Énfasis2 2" xfId="131"/>
    <cellStyle name="40% - Énfasis2 3" xfId="132"/>
    <cellStyle name="40% - Énfasis3 2" xfId="133"/>
    <cellStyle name="40% - Énfasis3 3" xfId="134"/>
    <cellStyle name="40% - Énfasis4 2" xfId="135"/>
    <cellStyle name="40% - Énfasis4 3" xfId="136"/>
    <cellStyle name="40% - Énfasis5 2" xfId="137"/>
    <cellStyle name="40% - Énfasis5 3" xfId="138"/>
    <cellStyle name="40% - Énfasis6 2" xfId="139"/>
    <cellStyle name="40% - Énfasis6 3" xfId="140"/>
    <cellStyle name="⁴㉛嵝潩⁮牏敤獲⠠⤲牥" xfId="141"/>
    <cellStyle name="⁴せ崰潩⁮牏敤獲⠠⤲牥⁳" xfId="142"/>
    <cellStyle name="⁴せ杝潩⁮牏敤獲⠠⤲牥" xfId="143"/>
    <cellStyle name="60% - Accent1" xfId="144"/>
    <cellStyle name="60% - Accent1 2" xfId="145"/>
    <cellStyle name="60% - Accent2" xfId="146"/>
    <cellStyle name="60% - Accent2 2" xfId="147"/>
    <cellStyle name="60% - Accent3" xfId="148"/>
    <cellStyle name="60% - Accent3 2" xfId="149"/>
    <cellStyle name="60% - Accent4" xfId="150"/>
    <cellStyle name="60% - Accent4 2" xfId="151"/>
    <cellStyle name="60% - Accent5" xfId="152"/>
    <cellStyle name="60% - Accent5 2" xfId="153"/>
    <cellStyle name="60% - Accent6" xfId="154"/>
    <cellStyle name="60% - Accent6 2" xfId="155"/>
    <cellStyle name="60% - Énfasis1 2" xfId="156"/>
    <cellStyle name="60% - Énfasis1 3" xfId="157"/>
    <cellStyle name="60% - Énfasis2 2" xfId="158"/>
    <cellStyle name="60% - Énfasis2 3" xfId="159"/>
    <cellStyle name="60% - Énfasis3 2" xfId="160"/>
    <cellStyle name="60% - Énfasis3 3" xfId="161"/>
    <cellStyle name="60% - Énfasis4 2" xfId="162"/>
    <cellStyle name="60% - Énfasis4 3" xfId="163"/>
    <cellStyle name="60% - Énfasis5 2" xfId="164"/>
    <cellStyle name="60% - Énfasis5 3" xfId="165"/>
    <cellStyle name="60% - Énfasis6 2" xfId="166"/>
    <cellStyle name="60% - Énfasis6 3" xfId="167"/>
    <cellStyle name="Accent1" xfId="168"/>
    <cellStyle name="Accent1 2" xfId="169"/>
    <cellStyle name="Accent2" xfId="170"/>
    <cellStyle name="Accent2 2" xfId="171"/>
    <cellStyle name="Accent3" xfId="172"/>
    <cellStyle name="Accent3 2" xfId="173"/>
    <cellStyle name="Accent4" xfId="174"/>
    <cellStyle name="Accent4 2" xfId="175"/>
    <cellStyle name="Accent5" xfId="176"/>
    <cellStyle name="Accent5 2" xfId="177"/>
    <cellStyle name="Accent6" xfId="178"/>
    <cellStyle name="Accent6 2" xfId="179"/>
    <cellStyle name="args.style" xfId="180"/>
    <cellStyle name="Bad" xfId="181"/>
    <cellStyle name="Bad 2" xfId="182"/>
    <cellStyle name="black bar" xfId="183"/>
    <cellStyle name="Body" xfId="184"/>
    <cellStyle name="Body 2" xfId="185"/>
    <cellStyle name="Buena 2" xfId="186"/>
    <cellStyle name="Buena 3" xfId="187"/>
    <cellStyle name="Calc Currency (0)" xfId="188"/>
    <cellStyle name="Calc Currency (0) 2" xfId="189"/>
    <cellStyle name="Calc Currency (0) 3" xfId="190"/>
    <cellStyle name="Calc Currency (2)" xfId="191"/>
    <cellStyle name="Calc Percent (0)" xfId="192"/>
    <cellStyle name="Calc Percent (0) 2" xfId="193"/>
    <cellStyle name="Calc Percent (0) 3" xfId="194"/>
    <cellStyle name="Calc Percent (1)" xfId="195"/>
    <cellStyle name="Calc Percent (1) 2" xfId="196"/>
    <cellStyle name="Calc Percent (1) 3" xfId="197"/>
    <cellStyle name="Calc Percent (2)" xfId="198"/>
    <cellStyle name="Calc Percent (2) 2" xfId="199"/>
    <cellStyle name="Calc Percent (2) 3" xfId="200"/>
    <cellStyle name="Calc Units (0)" xfId="201"/>
    <cellStyle name="Calc Units (1)" xfId="202"/>
    <cellStyle name="Calc Units (1) 2" xfId="203"/>
    <cellStyle name="Calc Units (1) 3" xfId="204"/>
    <cellStyle name="Calc Units (2)" xfId="205"/>
    <cellStyle name="Calculation" xfId="206"/>
    <cellStyle name="Calculation 2" xfId="207"/>
    <cellStyle name="Calculation_Anexos Marzo 11" xfId="208"/>
    <cellStyle name="Cálculo 2" xfId="209"/>
    <cellStyle name="Cálculo 3" xfId="210"/>
    <cellStyle name="Cambiar to&amp;do" xfId="211"/>
    <cellStyle name="Celda de comprobación 2" xfId="212"/>
    <cellStyle name="Celda de comprobación 3" xfId="213"/>
    <cellStyle name="Celda vinculada 2" xfId="214"/>
    <cellStyle name="Celda vinculada 3" xfId="215"/>
    <cellStyle name="Check Cell" xfId="216"/>
    <cellStyle name="Check Cell 2" xfId="217"/>
    <cellStyle name="Check Cell_Anexos Marzo 11" xfId="218"/>
    <cellStyle name="Comma [0]_!!!GO" xfId="219"/>
    <cellStyle name="Comma [00]" xfId="220"/>
    <cellStyle name="Comma [00] 2" xfId="221"/>
    <cellStyle name="Comma 2" xfId="222"/>
    <cellStyle name="Comma 3" xfId="223"/>
    <cellStyle name="Comma 3 2" xfId="224"/>
    <cellStyle name="Comma 3 2 2" xfId="225"/>
    <cellStyle name="Comma 4" xfId="226"/>
    <cellStyle name="Comma 5" xfId="227"/>
    <cellStyle name="Comma 6" xfId="228"/>
    <cellStyle name="Comma_!!!GO" xfId="229"/>
    <cellStyle name="Comma0" xfId="230"/>
    <cellStyle name="Copied" xfId="231"/>
    <cellStyle name="COST1" xfId="232"/>
    <cellStyle name="Currency [0]_!!!GO" xfId="233"/>
    <cellStyle name="Currency [00]" xfId="234"/>
    <cellStyle name="Currency [00] 2" xfId="235"/>
    <cellStyle name="Currency 2" xfId="236"/>
    <cellStyle name="Currency_!!!GO" xfId="237"/>
    <cellStyle name="Currency0" xfId="238"/>
    <cellStyle name="Date" xfId="239"/>
    <cellStyle name="Date Short" xfId="240"/>
    <cellStyle name="do 4GO!!" xfId="241"/>
    <cellStyle name="do 4GO!!GOió" xfId="242"/>
    <cellStyle name="ecstoresES" xfId="243"/>
    <cellStyle name="EDSTORESmspe" xfId="244"/>
    <cellStyle name="ellow]" xfId="245"/>
    <cellStyle name="Encabezado 4 2" xfId="246"/>
    <cellStyle name="Encabezado 4 3" xfId="247"/>
    <cellStyle name="Énfasis1 2" xfId="248"/>
    <cellStyle name="Énfasis1 3" xfId="249"/>
    <cellStyle name="Énfasis2 2" xfId="250"/>
    <cellStyle name="Énfasis2 3" xfId="251"/>
    <cellStyle name="Énfasis3 2" xfId="252"/>
    <cellStyle name="Énfasis3 3" xfId="253"/>
    <cellStyle name="Énfasis4 2" xfId="254"/>
    <cellStyle name="Énfasis4 3" xfId="255"/>
    <cellStyle name="Énfasis5 2" xfId="256"/>
    <cellStyle name="Énfasis5 3" xfId="257"/>
    <cellStyle name="Énfasis6 2" xfId="258"/>
    <cellStyle name="Énfasis6 3" xfId="259"/>
    <cellStyle name="Enter Currency (0)" xfId="260"/>
    <cellStyle name="Enter Currency (2)" xfId="261"/>
    <cellStyle name="Enter Units (0)" xfId="262"/>
    <cellStyle name="Enter Units (1)" xfId="263"/>
    <cellStyle name="Enter Units (1) 2" xfId="264"/>
    <cellStyle name="Enter Units (1) 3" xfId="265"/>
    <cellStyle name="Enter Units (2)" xfId="266"/>
    <cellStyle name="Entered" xfId="267"/>
    <cellStyle name="Entrada 2" xfId="268"/>
    <cellStyle name="Entrada 3" xfId="269"/>
    <cellStyle name="ePop Currency (0)l" xfId="270"/>
    <cellStyle name="ePop Currency (2)l" xfId="271"/>
    <cellStyle name="ePop Units (0)(2" xfId="272"/>
    <cellStyle name="ePop Units (1)(2" xfId="273"/>
    <cellStyle name="ePop Units (2)(2" xfId="274"/>
    <cellStyle name="Estilo 1" xfId="275"/>
    <cellStyle name="Estilo 1 2" xfId="276"/>
    <cellStyle name="Estilo 1_Aportes Parafiscales 2009" xfId="277"/>
    <cellStyle name="Estilo 2" xfId="278"/>
    <cellStyle name="Estilo 2 2" xfId="279"/>
    <cellStyle name="Estilo 3" xfId="280"/>
    <cellStyle name="Estilo 3 2" xfId="281"/>
    <cellStyle name="Estilo 4" xfId="282"/>
    <cellStyle name="Estilo 4 2" xfId="283"/>
    <cellStyle name="Euro" xfId="284"/>
    <cellStyle name="Euro 2" xfId="285"/>
    <cellStyle name="Euro 3" xfId="286"/>
    <cellStyle name="Euro_Xl0000024" xfId="287"/>
    <cellStyle name="Explanatory Text" xfId="288"/>
    <cellStyle name="Explanatory Text 2" xfId="289"/>
    <cellStyle name="eylo" xfId="290"/>
    <cellStyle name="fecha" xfId="291"/>
    <cellStyle name="Followed Hyperlink" xfId="292"/>
    <cellStyle name="Good" xfId="293"/>
    <cellStyle name="Good 2" xfId="294"/>
    <cellStyle name="Grey" xfId="295"/>
    <cellStyle name="Grey 2" xfId="296"/>
    <cellStyle name="Grey 3" xfId="297"/>
    <cellStyle name="Grey_Anexo pasivos estmados" xfId="298"/>
    <cellStyle name="gs.stylesi" xfId="299"/>
    <cellStyle name="Header1" xfId="300"/>
    <cellStyle name="Header2" xfId="301"/>
    <cellStyle name="Heading 1" xfId="302"/>
    <cellStyle name="Heading 1 2" xfId="303"/>
    <cellStyle name="Heading 2" xfId="304"/>
    <cellStyle name="Heading 2 2" xfId="305"/>
    <cellStyle name="Heading 3" xfId="306"/>
    <cellStyle name="Heading 3 2" xfId="307"/>
    <cellStyle name="Heading 3_Anexos Marzo 11" xfId="308"/>
    <cellStyle name="Heading 4" xfId="309"/>
    <cellStyle name="Heading 4 2" xfId="310"/>
    <cellStyle name="HEADINGS" xfId="311"/>
    <cellStyle name="HEADINGSTOP" xfId="312"/>
    <cellStyle name="Hipervínculo 2" xfId="313"/>
    <cellStyle name="Hipervínculo 3" xfId="314"/>
    <cellStyle name="Hyperlink" xfId="315"/>
    <cellStyle name="icingUn" xfId="316"/>
    <cellStyle name="Incorrecto 2" xfId="317"/>
    <cellStyle name="Incorrecto 3" xfId="318"/>
    <cellStyle name="ing" xfId="319"/>
    <cellStyle name="Input" xfId="320"/>
    <cellStyle name="Input [yellow]" xfId="321"/>
    <cellStyle name="Input [yellow] 2" xfId="322"/>
    <cellStyle name="Input [yellow] 3" xfId="323"/>
    <cellStyle name="Input [yellow]_Anexo pasivos estmados" xfId="324"/>
    <cellStyle name="Input 2" xfId="325"/>
    <cellStyle name="Input 3" xfId="326"/>
    <cellStyle name="Input 4" xfId="327"/>
    <cellStyle name="Input Cells" xfId="328"/>
    <cellStyle name="Input_131020 MES JUNIO" xfId="329"/>
    <cellStyle name="its (0)(2)iónnt" xfId="330"/>
    <cellStyle name="its (1)(2)iónnt" xfId="331"/>
    <cellStyle name="its (2)" xfId="332"/>
    <cellStyle name="its (2)(2)iónnt" xfId="333"/>
    <cellStyle name="its (2)_131020 MES JUNIO" xfId="334"/>
    <cellStyle name="Link Currency (0)" xfId="335"/>
    <cellStyle name="Link Currency (2)" xfId="336"/>
    <cellStyle name="Link Units (0)" xfId="337"/>
    <cellStyle name="Link Units (1)" xfId="338"/>
    <cellStyle name="Link Units (1) 2" xfId="339"/>
    <cellStyle name="Link Units (1) 3" xfId="340"/>
    <cellStyle name="Link Units (2)" xfId="341"/>
    <cellStyle name="Linked Cell" xfId="342"/>
    <cellStyle name="Linked Cell 2" xfId="343"/>
    <cellStyle name="Linked Cell_Anexos Marzo 11" xfId="344"/>
    <cellStyle name="Linked Cells" xfId="345"/>
    <cellStyle name="macroname" xfId="346"/>
    <cellStyle name="Millares [0] 2" xfId="347"/>
    <cellStyle name="Millares [0] 2 2" xfId="348"/>
    <cellStyle name="Millares [0] 3" xfId="349"/>
    <cellStyle name="Millares [0] 4" xfId="350"/>
    <cellStyle name="Millares 10" xfId="351"/>
    <cellStyle name="Millares 11" xfId="3"/>
    <cellStyle name="Millares 12" xfId="352"/>
    <cellStyle name="Millares 2" xfId="353"/>
    <cellStyle name="Millares 2 2" xfId="354"/>
    <cellStyle name="Millares 2 2 2" xfId="355"/>
    <cellStyle name="Millares 2 2 3" xfId="356"/>
    <cellStyle name="Millares 2 2 4" xfId="357"/>
    <cellStyle name="Millares 2 2_Anexo pasivos estmados" xfId="358"/>
    <cellStyle name="Millares 2 3" xfId="359"/>
    <cellStyle name="Millares 2 4" xfId="360"/>
    <cellStyle name="Millares 2 5" xfId="361"/>
    <cellStyle name="Millares 2 6" xfId="362"/>
    <cellStyle name="Millares 2 7" xfId="363"/>
    <cellStyle name="Millares 2_INFO ENVIADA POR GLORIA" xfId="364"/>
    <cellStyle name="Millares 3" xfId="2"/>
    <cellStyle name="Millares 3 2" xfId="365"/>
    <cellStyle name="Millares 3 3" xfId="366"/>
    <cellStyle name="Millares 3_INFO ENVIADA POR GLORIA" xfId="367"/>
    <cellStyle name="Millares 4" xfId="368"/>
    <cellStyle name="Millares 4 2" xfId="369"/>
    <cellStyle name="Millares 4 3" xfId="370"/>
    <cellStyle name="Millares 4_INFO ENVIADA POR GLORIA" xfId="371"/>
    <cellStyle name="Millares 5" xfId="372"/>
    <cellStyle name="Millares 6" xfId="373"/>
    <cellStyle name="Millares 7" xfId="374"/>
    <cellStyle name="Millares 8" xfId="375"/>
    <cellStyle name="Millares 9" xfId="376"/>
    <cellStyle name="Millares 9 2" xfId="377"/>
    <cellStyle name="Milliers [0]_!!!GO" xfId="378"/>
    <cellStyle name="Milliers_!!!GO" xfId="379"/>
    <cellStyle name="Moneda [0] 2" xfId="380"/>
    <cellStyle name="Moneda 10" xfId="381"/>
    <cellStyle name="Moneda 2" xfId="382"/>
    <cellStyle name="Moneda 2 2" xfId="383"/>
    <cellStyle name="Moneda 2 3" xfId="384"/>
    <cellStyle name="Moneda 2 4" xfId="385"/>
    <cellStyle name="Moneda 2 5" xfId="386"/>
    <cellStyle name="Moneda 3" xfId="387"/>
    <cellStyle name="Moneda 4" xfId="388"/>
    <cellStyle name="Moneda 5" xfId="389"/>
    <cellStyle name="Moneda 6" xfId="390"/>
    <cellStyle name="Moneda 7" xfId="391"/>
    <cellStyle name="Moneda 8" xfId="392"/>
    <cellStyle name="Moneda 9" xfId="393"/>
    <cellStyle name="Monétaire [0]_!!!GO" xfId="394"/>
    <cellStyle name="Monétaire_!!!GO" xfId="395"/>
    <cellStyle name="Neutral 2" xfId="396"/>
    <cellStyle name="Neutral 3" xfId="397"/>
    <cellStyle name="Neutral 4" xfId="398"/>
    <cellStyle name="no dec" xfId="399"/>
    <cellStyle name="No-definido" xfId="400"/>
    <cellStyle name="Normal" xfId="0" builtinId="0"/>
    <cellStyle name="Normal - Style1" xfId="401"/>
    <cellStyle name="Normal - Style1 2" xfId="402"/>
    <cellStyle name="Normal - Style1 3" xfId="403"/>
    <cellStyle name="Normal 10" xfId="404"/>
    <cellStyle name="Normal 101" xfId="405"/>
    <cellStyle name="Normal 11" xfId="406"/>
    <cellStyle name="Normal 12" xfId="407"/>
    <cellStyle name="Normal 12 2" xfId="408"/>
    <cellStyle name="Normal 12 3" xfId="409"/>
    <cellStyle name="Normal 12 4" xfId="410"/>
    <cellStyle name="Normal 13" xfId="411"/>
    <cellStyle name="Normal 14" xfId="412"/>
    <cellStyle name="Normal 15" xfId="413"/>
    <cellStyle name="Normal 16" xfId="414"/>
    <cellStyle name="Normal 17" xfId="415"/>
    <cellStyle name="Normal 17 2" xfId="416"/>
    <cellStyle name="Normal 18" xfId="417"/>
    <cellStyle name="Normal 19" xfId="418"/>
    <cellStyle name="Normal 2" xfId="419"/>
    <cellStyle name="Normal 2 2" xfId="1"/>
    <cellStyle name="Normal 2 2 2" xfId="420"/>
    <cellStyle name="Normal 2 2 2 2" xfId="421"/>
    <cellStyle name="Normal 2 2 2 3" xfId="422"/>
    <cellStyle name="Normal 2 2 2_Anexo pasivos estmados" xfId="423"/>
    <cellStyle name="Normal 2 2 3" xfId="424"/>
    <cellStyle name="Normal 2 2 4" xfId="425"/>
    <cellStyle name="Normal 2 2_Xl0000024" xfId="426"/>
    <cellStyle name="Normal 2 3" xfId="427"/>
    <cellStyle name="Normal 2 3 2" xfId="428"/>
    <cellStyle name="Normal 2 3 3" xfId="429"/>
    <cellStyle name="Normal 2 4" xfId="430"/>
    <cellStyle name="Normal 2 5" xfId="431"/>
    <cellStyle name="Normal 2_ADMINISTRACION FINANCIERA" xfId="432"/>
    <cellStyle name="Normal 20" xfId="433"/>
    <cellStyle name="Normal 21" xfId="434"/>
    <cellStyle name="Normal 22" xfId="435"/>
    <cellStyle name="Normal 23" xfId="436"/>
    <cellStyle name="Normal 24" xfId="437"/>
    <cellStyle name="Normal 25" xfId="438"/>
    <cellStyle name="Normal 26" xfId="439"/>
    <cellStyle name="Normal 27" xfId="440"/>
    <cellStyle name="Normal 28" xfId="441"/>
    <cellStyle name="Normal 29" xfId="442"/>
    <cellStyle name="Normal 3" xfId="443"/>
    <cellStyle name="Normal 3 2" xfId="444"/>
    <cellStyle name="Normal 3 3" xfId="445"/>
    <cellStyle name="Normal 3 4" xfId="446"/>
    <cellStyle name="Normal 3_Anexo pasivos estmados" xfId="447"/>
    <cellStyle name="Normal 30" xfId="448"/>
    <cellStyle name="Normal 31" xfId="449"/>
    <cellStyle name="Normal 32" xfId="450"/>
    <cellStyle name="Normal 33" xfId="451"/>
    <cellStyle name="Normal 34" xfId="452"/>
    <cellStyle name="Normal 35" xfId="453"/>
    <cellStyle name="Normal 36" xfId="454"/>
    <cellStyle name="Normal 37" xfId="455"/>
    <cellStyle name="Normal 38" xfId="456"/>
    <cellStyle name="Normal 39" xfId="457"/>
    <cellStyle name="Normal 4" xfId="458"/>
    <cellStyle name="Normal 4 2" xfId="459"/>
    <cellStyle name="Normal 40" xfId="460"/>
    <cellStyle name="Normal 41" xfId="461"/>
    <cellStyle name="Normal 42" xfId="462"/>
    <cellStyle name="Normal 43" xfId="463"/>
    <cellStyle name="Normal 44" xfId="464"/>
    <cellStyle name="Normal 45" xfId="465"/>
    <cellStyle name="Normal 46" xfId="466"/>
    <cellStyle name="Normal 47" xfId="467"/>
    <cellStyle name="Normal 48" xfId="468"/>
    <cellStyle name="Normal 49" xfId="469"/>
    <cellStyle name="Normal 5" xfId="470"/>
    <cellStyle name="Normal 5 2" xfId="471"/>
    <cellStyle name="Normal 50" xfId="472"/>
    <cellStyle name="Normal 51" xfId="473"/>
    <cellStyle name="Normal 52" xfId="474"/>
    <cellStyle name="Normal 53" xfId="475"/>
    <cellStyle name="Normal 54" xfId="476"/>
    <cellStyle name="Normal 55" xfId="477"/>
    <cellStyle name="Normal 56" xfId="478"/>
    <cellStyle name="Normal 57" xfId="479"/>
    <cellStyle name="Normal 58" xfId="480"/>
    <cellStyle name="Normal 6" xfId="481"/>
    <cellStyle name="Normal 6 2" xfId="482"/>
    <cellStyle name="Normal 6 3" xfId="483"/>
    <cellStyle name="Normal 6_BALANCE 6 DÍGITOS" xfId="484"/>
    <cellStyle name="Normal 7" xfId="485"/>
    <cellStyle name="Normal 71" xfId="486"/>
    <cellStyle name="Normal 72" xfId="487"/>
    <cellStyle name="Normal 73" xfId="488"/>
    <cellStyle name="Normal 74" xfId="489"/>
    <cellStyle name="Normal 75" xfId="490"/>
    <cellStyle name="Normal 8" xfId="491"/>
    <cellStyle name="Normal 81" xfId="492"/>
    <cellStyle name="Normal 82" xfId="493"/>
    <cellStyle name="Normal 83" xfId="494"/>
    <cellStyle name="Normal 84" xfId="495"/>
    <cellStyle name="Normal 85" xfId="496"/>
    <cellStyle name="Normal 87" xfId="497"/>
    <cellStyle name="Normal 88" xfId="498"/>
    <cellStyle name="Normal 9" xfId="499"/>
    <cellStyle name="Normal 9 2" xfId="500"/>
    <cellStyle name="Normal 9_13109501 - HP" xfId="501"/>
    <cellStyle name="Normal 96" xfId="502"/>
    <cellStyle name="Normale_LSCO0697" xfId="503"/>
    <cellStyle name="Notas 2" xfId="504"/>
    <cellStyle name="Notas 2 2" xfId="505"/>
    <cellStyle name="Notas 2_Anexos Marzo 11" xfId="506"/>
    <cellStyle name="Notas 3" xfId="507"/>
    <cellStyle name="Note" xfId="508"/>
    <cellStyle name="Note 2" xfId="509"/>
    <cellStyle name="Note_Anexos Marzo 11" xfId="510"/>
    <cellStyle name="Œ…‹æØ‚è [0.00]_!!!GO" xfId="511"/>
    <cellStyle name="Œ…‹æØ‚è_!!!GO" xfId="512"/>
    <cellStyle name="Output" xfId="513"/>
    <cellStyle name="Output 2" xfId="514"/>
    <cellStyle name="per.style" xfId="515"/>
    <cellStyle name="Percent [0]" xfId="516"/>
    <cellStyle name="Percent [0] 2" xfId="517"/>
    <cellStyle name="Percent [0] 3" xfId="518"/>
    <cellStyle name="Percent [00]" xfId="519"/>
    <cellStyle name="Percent [00] 2" xfId="520"/>
    <cellStyle name="Percent [00] 3" xfId="521"/>
    <cellStyle name="Percent [2]" xfId="522"/>
    <cellStyle name="Percent [2] 2" xfId="523"/>
    <cellStyle name="Percent [2] 3" xfId="524"/>
    <cellStyle name="Percent 2" xfId="525"/>
    <cellStyle name="Percent 3" xfId="526"/>
    <cellStyle name="Porcentaje 2" xfId="527"/>
    <cellStyle name="Porcentaje 2 2" xfId="528"/>
    <cellStyle name="Porcentual 2" xfId="529"/>
    <cellStyle name="Porcentual 2 2" xfId="4"/>
    <cellStyle name="Porcentual 2 3" xfId="530"/>
    <cellStyle name="Porcentual 2_INFO ENVIADA POR GLORIA" xfId="531"/>
    <cellStyle name="Porcentual 3" xfId="5"/>
    <cellStyle name="Porcentual 4" xfId="532"/>
    <cellStyle name="Porcentual 5" xfId="533"/>
    <cellStyle name="Porcentual 6" xfId="534"/>
    <cellStyle name="Porcentual 7" xfId="535"/>
    <cellStyle name="PrePop Currency (0)" xfId="536"/>
    <cellStyle name="PrePop Currency (2)" xfId="537"/>
    <cellStyle name="PrePop Units (0)" xfId="538"/>
    <cellStyle name="PrePop Units (1)" xfId="539"/>
    <cellStyle name="PrePop Units (1) 2" xfId="540"/>
    <cellStyle name="PrePop Units (1) 3" xfId="541"/>
    <cellStyle name="PrePop Units (2)" xfId="542"/>
    <cellStyle name="pricing" xfId="543"/>
    <cellStyle name="PSChar" xfId="544"/>
    <cellStyle name="PSHeading" xfId="545"/>
    <cellStyle name="QDF" xfId="546"/>
    <cellStyle name="QDF 2" xfId="547"/>
    <cellStyle name="QDF 3" xfId="548"/>
    <cellStyle name="RDesESms" xfId="549"/>
    <cellStyle name="regstoresfromspecstores" xfId="550"/>
    <cellStyle name="resis6. S" xfId="551"/>
    <cellStyle name="RevList" xfId="552"/>
    <cellStyle name="rrency (0)iónntern" xfId="553"/>
    <cellStyle name="rrency (2)iónntern" xfId="554"/>
    <cellStyle name="Salida 2" xfId="555"/>
    <cellStyle name="Salida 3" xfId="556"/>
    <cellStyle name="SHADEDSTORES" xfId="557"/>
    <cellStyle name="specstores" xfId="558"/>
    <cellStyle name="st" xfId="559"/>
    <cellStyle name="STANDARD" xfId="560"/>
    <cellStyle name="Style 1" xfId="561"/>
    <cellStyle name="Style 2" xfId="562"/>
    <cellStyle name="Style 3" xfId="563"/>
    <cellStyle name="Style 4" xfId="564"/>
    <cellStyle name="Subtotal" xfId="565"/>
    <cellStyle name="Text Indent A" xfId="566"/>
    <cellStyle name="Text Indent B" xfId="567"/>
    <cellStyle name="Text Indent B 2" xfId="568"/>
    <cellStyle name="Text Indent B 3" xfId="569"/>
    <cellStyle name="Text Indent C" xfId="570"/>
    <cellStyle name="Text Indent C 2" xfId="571"/>
    <cellStyle name="Text Indent C 3" xfId="572"/>
    <cellStyle name="Texto de advertencia 2" xfId="573"/>
    <cellStyle name="Texto de advertencia 3" xfId="574"/>
    <cellStyle name="Texto explicativo 2" xfId="575"/>
    <cellStyle name="Texto explicativo 3" xfId="576"/>
    <cellStyle name="Title" xfId="577"/>
    <cellStyle name="Title 2" xfId="578"/>
    <cellStyle name="Título 1 2" xfId="579"/>
    <cellStyle name="Título 1 3" xfId="580"/>
    <cellStyle name="Título 2 2" xfId="581"/>
    <cellStyle name="Título 2 3" xfId="582"/>
    <cellStyle name="Título 3 2" xfId="583"/>
    <cellStyle name="Título 3 3" xfId="584"/>
    <cellStyle name="Título 4" xfId="585"/>
    <cellStyle name="Título 5" xfId="586"/>
    <cellStyle name="to" xfId="587"/>
    <cellStyle name="Total 2" xfId="588"/>
    <cellStyle name="Total 3" xfId="589"/>
    <cellStyle name="Total 4" xfId="590"/>
    <cellStyle name="Warning Text" xfId="591"/>
    <cellStyle name="Warning Text 2" xfId="592"/>
    <cellStyle name="⁥せ彝℡䜡く㔹㄰" xfId="593"/>
    <cellStyle name="ㄠ瑩⁳㈨" xfId="594"/>
    <cellStyle name="剟来潩⁮牏敤獲⠠⤲牥⁳㈨椩琀愀搀漀" xfId="595"/>
    <cellStyle name="嬠⸰〰彝敒楧湯传摲牥⁳㈨椩琀愀搀漀" xfId="596"/>
    <cellStyle name="ㄱ瑩⁳㈨⠩⤲" xfId="597"/>
    <cellStyle name="ㄲ瑩⁳㈨⠩⤲" xfId="598"/>
    <cellStyle name="匠祴敬ℱ䜡く㔹㄰" xfId="599"/>
    <cellStyle name="升佔⁐㈨⠩⤲湮整湲捡" xfId="600"/>
    <cellStyle name="升瑩⁳㈨⠩⤲湮" xfId="601"/>
    <cellStyle name="卌佃㘰㜹ㄳ" xfId="602"/>
    <cellStyle name="卌佃㘰㜹ㄳ㤰〵ㄱ" xfId="603"/>
    <cellStyle name="唠楮獴⠠⤰㈨挩甀氀漀 瘀椀猀" xfId="604"/>
    <cellStyle name="塅剁ⴠㄠㄳ㤰〵ㄱ" xfId="605"/>
    <cellStyle name="崰℡䜡扏捡湮整湲捡" xfId="606"/>
    <cellStyle name="彝℡䜡扏捡湮整湲捡潩慮⁬ㄳ〭" xfId="607"/>
    <cellStyle name="彥℡䜡⅏䜡く㔹㄰" xfId="608"/>
    <cellStyle name="慢敲楳㙳‮" xfId="609"/>
    <cellStyle name="扩潲ㄳⵐ㌱〱㔹㄰" xfId="610"/>
    <cellStyle name="捬倠牥散瑮⠠⤰攩⁤湉整湲捡潩慮⁬" xfId="611"/>
    <cellStyle name="捬唠楮獴⠠⤰⤲攩⁤湉整湲捡潩" xfId="612"/>
    <cellStyle name="捬汵楯獴⠠⤲⤲" xfId="613"/>
    <cellStyle name="捬䌠牵敲据⁹〨攩⁤湉整湲捡潩慮⁬ㄳ" xfId="614"/>
    <cellStyle name="捬䌠牵敲据⁹㈨攩⁤湉整湲捡潩慮⁬ㄳ" xfId="615"/>
    <cellStyle name="摮湥⁴獁数獣潴敲⡳⤲牥⁳㈨" xfId="616"/>
    <cellStyle name="摮湥⁴獂数獣潴敲⡳⤲牥⁳㈨" xfId="617"/>
    <cellStyle name="摮湥⁴獃数獣潴敲⡳⤲牥⁳㈨" xfId="618"/>
    <cellStyle name="效摡湩楧獴⠠⤲㈨氩" xfId="619"/>
    <cellStyle name="敤愠癤牥整据慩敲⡳⤲牥⁳㈨椩琀愀搀漀" xfId="620"/>
    <cellStyle name="敤挠浯牰扯捡湮整湲捡潩慮⁬ㄳ〭ⴵ〲㘰彀㼩" xfId="621"/>
    <cellStyle name="⁯敤䌠慴‮敓⁤湉整湲捡潩慮⁬ㄳ〭ⴵ〲㘰彀㼩尿∠≆ⵟ弻䀭ⵟ彀 쨈Ḅ?⅛Ḝ_x0001_" xfId="622"/>
    <cellStyle name="⁯敤䌠慴‮䕓⁄义⹔〠ⴱ㠰㈭〰ⴶ㼢弿㬩⡟彀㼩尿∠≆ⵟ弻䀭ⵟ彀 쨈Ḅ?⅛Ḝ" xfId="623"/>
    <cellStyle name="⁯敤䌠慴‮䕓⁄义⹔ㄠⴸ㈱㈭〰ⴶ㼢弿㬩⡟彀㼩尿∠≆ⵟ弻䀭ⵟ彀 쨈Ḅ?⅛Ḝ" xfId="624"/>
    <cellStyle name="敩獲⅟℡佇℡佇嬀　崀" xfId="625"/>
    <cellStyle name="敩獲嬠崰⅟℡佇嬀　崀" xfId="626"/>
    <cellStyle name="敲晳潲獭数獣潴敲⡳⤲牥⁳㈨椩琀愀搀漀" xfId="627"/>
    <cellStyle name="整匠潨瑲℡佇℡佇湮" xfId="628"/>
    <cellStyle name="整晳潲獭数獣潴" xfId="629"/>
    <cellStyle name="楬慤整晳潲獭" xfId="630"/>
    <cellStyle name="楴潬ㄠ瑩⁳㈨⠩⤲" xfId="631"/>
    <cellStyle name="楶据汵摡扡捡湮整湲捡潩慮⁬ㄳ" xfId="632"/>
    <cellStyle name="橯ㅡ敬ℱ䜡く㔹㄰" xfId="633"/>
    <cellStyle name="污獥卅獭数獣潴敲" xfId="634"/>
    <cellStyle name="汰捩瑡癩捯" xfId="635"/>
    <cellStyle name="汰捩瑡癩捯慩" xfId="636"/>
    <cellStyle name="汰捩瑡癩捯慩敲⡳" xfId="637"/>
    <cellStyle name="汹剥来潩⁮牏敤獲⠠" xfId="638"/>
    <cellStyle name="灯慩䠠ⵐ㌱〱㔹㄰" xfId="639"/>
    <cellStyle name="牡整慲䴠祡⁯′敤㈠〰ㄶ⸰〰尰⠩‪ⴢ㼢弿㬩⡟彀㼩尿" xfId="640"/>
    <cellStyle name="牡獥束牡湡楴獡嬀　崀" xfId="641"/>
    <cellStyle name="牡獥䱟扩潲ㄳ獡嬀　崀" xfId="642"/>
    <cellStyle name="牬彥℡䜡⅏䜡く" xfId="643"/>
    <cellStyle name="⁯畃湥慴匠䑅†′䴠牡㈭〰⠶‪ⴢ㼢弿㬩⡟彀㼩尿∠≆ⵟ弻䀭ⵟ彀 쨈" xfId="644"/>
    <cellStyle name="硥汰捩瑡癩捯慩敲⡳⤲牥⁳㈨椩琀愀搀" xfId="645"/>
    <cellStyle name="祣⅟℡佇℡佇湮整湲捡潩慮⁬" xfId="646"/>
    <cellStyle name="祣嬠〰⅝℡佇湮整湲捡潩慮" xfId="647"/>
    <cellStyle name="祣嬠崰⅟℡佇湮整湲捡潩慮⁬ㄳ〭ⴵ〲" xfId="648"/>
    <cellStyle name="䌠牵敲据⁹〨挩甀氀漀 瘀椀猀椀琀愀" xfId="649"/>
    <cellStyle name="䌠牵敲据⁹㈨挩甀氀漀 瘀椀猀椀琀愀" xfId="650"/>
    <cellStyle name="䕕呎⁁偈䄠〠′敤洠祡ㅯ⸰〰尰⠩‪ⴢ㼢弿㬩⡟彀㼩" xfId="651"/>
    <cellStyle name="䜡⅏䜡扏捡" xfId="652"/>
    <cellStyle name="䜡⅏䜡扏捡湮整湲捡潩" xfId="65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95250</xdr:colOff>
      <xdr:row>0</xdr:row>
      <xdr:rowOff>0</xdr:rowOff>
    </xdr:from>
    <xdr:to>
      <xdr:col>9</xdr:col>
      <xdr:colOff>238125</xdr:colOff>
      <xdr:row>9</xdr:row>
      <xdr:rowOff>19050</xdr:rowOff>
    </xdr:to>
    <xdr:pic>
      <xdr:nvPicPr>
        <xdr:cNvPr id="2" name="Imagen 2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76950" y="0"/>
          <a:ext cx="1685925" cy="1695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752475</xdr:colOff>
      <xdr:row>0</xdr:row>
      <xdr:rowOff>0</xdr:rowOff>
    </xdr:from>
    <xdr:to>
      <xdr:col>21</xdr:col>
      <xdr:colOff>152400</xdr:colOff>
      <xdr:row>7</xdr:row>
      <xdr:rowOff>114300</xdr:rowOff>
    </xdr:to>
    <xdr:pic>
      <xdr:nvPicPr>
        <xdr:cNvPr id="2" name="Imagen 2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297275" y="0"/>
          <a:ext cx="1714500" cy="1666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REVISORIA1/Escritorio/CICLOS/LEGAJO%20CORRIENTE/CICLO%20ADMINISTRACION%20FINANCIERA/INVERSIONES/ESTADOS%20FINANCIERO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redy_marin\c\jhon\WINDOWS\Archivos%20temporales%20de%20Internet\Content.IE5\GPA10DM3\PYG0601(1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client\C\Documents%20and%20Settings\MARIA%20ELENA\Configuraci&#243;n%20local\Archivos%20temporales%20de%20Internet\OLKB\PROVISION%20PROVEEDORES%20NOVIEMBR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NataliaR/CONFIG~1/Temp/Rar$DI00.875/Documents%20and%20Settings/Iris_Andrade/Configuraci&#243;n%20local/Archivos%20temporales%20de%20Internet/Content.IE5/2LYB0DE3/PLANTA-9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NataliaR/CONFIG~1/Temp/Rar$DI00.875/data/Excel%20bvc/Planta/PLANTA-9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MARIA%20ELENA/Configuraci&#243;n%20local/Archivos%20temporales%20de%20Internet/OLKB/PROVISION%20PROVEEDORES%20NOVIEMBR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2007/MEDIOS%202006/n101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ocuments/ADMINISTRACION/BVC/PROVISION%20RENTA%202008/PROVISION%20RENTA%20NOV%202008%20BVC/PROVISION%20PROVEEDORES%20SEPTIEMBRE%20200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NataliaR/CONFIG~1/Temp/Rar$DI00.875/Claker%20Modet/n100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client\C\Documents%20and%20Settings\impuestos2\Configuraci&#243;n%20local\Archivos%20temporales%20de%20Internet\OLK2\Consolidado%20de%20Proyectos%20Final%20(3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~1\GERENC~1\CONFIG~1\Temp\PLANTA-98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NataliaR/CONFIG~1/Temp/Rar$DI00.875/Datos/a&#241;o2007/Provis%20a&#241;o%202007/Documents%20and%20Settings/nlozano/Local%20Settings/Temporary%20Internet%20Files/OLK19/ANEXOC%202003%20PARA%20SOCIEDADES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m924\prueba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Margarita_Mantilla/Configuraci&#243;n%20local/Archivos%20temporales%20de%20Internet/OLK516/PROVISION%20PROVEEDORES%20DICIEMBRE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FINAN"/>
      <sheetName val="Datos Fisc"/>
    </sheetNames>
    <sheetDataSet>
      <sheetData sheetId="0">
        <row r="1">
          <cell r="A1" t="str">
            <v>Cuenta</v>
          </cell>
          <cell r="B1" t="str">
            <v>Texto p.posición balance/PyG</v>
          </cell>
          <cell r="C1" t="str">
            <v>Total per.informe</v>
          </cell>
        </row>
        <row r="2">
          <cell r="A2" t="str">
            <v/>
          </cell>
          <cell r="B2" t="str">
            <v>1. Activos</v>
          </cell>
          <cell r="C2">
            <v>0</v>
          </cell>
        </row>
        <row r="3">
          <cell r="A3" t="str">
            <v/>
          </cell>
          <cell r="B3" t="str">
            <v>11. Disponible</v>
          </cell>
          <cell r="C3">
            <v>0</v>
          </cell>
        </row>
        <row r="4">
          <cell r="A4" t="str">
            <v/>
          </cell>
          <cell r="B4" t="str">
            <v>1105. Caja</v>
          </cell>
          <cell r="C4">
            <v>0</v>
          </cell>
        </row>
        <row r="5">
          <cell r="A5" t="str">
            <v/>
          </cell>
          <cell r="B5" t="str">
            <v>110505. Caja General</v>
          </cell>
          <cell r="C5">
            <v>0</v>
          </cell>
        </row>
        <row r="6">
          <cell r="A6" t="str">
            <v>110505001</v>
          </cell>
          <cell r="B6" t="str">
            <v>110505001 CAJA  EFECTIVO AYC</v>
          </cell>
          <cell r="C6">
            <v>0</v>
          </cell>
        </row>
        <row r="7">
          <cell r="A7" t="str">
            <v>110505002</v>
          </cell>
          <cell r="B7" t="str">
            <v>110505002 CAJA  CHEQUES AYC</v>
          </cell>
          <cell r="C7">
            <v>34117680</v>
          </cell>
        </row>
        <row r="8">
          <cell r="A8" t="str">
            <v>110505011</v>
          </cell>
          <cell r="B8" t="str">
            <v>110505011 INGRESOS A CAJA</v>
          </cell>
          <cell r="C8">
            <v>0</v>
          </cell>
        </row>
        <row r="9">
          <cell r="A9" t="str">
            <v/>
          </cell>
          <cell r="B9" t="str">
            <v>110505 Caja General</v>
          </cell>
          <cell r="C9">
            <v>34117680</v>
          </cell>
        </row>
        <row r="10">
          <cell r="A10" t="str">
            <v/>
          </cell>
          <cell r="B10" t="str">
            <v>110510. Caja Menor</v>
          </cell>
          <cell r="C10">
            <v>0</v>
          </cell>
        </row>
        <row r="11">
          <cell r="A11" t="str">
            <v>110510001</v>
          </cell>
          <cell r="B11" t="str">
            <v>110510001 CAJA MENOR- ALEXANDRA MEJIA (PEREIRA)</v>
          </cell>
          <cell r="C11">
            <v>5000000</v>
          </cell>
        </row>
        <row r="12">
          <cell r="A12" t="str">
            <v>110510002</v>
          </cell>
          <cell r="B12" t="str">
            <v>110510002 CAJA MENOR-LILIANA GUERRERO (BARRANQUILLA)</v>
          </cell>
          <cell r="C12">
            <v>4000000</v>
          </cell>
        </row>
        <row r="13">
          <cell r="A13" t="str">
            <v>110510003</v>
          </cell>
          <cell r="B13" t="str">
            <v>110510003 CAJA MENOR-LIGIA MALDONADO (BOGOTA)</v>
          </cell>
          <cell r="C13">
            <v>11000000</v>
          </cell>
        </row>
        <row r="14">
          <cell r="A14" t="str">
            <v>110510005</v>
          </cell>
          <cell r="B14" t="str">
            <v>110510005 CAJA MENOR-LIBIA TRIANA(MEDELLIN)</v>
          </cell>
          <cell r="C14">
            <v>6000000</v>
          </cell>
        </row>
        <row r="15">
          <cell r="A15" t="str">
            <v>110510006</v>
          </cell>
          <cell r="B15" t="str">
            <v>110510006 CAJA MENOR-FONDO PARA GASTOS BUCARAMANGA</v>
          </cell>
          <cell r="C15">
            <v>0</v>
          </cell>
        </row>
        <row r="16">
          <cell r="A16" t="str">
            <v>110510007</v>
          </cell>
          <cell r="B16" t="str">
            <v>110510007 CAJA MENOR-YAMILEA LAURIDO (CALI)</v>
          </cell>
          <cell r="C16">
            <v>3000000</v>
          </cell>
        </row>
        <row r="17">
          <cell r="A17" t="str">
            <v/>
          </cell>
          <cell r="B17" t="str">
            <v>110510 Caja Menor</v>
          </cell>
          <cell r="C17">
            <v>29000000</v>
          </cell>
        </row>
        <row r="18">
          <cell r="A18" t="str">
            <v/>
          </cell>
          <cell r="B18" t="str">
            <v>Total 1105 Caja</v>
          </cell>
          <cell r="C18">
            <v>63117680</v>
          </cell>
        </row>
        <row r="19">
          <cell r="A19" t="str">
            <v/>
          </cell>
          <cell r="B19" t="str">
            <v>1110. Bancos y Otras Entidades</v>
          </cell>
          <cell r="C19">
            <v>0</v>
          </cell>
        </row>
        <row r="20">
          <cell r="A20" t="str">
            <v/>
          </cell>
          <cell r="B20" t="str">
            <v>111005. Bancos Comerciales</v>
          </cell>
          <cell r="C20">
            <v>0</v>
          </cell>
        </row>
        <row r="21">
          <cell r="A21" t="str">
            <v>111005000</v>
          </cell>
          <cell r="B21" t="str">
            <v>111005000 BANCAFE CUENTA CTE # 42990051  Concilia.</v>
          </cell>
          <cell r="C21">
            <v>717247383</v>
          </cell>
        </row>
        <row r="22">
          <cell r="A22" t="str">
            <v>111005001</v>
          </cell>
          <cell r="B22" t="str">
            <v>111005001 BANCAFE CUENTA CTE # 42990051  Entradas</v>
          </cell>
          <cell r="C22">
            <v>347828317</v>
          </cell>
        </row>
        <row r="23">
          <cell r="A23" t="str">
            <v>111005002</v>
          </cell>
          <cell r="B23" t="str">
            <v>111005002 BANCAFE CUENTA CTE # 42990051  Ch. Emitidos</v>
          </cell>
          <cell r="C23">
            <v>-26840530</v>
          </cell>
        </row>
        <row r="24">
          <cell r="A24" t="str">
            <v>111005003</v>
          </cell>
          <cell r="B24" t="str">
            <v>111005003 BANCAFE CUENTA CTE # 42990051  Ch. Entregados</v>
          </cell>
          <cell r="C24">
            <v>15239486</v>
          </cell>
        </row>
        <row r="25">
          <cell r="A25" t="str">
            <v>111005010</v>
          </cell>
          <cell r="B25" t="str">
            <v>111005010 BANCO POPULAR CUENTA  CTE #063120695   Concilia.</v>
          </cell>
          <cell r="C25">
            <v>0</v>
          </cell>
        </row>
        <row r="26">
          <cell r="A26" t="str">
            <v>111005011</v>
          </cell>
          <cell r="B26" t="str">
            <v>111005011 BANCO POPULAR CUENTA  CTE #063120695  Entradas</v>
          </cell>
          <cell r="C26">
            <v>0</v>
          </cell>
        </row>
        <row r="27">
          <cell r="A27" t="str">
            <v>111005013</v>
          </cell>
          <cell r="B27" t="str">
            <v>111005013 BANCO POPULAR CUENTA  CTE #063120695 Ch.Entregados</v>
          </cell>
          <cell r="C27">
            <v>0</v>
          </cell>
        </row>
        <row r="28">
          <cell r="A28" t="str">
            <v>111005020</v>
          </cell>
          <cell r="B28" t="str">
            <v>111005020 BANCO DE BOGOTA CUENTA CTE # 78063674 Concilia.</v>
          </cell>
          <cell r="C28">
            <v>1467761679</v>
          </cell>
        </row>
        <row r="29">
          <cell r="A29" t="str">
            <v>111005021</v>
          </cell>
          <cell r="B29" t="str">
            <v>111005021 BANCO DE BOGOTA CUENTA CTE # 78063674 Entradas</v>
          </cell>
          <cell r="C29">
            <v>-516706426</v>
          </cell>
        </row>
        <row r="30">
          <cell r="A30" t="str">
            <v>111005022</v>
          </cell>
          <cell r="B30" t="str">
            <v>111005022 BANCO DE BOGOTA CUENTA CTE # 78063674 Ch. Emitidos</v>
          </cell>
          <cell r="C30">
            <v>0</v>
          </cell>
        </row>
        <row r="31">
          <cell r="A31" t="str">
            <v>111005023</v>
          </cell>
          <cell r="B31" t="str">
            <v>111005023 BANCO DE BOGOTA CUENTA CTE # 78063674 Ch. Entregad</v>
          </cell>
          <cell r="C31">
            <v>497066760</v>
          </cell>
        </row>
        <row r="32">
          <cell r="A32" t="str">
            <v>111005030</v>
          </cell>
          <cell r="B32" t="str">
            <v>111005030 MEGABANCO CUENTA  CTE # 7035-700018  Concilia.</v>
          </cell>
          <cell r="C32">
            <v>223255890</v>
          </cell>
        </row>
        <row r="33">
          <cell r="A33" t="str">
            <v>111005031</v>
          </cell>
          <cell r="B33" t="str">
            <v>111005031 MEGABANCO CUENTA  CTE # 7035-700018   Entradas</v>
          </cell>
          <cell r="C33">
            <v>3590066202</v>
          </cell>
        </row>
        <row r="34">
          <cell r="A34" t="str">
            <v>111005032</v>
          </cell>
          <cell r="B34" t="str">
            <v>111005032 MEGABANCO CUENTA  CTE # 7035-700018   Ch. Emitidos</v>
          </cell>
          <cell r="C34">
            <v>-3626222756</v>
          </cell>
        </row>
        <row r="35">
          <cell r="A35" t="str">
            <v>111005033</v>
          </cell>
          <cell r="B35" t="str">
            <v>111005033 MEGABANCO CUENTA  CTE # 7035-700018   Ch. Entregad</v>
          </cell>
          <cell r="C35">
            <v>0</v>
          </cell>
        </row>
        <row r="36">
          <cell r="A36" t="str">
            <v>111005040</v>
          </cell>
          <cell r="B36" t="str">
            <v>111005040 BANCOLOMBIA CUENTA CTE # 1960640727  Concilia.</v>
          </cell>
          <cell r="C36">
            <v>0</v>
          </cell>
        </row>
        <row r="37">
          <cell r="A37" t="str">
            <v>111005041</v>
          </cell>
          <cell r="B37" t="str">
            <v>111005041 BANCOLOMBIA CUENTA CTE # 1960640727   Entradas</v>
          </cell>
          <cell r="C37">
            <v>0</v>
          </cell>
        </row>
        <row r="38">
          <cell r="A38" t="str">
            <v>111005043</v>
          </cell>
          <cell r="B38" t="str">
            <v>111005043 BANCOLOMBIA CUENTA CTE # 1960640727   Ch. Entregad</v>
          </cell>
          <cell r="C38">
            <v>0</v>
          </cell>
        </row>
        <row r="39">
          <cell r="A39" t="str">
            <v>111005050</v>
          </cell>
          <cell r="B39" t="str">
            <v>111005050 MEGABANCO(PEREIRA)CUENTA CTE 7276-70045 Concilia</v>
          </cell>
          <cell r="C39">
            <v>717549</v>
          </cell>
        </row>
        <row r="40">
          <cell r="A40" t="str">
            <v>111005051</v>
          </cell>
          <cell r="B40" t="str">
            <v>111005051 MEGABANCO(PEREIRA)CUENTA CTE 7276-70045 Entrada</v>
          </cell>
          <cell r="C40">
            <v>99888397</v>
          </cell>
        </row>
        <row r="41">
          <cell r="A41" t="str">
            <v>111005052</v>
          </cell>
          <cell r="B41" t="str">
            <v>111005052 MEGABANCO(PEREIRA)CUENTA CTE 7276-70045 Ch.Emitido</v>
          </cell>
          <cell r="C41">
            <v>-91732162</v>
          </cell>
        </row>
        <row r="42">
          <cell r="A42" t="str">
            <v>111005053</v>
          </cell>
          <cell r="B42" t="str">
            <v>111005053 MEGABANCO(PEREIRA)CUENTA CTE 7276-70045 Ch.Entrega</v>
          </cell>
          <cell r="C42">
            <v>0</v>
          </cell>
        </row>
        <row r="43">
          <cell r="A43" t="str">
            <v>111005061</v>
          </cell>
          <cell r="B43" t="str">
            <v>111005061 BANCO DE BOGOTA CTA # 07808742-6    AYC</v>
          </cell>
          <cell r="C43">
            <v>243913718</v>
          </cell>
        </row>
        <row r="44">
          <cell r="A44" t="str">
            <v>111005062</v>
          </cell>
          <cell r="B44" t="str">
            <v>111005062 BANCO COLOMBIA BIC SALITRE 001996-9   AYC</v>
          </cell>
          <cell r="C44">
            <v>244616058</v>
          </cell>
        </row>
        <row r="45">
          <cell r="A45" t="str">
            <v>111005064</v>
          </cell>
          <cell r="B45" t="str">
            <v>111005064 BANCO AGRARIO CTA # 3028-0000004-4  AYC</v>
          </cell>
          <cell r="C45">
            <v>10838596</v>
          </cell>
        </row>
        <row r="46">
          <cell r="A46" t="str">
            <v>111005066</v>
          </cell>
          <cell r="B46" t="str">
            <v>111005066 BANCAFE  Cta 038990149  AYC</v>
          </cell>
          <cell r="C46">
            <v>442271905</v>
          </cell>
        </row>
        <row r="47">
          <cell r="A47" t="str">
            <v>111005067</v>
          </cell>
          <cell r="B47" t="str">
            <v>111005067 BANCOLOMBIA  17124252885 AYC</v>
          </cell>
          <cell r="C47">
            <v>152113725</v>
          </cell>
        </row>
        <row r="48">
          <cell r="A48" t="str">
            <v>111005068</v>
          </cell>
          <cell r="B48" t="str">
            <v>111005068 DAVIVIENDA  Cta. 007969999502 AYC</v>
          </cell>
          <cell r="C48">
            <v>-1</v>
          </cell>
        </row>
        <row r="49">
          <cell r="A49" t="str">
            <v>111005069</v>
          </cell>
          <cell r="B49" t="str">
            <v>111005069 COLMENA  Cta Cte  14750016832 AYC</v>
          </cell>
          <cell r="C49">
            <v>5217828</v>
          </cell>
        </row>
        <row r="50">
          <cell r="A50" t="str">
            <v>111005070</v>
          </cell>
          <cell r="B50" t="str">
            <v>111005070 MEGABANCO AYC</v>
          </cell>
          <cell r="C50">
            <v>78591755</v>
          </cell>
        </row>
        <row r="51">
          <cell r="A51" t="str">
            <v>111005071</v>
          </cell>
          <cell r="B51" t="str">
            <v>111005071 BBVA  AYC #180015844 AYC</v>
          </cell>
          <cell r="C51">
            <v>28930352</v>
          </cell>
        </row>
        <row r="52">
          <cell r="A52" t="str">
            <v>111005080</v>
          </cell>
          <cell r="B52" t="str">
            <v>111005080 MEGABANCO (B/Q) CUENTA CTE #  7376-70076-8 Concili</v>
          </cell>
          <cell r="C52">
            <v>54244413</v>
          </cell>
        </row>
        <row r="53">
          <cell r="A53" t="str">
            <v>111005081</v>
          </cell>
          <cell r="B53" t="str">
            <v>111005081 MEGABANCO (B/Q) CUENTA CTE #  7376-70076-8 Entrada</v>
          </cell>
          <cell r="C53">
            <v>174647705</v>
          </cell>
        </row>
        <row r="54">
          <cell r="A54" t="str">
            <v>111005082</v>
          </cell>
          <cell r="B54" t="str">
            <v>111005082 MEGABANCO (B/Q) CUENTA CTE #  7376-70076-8 Ch.Emit</v>
          </cell>
          <cell r="C54">
            <v>-159656118</v>
          </cell>
        </row>
        <row r="55">
          <cell r="A55" t="str">
            <v>111005083</v>
          </cell>
          <cell r="B55" t="str">
            <v>111005083 MEGABANCO (B/Q) CUENTA CTE #  7376-70076-8 Ch.Entr</v>
          </cell>
          <cell r="C55">
            <v>-69236000</v>
          </cell>
        </row>
        <row r="56">
          <cell r="A56" t="str">
            <v>111005090</v>
          </cell>
          <cell r="B56" t="str">
            <v>111005090 BCO DE OCCIDENTE CUENTA  CTE # 225-05282 Concilia</v>
          </cell>
          <cell r="C56">
            <v>713966607</v>
          </cell>
        </row>
        <row r="57">
          <cell r="A57" t="str">
            <v>111005091</v>
          </cell>
          <cell r="B57" t="str">
            <v>111005091 BCO DE OCCIDENTE CUENTA  CTE # 225-05282 Entradas</v>
          </cell>
          <cell r="C57">
            <v>-6246250</v>
          </cell>
        </row>
        <row r="58">
          <cell r="A58" t="str">
            <v>111005092</v>
          </cell>
          <cell r="B58" t="str">
            <v>111005092 BCO DE OCCIDENTE CUENTA  CTE # 225-05282 Ch.Emitid</v>
          </cell>
          <cell r="C58">
            <v>-64883420</v>
          </cell>
        </row>
        <row r="59">
          <cell r="A59" t="str">
            <v>111005093</v>
          </cell>
          <cell r="B59" t="str">
            <v>111005093 BCO DE OCCIDENTE CUENTA  CTE # 225-05282 Ch.Entreg</v>
          </cell>
          <cell r="C59">
            <v>-494720400</v>
          </cell>
        </row>
        <row r="60">
          <cell r="A60" t="str">
            <v>111005100</v>
          </cell>
          <cell r="B60" t="str">
            <v>111005100 BANCO AGRARIO CUENTA CTE 3192000042-4 Concilia</v>
          </cell>
          <cell r="C60">
            <v>1039859611</v>
          </cell>
        </row>
        <row r="61">
          <cell r="A61" t="str">
            <v>111005101</v>
          </cell>
          <cell r="B61" t="str">
            <v>111005101 BANCO AGRARIO CUENTA CTE 3192000042-4 Entradas</v>
          </cell>
          <cell r="C61">
            <v>3439793554</v>
          </cell>
        </row>
        <row r="62">
          <cell r="A62" t="str">
            <v>111005102</v>
          </cell>
          <cell r="B62" t="str">
            <v>111005102 BANCO AGRARIO CUENTA CTE 3192000042-4 Ch. Emitidos</v>
          </cell>
          <cell r="C62">
            <v>-1948576279</v>
          </cell>
        </row>
        <row r="63">
          <cell r="A63" t="str">
            <v>111005103</v>
          </cell>
          <cell r="B63" t="str">
            <v>111005103 BANCO AGRARIO CUENTA CTE 3192000042-4 Ch. Entregad</v>
          </cell>
          <cell r="C63">
            <v>-1797878684</v>
          </cell>
        </row>
        <row r="64">
          <cell r="A64" t="str">
            <v>111005110</v>
          </cell>
          <cell r="B64" t="str">
            <v>111005110 MEGABANCO CL 100  CUENTA CTE # 7035702940 Concilia</v>
          </cell>
          <cell r="C64">
            <v>360730724</v>
          </cell>
        </row>
        <row r="65">
          <cell r="A65" t="str">
            <v>111005111</v>
          </cell>
          <cell r="B65" t="str">
            <v>111005111 MEGABANCO CL 100  CUENTA CTE # 7035702940 Entrada</v>
          </cell>
          <cell r="C65">
            <v>-6801355</v>
          </cell>
        </row>
        <row r="66">
          <cell r="A66" t="str">
            <v>111005113</v>
          </cell>
          <cell r="B66" t="str">
            <v>111005113 MEGABANCO CL 100  CUENTA CTE # 7035702940 Ch.Entre</v>
          </cell>
          <cell r="C66">
            <v>34360841</v>
          </cell>
        </row>
        <row r="67">
          <cell r="A67" t="str">
            <v>111005120</v>
          </cell>
          <cell r="B67" t="str">
            <v>111005120 BANCOLOMBIA (SAL) CUENTA CTE 171-050155-54 Concili</v>
          </cell>
          <cell r="C67">
            <v>100462606</v>
          </cell>
        </row>
        <row r="68">
          <cell r="A68" t="str">
            <v>111005121</v>
          </cell>
          <cell r="B68" t="str">
            <v>111005121 BANCOLOMBIA (SAL) CUENTA CTE 171-050155-54 Entrad</v>
          </cell>
          <cell r="C68">
            <v>-76188499</v>
          </cell>
        </row>
        <row r="69">
          <cell r="A69" t="str">
            <v>111005123</v>
          </cell>
          <cell r="B69" t="str">
            <v>111005123 BANCOLOMBIA (SAL) CUENTA CTE 171-050155-54 Ch.Entr</v>
          </cell>
          <cell r="C69">
            <v>3794727</v>
          </cell>
        </row>
        <row r="70">
          <cell r="A70" t="str">
            <v>111005130</v>
          </cell>
          <cell r="B70" t="str">
            <v>111005130 BANCO COLPATRIA CUENTA CTE 4901001292 Concilia</v>
          </cell>
          <cell r="C70">
            <v>0</v>
          </cell>
        </row>
        <row r="71">
          <cell r="A71" t="str">
            <v>111005131</v>
          </cell>
          <cell r="B71" t="str">
            <v>111005131 BANCO COLPATRIA CUENTA CTE 4901001292 Entradas</v>
          </cell>
          <cell r="C71">
            <v>0</v>
          </cell>
        </row>
        <row r="72">
          <cell r="A72" t="str">
            <v>111005132</v>
          </cell>
          <cell r="B72" t="str">
            <v>111005132 BANCO COLPATRIA CUENTA CTE 4901001292 Ch.Emitidos</v>
          </cell>
          <cell r="C72">
            <v>0</v>
          </cell>
        </row>
        <row r="73">
          <cell r="A73" t="str">
            <v>111005133</v>
          </cell>
          <cell r="B73" t="str">
            <v>111005133 BANCO COLPATRIA CUENTA CTE 4901001292 Ch.Entregado</v>
          </cell>
          <cell r="C73">
            <v>0</v>
          </cell>
        </row>
        <row r="74">
          <cell r="A74" t="str">
            <v>111005140</v>
          </cell>
          <cell r="B74" t="str">
            <v>111005140 BANCO POPULAR  220065061566  Concilia</v>
          </cell>
          <cell r="C74">
            <v>9418555</v>
          </cell>
        </row>
        <row r="75">
          <cell r="A75" t="str">
            <v>111005141</v>
          </cell>
          <cell r="B75" t="str">
            <v>111005141 BANCO POPULAR  220065061566  Entradas</v>
          </cell>
          <cell r="C75">
            <v>-9409750</v>
          </cell>
        </row>
        <row r="76">
          <cell r="A76" t="str">
            <v>111005142</v>
          </cell>
          <cell r="B76" t="str">
            <v>111005142 BANCO POPULAR  220065061566  Ch.emitidos</v>
          </cell>
          <cell r="C76">
            <v>-30435197</v>
          </cell>
        </row>
        <row r="77">
          <cell r="A77" t="str">
            <v>111005143</v>
          </cell>
          <cell r="B77" t="str">
            <v>111005143 BANCO POPULAR  220065061566  Ch.entregados</v>
          </cell>
          <cell r="C77">
            <v>30615758</v>
          </cell>
        </row>
        <row r="78">
          <cell r="A78" t="str">
            <v>111005150</v>
          </cell>
          <cell r="B78" t="str">
            <v>111005150 MEGABANCO (RENTAYA) 3276-2217-1  Conciliatoria</v>
          </cell>
          <cell r="C78">
            <v>0</v>
          </cell>
        </row>
        <row r="79">
          <cell r="A79" t="str">
            <v>111005151</v>
          </cell>
          <cell r="B79" t="str">
            <v>111005151 MEGABANCO (RENTAYA) 3276-2217-1  Entradas</v>
          </cell>
          <cell r="C79">
            <v>0</v>
          </cell>
        </row>
        <row r="80">
          <cell r="A80" t="str">
            <v>111005153</v>
          </cell>
          <cell r="B80" t="str">
            <v>111005153 MEGABANCO (RENTAYA) 3276-2217-1  Ch. Entregados</v>
          </cell>
          <cell r="C80">
            <v>0</v>
          </cell>
        </row>
        <row r="81">
          <cell r="A81" t="str">
            <v>111005170</v>
          </cell>
          <cell r="B81" t="str">
            <v>111005170 COLMENA CTA CTE METROPOLIS 21500010427 Concilia.</v>
          </cell>
          <cell r="C81">
            <v>296890279</v>
          </cell>
        </row>
        <row r="82">
          <cell r="A82" t="str">
            <v>111005171</v>
          </cell>
          <cell r="B82" t="str">
            <v>111005171 COLMENA CTA CTE METROPOLIS 21500010427 Entradas</v>
          </cell>
          <cell r="C82">
            <v>0</v>
          </cell>
        </row>
        <row r="83">
          <cell r="A83" t="str">
            <v>111005172</v>
          </cell>
          <cell r="B83" t="str">
            <v>111005172 COLMENA CTA CTE METROPOLIS 21500010427 Ch.Emitido</v>
          </cell>
          <cell r="C83">
            <v>0</v>
          </cell>
        </row>
        <row r="84">
          <cell r="A84" t="str">
            <v>111005173</v>
          </cell>
          <cell r="B84" t="str">
            <v>111005173 COLMENA CTA CTE METROPOLIS 21500010427 Ch.Entrega</v>
          </cell>
          <cell r="C84">
            <v>0</v>
          </cell>
        </row>
        <row r="85">
          <cell r="A85" t="str">
            <v>111005180</v>
          </cell>
          <cell r="B85" t="str">
            <v>111005180 MEGABANCO CTE CALI 7120702690 CONCILIATORIA</v>
          </cell>
          <cell r="C85">
            <v>44341275</v>
          </cell>
        </row>
        <row r="86">
          <cell r="A86" t="str">
            <v>111005181</v>
          </cell>
          <cell r="B86" t="str">
            <v>111005181 MEGABANCO CTE CALI 7120702690 Entradas</v>
          </cell>
          <cell r="C86">
            <v>105332395</v>
          </cell>
        </row>
        <row r="87">
          <cell r="A87" t="str">
            <v>111005182</v>
          </cell>
          <cell r="B87" t="str">
            <v>111005182 MEGABANCO CTE CALI 7120702690 CH. emitidos</v>
          </cell>
          <cell r="C87">
            <v>-149673670</v>
          </cell>
        </row>
        <row r="88">
          <cell r="A88" t="str">
            <v>111005183</v>
          </cell>
          <cell r="B88" t="str">
            <v>111005183 MEGABANCO CTE CALI 7120702690 CH. entregados</v>
          </cell>
          <cell r="C88">
            <v>0</v>
          </cell>
        </row>
        <row r="89">
          <cell r="A89" t="str">
            <v>111005190</v>
          </cell>
          <cell r="B89" t="str">
            <v>111005190 BANCOLOMBIA CCTE(BIC SAL.)171-00199731 Conciliator</v>
          </cell>
          <cell r="C89">
            <v>2657413500</v>
          </cell>
        </row>
        <row r="90">
          <cell r="A90" t="str">
            <v>111005191</v>
          </cell>
          <cell r="B90" t="str">
            <v>111005191 BANCOLOMBIA CCTE(BIC SAL.)171-00199731 Entradas</v>
          </cell>
          <cell r="C90">
            <v>3944989</v>
          </cell>
        </row>
        <row r="91">
          <cell r="A91" t="str">
            <v>111005192</v>
          </cell>
          <cell r="B91" t="str">
            <v>111005192 BANCOLOMBIA CCTE(BIC SAL.)171-00199731 Ch. Emitido</v>
          </cell>
          <cell r="C91">
            <v>0</v>
          </cell>
        </row>
        <row r="92">
          <cell r="A92" t="str">
            <v>111005193</v>
          </cell>
          <cell r="B92" t="str">
            <v>111005193 BANCOLOMBIA CCTE(BIC SAL.)171-001799731 Ch. Entreg</v>
          </cell>
          <cell r="C92">
            <v>-65667492</v>
          </cell>
        </row>
        <row r="93">
          <cell r="A93" t="str">
            <v>111005200</v>
          </cell>
          <cell r="B93" t="str">
            <v>111005200 BANCOLOMBIA CCTE(MEDELLIN) 0051635903-3</v>
          </cell>
          <cell r="C93">
            <v>84396908</v>
          </cell>
        </row>
        <row r="94">
          <cell r="A94" t="str">
            <v>111005201</v>
          </cell>
          <cell r="B94" t="str">
            <v>111005201 BANCOLOMBIA CCTE(MEDELLIN) 0051635903-3 entradas</v>
          </cell>
          <cell r="C94">
            <v>0</v>
          </cell>
        </row>
        <row r="95">
          <cell r="A95" t="str">
            <v>111005202</v>
          </cell>
          <cell r="B95" t="str">
            <v>111005202 BANCOLOMBIA CCTE(MEDELLIN) 0051635903-3 Ch.emitido</v>
          </cell>
          <cell r="C95">
            <v>-24657297</v>
          </cell>
        </row>
        <row r="96">
          <cell r="A96" t="str">
            <v>111005203</v>
          </cell>
          <cell r="B96" t="str">
            <v>111005203 BANCOLOMBIA CCTE(MEDELLIN) 0051635903-3 Ch.entrega</v>
          </cell>
          <cell r="C96">
            <v>0</v>
          </cell>
        </row>
        <row r="97">
          <cell r="A97" t="str">
            <v>111005210</v>
          </cell>
          <cell r="B97" t="str">
            <v>111005210 MEGABANCO CL.68 703170108-7   Conciliatoria</v>
          </cell>
          <cell r="C97">
            <v>111548135</v>
          </cell>
        </row>
        <row r="98">
          <cell r="A98" t="str">
            <v>111005211</v>
          </cell>
          <cell r="B98" t="str">
            <v>111005211 MEGABANCO CL.68 703170108-7   Entradas</v>
          </cell>
          <cell r="C98">
            <v>2297619299</v>
          </cell>
        </row>
        <row r="99">
          <cell r="A99" t="str">
            <v>111005212</v>
          </cell>
          <cell r="B99" t="str">
            <v>111005212 MEGABANCO CL.68 703170108-7   Ch. Emitidos</v>
          </cell>
          <cell r="C99">
            <v>-2262167434</v>
          </cell>
        </row>
        <row r="100">
          <cell r="A100" t="str">
            <v>111005213</v>
          </cell>
          <cell r="B100" t="str">
            <v>111005213 MEGABANCO CL.68 703170108-7   Ch. Entregado</v>
          </cell>
          <cell r="C100">
            <v>-147000000</v>
          </cell>
        </row>
        <row r="101">
          <cell r="A101" t="str">
            <v>111005280</v>
          </cell>
          <cell r="B101" t="str">
            <v>111005280 GRANAHORRAR CUENTA 10280040027  Conciliatoria</v>
          </cell>
          <cell r="C101">
            <v>2224200367</v>
          </cell>
        </row>
        <row r="102">
          <cell r="A102" t="str">
            <v>111005281</v>
          </cell>
          <cell r="B102" t="str">
            <v>111005281 GRANAHORRAR CUENTA 10280040027  Entradas</v>
          </cell>
          <cell r="C102">
            <v>1812130235</v>
          </cell>
        </row>
        <row r="103">
          <cell r="A103" t="str">
            <v>111005282</v>
          </cell>
          <cell r="B103" t="str">
            <v>111005282 GRANAHORRAR CUENTA 10280040027  Ch. Emitidos</v>
          </cell>
          <cell r="C103">
            <v>-1514184178</v>
          </cell>
        </row>
        <row r="104">
          <cell r="A104" t="str">
            <v>111005283</v>
          </cell>
          <cell r="B104" t="str">
            <v>111005283 GRANAHORRAR CUENTA 10280040027  Ch. Entregados</v>
          </cell>
          <cell r="C104">
            <v>-1800000000</v>
          </cell>
        </row>
        <row r="105">
          <cell r="A105" t="str">
            <v>111005300</v>
          </cell>
          <cell r="B105" t="str">
            <v>111005300 COLMENA AHOR.METROP.CUENTA 26501945127 Concili</v>
          </cell>
          <cell r="C105">
            <v>846847437</v>
          </cell>
        </row>
        <row r="106">
          <cell r="A106" t="str">
            <v>111005301</v>
          </cell>
          <cell r="B106" t="str">
            <v>111005301 COLMENA AHOR.METROP.CUENTA 26501945127 Entradas</v>
          </cell>
          <cell r="C106">
            <v>-86427194</v>
          </cell>
        </row>
        <row r="107">
          <cell r="A107" t="str">
            <v>111005303</v>
          </cell>
          <cell r="B107" t="str">
            <v>111005303 COLMENA AHOR.METROP.CUENTA 26501945127 Ch.Entrega</v>
          </cell>
          <cell r="C107">
            <v>-210244556</v>
          </cell>
        </row>
        <row r="108">
          <cell r="A108" t="str">
            <v>111005310</v>
          </cell>
          <cell r="B108" t="str">
            <v>111005310 BOGOTA AHOR.METROP.CUENTA 078174596 Concili</v>
          </cell>
          <cell r="C108">
            <v>0</v>
          </cell>
        </row>
        <row r="109">
          <cell r="A109" t="str">
            <v>111005311</v>
          </cell>
          <cell r="B109" t="str">
            <v>111005311 BOGOTA AHOR.METROP.CUENTA 078174596 Entrad.</v>
          </cell>
          <cell r="C109">
            <v>0</v>
          </cell>
        </row>
        <row r="110">
          <cell r="A110" t="str">
            <v>111005313</v>
          </cell>
          <cell r="B110" t="str">
            <v>111005313 BOGOTA AHOR.METROP.CUENTA 078174596 Ch.Entregados</v>
          </cell>
          <cell r="C110">
            <v>0</v>
          </cell>
        </row>
        <row r="111">
          <cell r="A111" t="str">
            <v>111005320</v>
          </cell>
          <cell r="B111" t="str">
            <v>111005320 MEGABANCO R/TAYA FERIAS.CUENTA 3031343444 Concili</v>
          </cell>
          <cell r="C111">
            <v>39046491</v>
          </cell>
        </row>
        <row r="112">
          <cell r="A112" t="str">
            <v>111005321</v>
          </cell>
          <cell r="B112" t="str">
            <v>111005321 MEGABANCO R/TAYA FERIAS.CUENTA 3031343444 Entradas</v>
          </cell>
          <cell r="C112">
            <v>0</v>
          </cell>
        </row>
        <row r="113">
          <cell r="A113" t="str">
            <v>111005323</v>
          </cell>
          <cell r="B113" t="str">
            <v>111005323 MEGABANCO R/TAYA FERIAS.CUENTA 3031343444 Ch.Entre</v>
          </cell>
          <cell r="C113">
            <v>0</v>
          </cell>
        </row>
        <row r="114">
          <cell r="A114" t="str">
            <v>111005330</v>
          </cell>
          <cell r="B114" t="str">
            <v>111005330 COLPATRIA SALITRE AHORROS.CUENTA 4902031842 Concil</v>
          </cell>
          <cell r="C114">
            <v>0</v>
          </cell>
        </row>
        <row r="115">
          <cell r="A115" t="str">
            <v>111005340</v>
          </cell>
          <cell r="B115" t="str">
            <v>111005340 GANADERO FOMIPYME 180-004780 Concili</v>
          </cell>
          <cell r="C115">
            <v>0</v>
          </cell>
        </row>
        <row r="116">
          <cell r="A116" t="str">
            <v>111005341</v>
          </cell>
          <cell r="B116" t="str">
            <v>111005341 GANADERO FOMIPYME 180-004780 Entradas</v>
          </cell>
          <cell r="C116">
            <v>0</v>
          </cell>
        </row>
        <row r="117">
          <cell r="A117" t="str">
            <v>111005343</v>
          </cell>
          <cell r="B117" t="str">
            <v>111005343 GANADERO FOMIPYME 180-004780 Ch.Entregados</v>
          </cell>
          <cell r="C117">
            <v>0</v>
          </cell>
        </row>
        <row r="118">
          <cell r="A118" t="str">
            <v>111005660</v>
          </cell>
          <cell r="B118" t="str">
            <v>111005660 GANADERO SUC (80) CUENTA CTE # 180-125 Concilia</v>
          </cell>
          <cell r="C118">
            <v>645303450</v>
          </cell>
        </row>
        <row r="119">
          <cell r="A119" t="str">
            <v>111005661</v>
          </cell>
          <cell r="B119" t="str">
            <v>111005661 GANADERO SUC (80) CUENTA CTE # 180-125 Entradas</v>
          </cell>
          <cell r="C119">
            <v>-5061232</v>
          </cell>
        </row>
        <row r="120">
          <cell r="A120" t="str">
            <v>111005662</v>
          </cell>
          <cell r="B120" t="str">
            <v>111005662 GANADERO SUC (80) CUENTA CTE # 180-125 Ch. Emitido</v>
          </cell>
          <cell r="C120">
            <v>-232515170</v>
          </cell>
        </row>
        <row r="121">
          <cell r="A121" t="str">
            <v>111005663</v>
          </cell>
          <cell r="B121" t="str">
            <v>111005663 GANADERO SUC (80) CUENTA CTE # 180-125 Ch. Entrega</v>
          </cell>
          <cell r="C121">
            <v>0</v>
          </cell>
        </row>
        <row r="122">
          <cell r="A122" t="str">
            <v>111005691</v>
          </cell>
          <cell r="B122" t="str">
            <v>111005691 POPULAR  AHORROS 220065061566 Entradas</v>
          </cell>
          <cell r="C122">
            <v>9352367</v>
          </cell>
        </row>
        <row r="123">
          <cell r="A123" t="str">
            <v>111005692</v>
          </cell>
          <cell r="B123" t="str">
            <v>111005692 POPULAR  AHORROS 220065061566 Che. emitidos</v>
          </cell>
          <cell r="C123">
            <v>0</v>
          </cell>
        </row>
        <row r="124">
          <cell r="A124" t="str">
            <v>111005700</v>
          </cell>
          <cell r="B124" t="str">
            <v>111005700 MEGABANCO 3304348509  CONCIL BUCARAMANGA</v>
          </cell>
          <cell r="C124">
            <v>509589</v>
          </cell>
        </row>
        <row r="125">
          <cell r="A125" t="str">
            <v>111005701</v>
          </cell>
          <cell r="B125" t="str">
            <v>111005701 MEGABANCO 3304348509 BUCARAMANGA</v>
          </cell>
          <cell r="C125">
            <v>1095640</v>
          </cell>
        </row>
        <row r="126">
          <cell r="A126" t="str">
            <v>111005710</v>
          </cell>
          <cell r="B126" t="str">
            <v>111005710 MEGABANCO CTA 3120334440 conciliacion</v>
          </cell>
          <cell r="C126">
            <v>0</v>
          </cell>
        </row>
        <row r="127">
          <cell r="A127" t="str">
            <v>111005711</v>
          </cell>
          <cell r="B127" t="str">
            <v>111005711 MEGABANCO 3120334440 CALI entradas</v>
          </cell>
          <cell r="C127">
            <v>0</v>
          </cell>
        </row>
        <row r="128">
          <cell r="A128" t="str">
            <v>111005713</v>
          </cell>
          <cell r="B128" t="str">
            <v>111005713 MEGABANCO CTA 3120334440 cheques entregados</v>
          </cell>
          <cell r="C128">
            <v>0</v>
          </cell>
        </row>
        <row r="129">
          <cell r="A129" t="str">
            <v/>
          </cell>
          <cell r="B129" t="str">
            <v>111005 Bancos Comerciales</v>
          </cell>
          <cell r="C129">
            <v>9884301007</v>
          </cell>
        </row>
        <row r="130">
          <cell r="A130" t="str">
            <v/>
          </cell>
          <cell r="B130" t="str">
            <v>Total 1110 Bancos y Otras Entidades</v>
          </cell>
          <cell r="C130">
            <v>9884301007</v>
          </cell>
        </row>
        <row r="131">
          <cell r="A131" t="str">
            <v/>
          </cell>
          <cell r="B131" t="str">
            <v>1120. Fondo de Liquidez</v>
          </cell>
          <cell r="C131">
            <v>0</v>
          </cell>
        </row>
        <row r="132">
          <cell r="A132" t="str">
            <v/>
          </cell>
          <cell r="B132" t="str">
            <v>112005. Deposito de Ahorro a la vista</v>
          </cell>
          <cell r="C132">
            <v>0</v>
          </cell>
        </row>
        <row r="133">
          <cell r="A133" t="str">
            <v>112005001</v>
          </cell>
          <cell r="B133" t="str">
            <v>112005001 MEGABANCO RENTA YA   AYC</v>
          </cell>
          <cell r="C133">
            <v>795412221</v>
          </cell>
        </row>
        <row r="134">
          <cell r="A134" t="str">
            <v/>
          </cell>
          <cell r="B134" t="str">
            <v>112005 Deposito de Ahorro a la vista</v>
          </cell>
          <cell r="C134">
            <v>795412221</v>
          </cell>
        </row>
        <row r="135">
          <cell r="A135" t="str">
            <v/>
          </cell>
          <cell r="B135" t="str">
            <v>Total 1120 Fondo de Liquidez</v>
          </cell>
          <cell r="C135">
            <v>795412221</v>
          </cell>
        </row>
        <row r="136">
          <cell r="A136" t="str">
            <v/>
          </cell>
          <cell r="B136" t="str">
            <v>Total 11. Disponible</v>
          </cell>
          <cell r="C136">
            <v>10742830908</v>
          </cell>
        </row>
        <row r="139">
          <cell r="A139" t="str">
            <v/>
          </cell>
          <cell r="B139" t="str">
            <v>12. Inversiones</v>
          </cell>
          <cell r="C139">
            <v>0</v>
          </cell>
        </row>
        <row r="140">
          <cell r="A140" t="str">
            <v/>
          </cell>
          <cell r="B140" t="str">
            <v>1203. Fondo de Liquidez</v>
          </cell>
          <cell r="C140">
            <v>0</v>
          </cell>
        </row>
        <row r="141">
          <cell r="A141" t="str">
            <v/>
          </cell>
          <cell r="B141" t="str">
            <v>120325. Fondo Valores</v>
          </cell>
          <cell r="C141">
            <v>0</v>
          </cell>
        </row>
        <row r="142">
          <cell r="A142" t="str">
            <v>120325004</v>
          </cell>
          <cell r="B142" t="str">
            <v>120325004  BOLSA  Y BANCA S.A. AYC</v>
          </cell>
          <cell r="C142">
            <v>0</v>
          </cell>
        </row>
        <row r="143">
          <cell r="A143" t="str">
            <v/>
          </cell>
          <cell r="B143" t="str">
            <v>123025 Fondo Valores</v>
          </cell>
          <cell r="C143">
            <v>0</v>
          </cell>
        </row>
        <row r="144">
          <cell r="A144" t="str">
            <v/>
          </cell>
          <cell r="B144" t="str">
            <v>120305. Titulos Emitidos Avalados -Superbanca</v>
          </cell>
          <cell r="C144">
            <v>0</v>
          </cell>
        </row>
        <row r="145">
          <cell r="A145" t="str">
            <v>120305001</v>
          </cell>
          <cell r="B145" t="str">
            <v>120305001 INVERSIONES MEGABANCO AYC</v>
          </cell>
          <cell r="C145">
            <v>0</v>
          </cell>
        </row>
        <row r="146">
          <cell r="A146" t="str">
            <v>120305004</v>
          </cell>
          <cell r="B146" t="str">
            <v>120305004 SUFINANCIAMIENTO  AYC</v>
          </cell>
          <cell r="C146">
            <v>0</v>
          </cell>
        </row>
        <row r="147">
          <cell r="A147" t="str">
            <v>120305005</v>
          </cell>
          <cell r="B147" t="str">
            <v>120305005 C.D.T.´S  AYC</v>
          </cell>
          <cell r="C147">
            <v>1523935879</v>
          </cell>
        </row>
        <row r="148">
          <cell r="A148" t="str">
            <v/>
          </cell>
          <cell r="B148" t="str">
            <v>120305 Titulos Emitid Avalad-Superbanc</v>
          </cell>
          <cell r="C148">
            <v>1523935879</v>
          </cell>
        </row>
        <row r="149">
          <cell r="A149" t="str">
            <v/>
          </cell>
          <cell r="B149" t="str">
            <v>Total 1203 Fondo de Liquidez</v>
          </cell>
          <cell r="C149">
            <v>1523935879</v>
          </cell>
        </row>
        <row r="150">
          <cell r="A150" t="str">
            <v/>
          </cell>
          <cell r="B150" t="str">
            <v>1204. Inversiones negoc. en titulos de deuda</v>
          </cell>
          <cell r="C150">
            <v>0</v>
          </cell>
        </row>
        <row r="151">
          <cell r="A151" t="str">
            <v/>
          </cell>
          <cell r="B151" t="str">
            <v>120411. Titulos emit.Avalad,aceptados SuperBa</v>
          </cell>
          <cell r="C151">
            <v>0</v>
          </cell>
        </row>
        <row r="152">
          <cell r="A152" t="str">
            <v>120411002</v>
          </cell>
          <cell r="B152" t="str">
            <v>120411002 PROFESIONALES DE BOLSA  AyC</v>
          </cell>
          <cell r="C152">
            <v>0</v>
          </cell>
        </row>
        <row r="153">
          <cell r="A153" t="str">
            <v>120411114</v>
          </cell>
          <cell r="B153" t="str">
            <v>120411114 INVERSIONES BOLSA Y BANCA REPOS</v>
          </cell>
          <cell r="C153">
            <v>0</v>
          </cell>
        </row>
        <row r="154">
          <cell r="A154" t="str">
            <v>120411116</v>
          </cell>
          <cell r="B154" t="str">
            <v>120411116 ACCIONES Y VALORES COMISIONISTAS DE BOLSA</v>
          </cell>
          <cell r="C154">
            <v>0</v>
          </cell>
        </row>
        <row r="155">
          <cell r="A155" t="str">
            <v>120411124</v>
          </cell>
          <cell r="B155" t="str">
            <v>120411124 INVERSIONES SERFINCO S.A.</v>
          </cell>
          <cell r="C155">
            <v>0</v>
          </cell>
        </row>
        <row r="156">
          <cell r="A156" t="str">
            <v>120411125</v>
          </cell>
          <cell r="B156" t="str">
            <v>120411125 INVERSIONES CORREDORES ASOCIADOS S.A.</v>
          </cell>
          <cell r="C156">
            <v>0</v>
          </cell>
        </row>
        <row r="157">
          <cell r="A157" t="str">
            <v/>
          </cell>
          <cell r="B157" t="str">
            <v>120411 Titul emit.Avalad.acept. SuperB</v>
          </cell>
          <cell r="C157">
            <v>0</v>
          </cell>
        </row>
        <row r="158">
          <cell r="A158" t="str">
            <v/>
          </cell>
          <cell r="B158" t="str">
            <v>Total  1204 Invers negoc. en titulos de deuda</v>
          </cell>
          <cell r="C158">
            <v>0</v>
          </cell>
        </row>
        <row r="159">
          <cell r="A159" t="str">
            <v/>
          </cell>
          <cell r="B159" t="str">
            <v>1206. Inversiones Neg. en títulos Particip</v>
          </cell>
          <cell r="C159">
            <v>0</v>
          </cell>
        </row>
        <row r="160">
          <cell r="A160" t="str">
            <v/>
          </cell>
          <cell r="B160" t="str">
            <v>120607. Participacion en fondo de Valores</v>
          </cell>
          <cell r="C160">
            <v>0</v>
          </cell>
        </row>
        <row r="161">
          <cell r="A161" t="str">
            <v>120607001</v>
          </cell>
          <cell r="B161" t="str">
            <v>120607001 INVERSIONES CORREVAL (FONDO VALORES) AYC</v>
          </cell>
          <cell r="C161">
            <v>0</v>
          </cell>
        </row>
        <row r="162">
          <cell r="A162" t="str">
            <v>120607103</v>
          </cell>
          <cell r="B162" t="str">
            <v>120607103 INV. FONDO VALOR PROFESIONALES DE BOLSA</v>
          </cell>
          <cell r="C162">
            <v>0</v>
          </cell>
        </row>
        <row r="163">
          <cell r="A163" t="str">
            <v>120607106</v>
          </cell>
          <cell r="B163" t="str">
            <v>120607106 INV. FONDO VALOR OLIMPIA</v>
          </cell>
          <cell r="C163">
            <v>0</v>
          </cell>
        </row>
        <row r="164">
          <cell r="A164" t="str">
            <v>120607107</v>
          </cell>
          <cell r="B164" t="str">
            <v>120607107 INV. FONDO VALOR ESPARTA</v>
          </cell>
          <cell r="C164">
            <v>0</v>
          </cell>
        </row>
        <row r="165">
          <cell r="A165" t="str">
            <v>120607108</v>
          </cell>
          <cell r="B165" t="str">
            <v>120607108 INV.  ULTRA BURSÁTILES (FONDO VALORES)</v>
          </cell>
          <cell r="C165">
            <v>0</v>
          </cell>
        </row>
        <row r="166">
          <cell r="A166" t="str">
            <v>120607109</v>
          </cell>
          <cell r="B166" t="str">
            <v>120607109 INVERSIONES CORREVAL (FONDO VALORES)</v>
          </cell>
          <cell r="C166">
            <v>0</v>
          </cell>
        </row>
        <row r="167">
          <cell r="A167" t="str">
            <v>120607110</v>
          </cell>
          <cell r="B167" t="str">
            <v>120607110 FONDO INTERESES (FONDO VALORES)</v>
          </cell>
          <cell r="C167">
            <v>0</v>
          </cell>
        </row>
        <row r="168">
          <cell r="A168" t="str">
            <v>120607111</v>
          </cell>
          <cell r="B168" t="str">
            <v>120607111 INV. FONDO VALOR RENTA PLUS 90</v>
          </cell>
          <cell r="C168">
            <v>0</v>
          </cell>
        </row>
        <row r="169">
          <cell r="A169" t="str">
            <v>120607112</v>
          </cell>
          <cell r="B169" t="str">
            <v>120607112 FONDO INTERESES CORREDORES  (FONDO VALORES) AYC</v>
          </cell>
          <cell r="C169">
            <v>0</v>
          </cell>
        </row>
        <row r="170">
          <cell r="A170" t="str">
            <v>120607119</v>
          </cell>
          <cell r="B170" t="str">
            <v>120607119 BOLSA Y BANCA</v>
          </cell>
          <cell r="C170">
            <v>0</v>
          </cell>
        </row>
        <row r="171">
          <cell r="A171" t="str">
            <v>120607121</v>
          </cell>
          <cell r="B171" t="str">
            <v>120607121 ACCIONES Y VALORES</v>
          </cell>
          <cell r="C171">
            <v>0</v>
          </cell>
        </row>
        <row r="172">
          <cell r="A172" t="str">
            <v>120607122</v>
          </cell>
          <cell r="B172" t="str">
            <v>120607122 INV. ULTRA BURSÁTILES  (COMISIONISTA)</v>
          </cell>
          <cell r="C172">
            <v>0</v>
          </cell>
        </row>
        <row r="173">
          <cell r="A173" t="str">
            <v>120607123</v>
          </cell>
          <cell r="B173" t="str">
            <v>120607123 INV. PROFESIONALES DE BOLSA (COMISIONISTA)</v>
          </cell>
          <cell r="C173">
            <v>0</v>
          </cell>
        </row>
        <row r="174">
          <cell r="A174" t="str">
            <v>120607124</v>
          </cell>
          <cell r="B174" t="str">
            <v>120607124 BOLSA Y BANCA (COMISIONISTAS)</v>
          </cell>
          <cell r="C174">
            <v>0</v>
          </cell>
        </row>
        <row r="175">
          <cell r="A175" t="str">
            <v>120607125</v>
          </cell>
          <cell r="B175" t="str">
            <v>120607125 ACCIONES Y VALORES  COMISIONISTAS DE BOLSA</v>
          </cell>
          <cell r="C175">
            <v>0</v>
          </cell>
        </row>
        <row r="176">
          <cell r="A176" t="str">
            <v>120607126</v>
          </cell>
          <cell r="B176" t="str">
            <v>120607126 SERFINCO  COMISIONISTAS DE BOLSA</v>
          </cell>
          <cell r="C176">
            <v>0</v>
          </cell>
        </row>
        <row r="177">
          <cell r="A177" t="str">
            <v>120607127</v>
          </cell>
          <cell r="B177" t="str">
            <v>120607127 CORREDORES ASOCIADOS COMISIONISTAS DE BOLSA</v>
          </cell>
          <cell r="C177">
            <v>0</v>
          </cell>
        </row>
        <row r="178">
          <cell r="A178" t="str">
            <v/>
          </cell>
          <cell r="B178" t="str">
            <v>120607 Particip en fondo de Valores</v>
          </cell>
          <cell r="C178">
            <v>0</v>
          </cell>
        </row>
        <row r="179">
          <cell r="A179" t="str">
            <v/>
          </cell>
          <cell r="B179" t="str">
            <v>Total 1206 Inv Neg. en títulos Particip</v>
          </cell>
          <cell r="C179">
            <v>0</v>
          </cell>
        </row>
        <row r="180">
          <cell r="A180" t="str">
            <v/>
          </cell>
          <cell r="B180" t="str">
            <v>1208. Inversiones para mantener hasta el venc</v>
          </cell>
          <cell r="C180">
            <v>0</v>
          </cell>
        </row>
        <row r="181">
          <cell r="A181" t="str">
            <v/>
          </cell>
          <cell r="B181" t="str">
            <v>120811. Titulos emit.Avalad,aceptados SuperBa</v>
          </cell>
          <cell r="C181">
            <v>0</v>
          </cell>
        </row>
        <row r="182">
          <cell r="A182" t="str">
            <v>120811001</v>
          </cell>
          <cell r="B182" t="str">
            <v>120811001 INVERSIONES BANCO SUPERIOR CDT</v>
          </cell>
          <cell r="C182">
            <v>0</v>
          </cell>
        </row>
        <row r="183">
          <cell r="A183" t="str">
            <v>120811002</v>
          </cell>
          <cell r="B183" t="str">
            <v>120811002 INVERSIONES BCO COLPATRIA RED MUL CDT</v>
          </cell>
          <cell r="C183">
            <v>406804557</v>
          </cell>
        </row>
        <row r="184">
          <cell r="A184" t="str">
            <v>120811003</v>
          </cell>
          <cell r="B184" t="str">
            <v>120811003 INVERSIONES MEGABANCO _CONSUMO CDT</v>
          </cell>
          <cell r="C184">
            <v>725487033</v>
          </cell>
        </row>
        <row r="185">
          <cell r="A185" t="str">
            <v>120811004</v>
          </cell>
          <cell r="B185" t="str">
            <v>120811004 INVERSIONES SUFINANCIAMIENTO CDT</v>
          </cell>
          <cell r="C185">
            <v>839884926</v>
          </cell>
        </row>
        <row r="186">
          <cell r="A186" t="str">
            <v>120811005</v>
          </cell>
          <cell r="B186" t="str">
            <v>120811005 INVERSIONES LEASING CREDITO CDT</v>
          </cell>
          <cell r="C186">
            <v>304278895</v>
          </cell>
        </row>
        <row r="187">
          <cell r="A187" t="str">
            <v>120811051</v>
          </cell>
          <cell r="B187" t="str">
            <v>120811051 MEGABANCO AYC</v>
          </cell>
          <cell r="C187">
            <v>0</v>
          </cell>
        </row>
        <row r="188">
          <cell r="A188" t="str">
            <v>120811052</v>
          </cell>
          <cell r="B188" t="str">
            <v>120811052 BANCO TEQUENDAMA AYC</v>
          </cell>
          <cell r="C188">
            <v>0</v>
          </cell>
        </row>
        <row r="189">
          <cell r="A189" t="str">
            <v>120811054</v>
          </cell>
          <cell r="B189" t="str">
            <v>120811054 SU LEASING AYC</v>
          </cell>
          <cell r="C189">
            <v>0</v>
          </cell>
        </row>
        <row r="190">
          <cell r="A190" t="str">
            <v>120811055</v>
          </cell>
          <cell r="B190" t="str">
            <v>120811055 BANISTMO  COLOMBIA S.A AYC</v>
          </cell>
          <cell r="C190">
            <v>0</v>
          </cell>
        </row>
        <row r="191">
          <cell r="A191" t="str">
            <v>120811060</v>
          </cell>
          <cell r="B191" t="str">
            <v>120811060 C.D.T.¨S  A YC</v>
          </cell>
          <cell r="C191">
            <v>-3</v>
          </cell>
        </row>
        <row r="192">
          <cell r="A192" t="str">
            <v>120811112</v>
          </cell>
          <cell r="B192" t="str">
            <v>120811112 CORFICOLOMBIANA S.A. CDT</v>
          </cell>
          <cell r="C192">
            <v>0</v>
          </cell>
        </row>
        <row r="193">
          <cell r="A193" t="str">
            <v>120811113</v>
          </cell>
          <cell r="B193" t="str">
            <v>120811113 BANISTMO COLOMBIA S.A CDT</v>
          </cell>
          <cell r="C193">
            <v>0</v>
          </cell>
        </row>
        <row r="194">
          <cell r="A194" t="str">
            <v>120811114</v>
          </cell>
          <cell r="B194" t="str">
            <v>120811114 COLMENA CDT</v>
          </cell>
          <cell r="C194">
            <v>406721001</v>
          </cell>
        </row>
        <row r="195">
          <cell r="A195" t="str">
            <v>120811115</v>
          </cell>
          <cell r="B195" t="str">
            <v>120811115 AV  VILLAS  CDT</v>
          </cell>
          <cell r="C195">
            <v>406964557</v>
          </cell>
        </row>
        <row r="196">
          <cell r="A196" t="str">
            <v>120811116</v>
          </cell>
          <cell r="B196" t="str">
            <v>120811116 GRANAHORRAR  CDT</v>
          </cell>
          <cell r="C196">
            <v>0</v>
          </cell>
        </row>
        <row r="197">
          <cell r="A197" t="str">
            <v>120811117</v>
          </cell>
          <cell r="B197" t="str">
            <v>120811117 GNB SUDAMERIS  CDT</v>
          </cell>
          <cell r="C197">
            <v>314734217</v>
          </cell>
        </row>
        <row r="198">
          <cell r="A198" t="str">
            <v>120811118</v>
          </cell>
          <cell r="B198" t="str">
            <v>120811118 OCCIDENTE  CDT</v>
          </cell>
          <cell r="C198">
            <v>0</v>
          </cell>
        </row>
        <row r="199">
          <cell r="A199" t="str">
            <v>120811119</v>
          </cell>
          <cell r="B199" t="str">
            <v>120811119 BANCOLOMBIA  CDT</v>
          </cell>
          <cell r="C199">
            <v>0</v>
          </cell>
        </row>
        <row r="200">
          <cell r="A200" t="str">
            <v>120811120</v>
          </cell>
          <cell r="B200" t="str">
            <v>120811120 GRAN BANCO CDT</v>
          </cell>
          <cell r="C200">
            <v>406789257</v>
          </cell>
        </row>
        <row r="201">
          <cell r="A201" t="str">
            <v>120811121</v>
          </cell>
          <cell r="B201" t="str">
            <v>120811121 BBVA  CDT</v>
          </cell>
          <cell r="C201">
            <v>406865123</v>
          </cell>
        </row>
        <row r="202">
          <cell r="A202" t="str">
            <v>120811122</v>
          </cell>
          <cell r="B202" t="str">
            <v>120811122 CITIBANK CDT</v>
          </cell>
          <cell r="C202">
            <v>0</v>
          </cell>
        </row>
        <row r="203">
          <cell r="A203" t="str">
            <v>120811123</v>
          </cell>
          <cell r="B203" t="str">
            <v>120811123 BANCO POPULAR CDT</v>
          </cell>
          <cell r="C203">
            <v>508552501</v>
          </cell>
        </row>
        <row r="204">
          <cell r="A204" t="str">
            <v>120811124</v>
          </cell>
          <cell r="B204" t="str">
            <v>120811124 CDAT SECCION A Y C</v>
          </cell>
          <cell r="C204">
            <v>1353730136</v>
          </cell>
        </row>
        <row r="205">
          <cell r="A205" t="str">
            <v/>
          </cell>
          <cell r="B205" t="str">
            <v>120811 Titul emit.Avalad,acept SuperBa</v>
          </cell>
          <cell r="C205">
            <v>6080812200</v>
          </cell>
        </row>
        <row r="206">
          <cell r="A206" t="str">
            <v/>
          </cell>
          <cell r="B206" t="str">
            <v>Total  1208 Inv para mantener hasta el v</v>
          </cell>
          <cell r="C206">
            <v>6080812200</v>
          </cell>
        </row>
        <row r="207">
          <cell r="A207" t="str">
            <v/>
          </cell>
          <cell r="B207" t="str">
            <v>1216. Inver.para la venta de titulos particip</v>
          </cell>
          <cell r="C207">
            <v>0</v>
          </cell>
        </row>
        <row r="208">
          <cell r="A208" t="str">
            <v/>
          </cell>
          <cell r="B208" t="str">
            <v>121604. Acc con baja y minima liquidez o sin</v>
          </cell>
          <cell r="C208">
            <v>0</v>
          </cell>
        </row>
        <row r="209">
          <cell r="A209" t="str">
            <v>121604001</v>
          </cell>
          <cell r="B209" t="str">
            <v>121604001 APORTES I.P.S. COMFASALUD S.A.</v>
          </cell>
          <cell r="C209">
            <v>12912018</v>
          </cell>
        </row>
        <row r="210">
          <cell r="A210" t="str">
            <v/>
          </cell>
          <cell r="B210" t="str">
            <v>121604 Acc baja y min liquidez o sin c</v>
          </cell>
          <cell r="C210">
            <v>12912018</v>
          </cell>
        </row>
        <row r="211">
          <cell r="A211" t="str">
            <v/>
          </cell>
          <cell r="B211" t="str">
            <v>1216 Inver.para la venta de titu partic</v>
          </cell>
          <cell r="C211">
            <v>12912018</v>
          </cell>
        </row>
        <row r="212">
          <cell r="A212" t="str">
            <v/>
          </cell>
          <cell r="B212" t="str">
            <v>Total 12. Inversiones</v>
          </cell>
          <cell r="C212">
            <v>7617660097</v>
          </cell>
        </row>
        <row r="213">
          <cell r="A213" t="str">
            <v/>
          </cell>
          <cell r="B213" t="str">
            <v>13. Inventarios</v>
          </cell>
          <cell r="C213">
            <v>0</v>
          </cell>
        </row>
        <row r="214">
          <cell r="A214" t="str">
            <v/>
          </cell>
          <cell r="B214" t="str">
            <v>1305. Bienes no trasformados por la entidad</v>
          </cell>
          <cell r="C214">
            <v>0</v>
          </cell>
        </row>
        <row r="215">
          <cell r="A215" t="str">
            <v/>
          </cell>
          <cell r="B215" t="str">
            <v>130505. Bienes no trasformados por la entidad</v>
          </cell>
          <cell r="C215">
            <v>0</v>
          </cell>
        </row>
        <row r="216">
          <cell r="A216" t="str">
            <v>130505001</v>
          </cell>
          <cell r="B216" t="str">
            <v>130505001 INVENTARIOS DE MERCANCÍA  ETICOS GRAVADA</v>
          </cell>
          <cell r="C216">
            <v>494452676</v>
          </cell>
        </row>
        <row r="217">
          <cell r="A217" t="str">
            <v>130505002</v>
          </cell>
          <cell r="B217" t="str">
            <v>130505002 INVENTARIOS DE MERCANCÍA  ETICOS EXCLUIDA</v>
          </cell>
          <cell r="C217">
            <v>44436867902</v>
          </cell>
        </row>
        <row r="218">
          <cell r="A218" t="str">
            <v>130505011</v>
          </cell>
          <cell r="B218" t="str">
            <v>130505011 INVENTARIOS DE MERCANCÍA  POPULARES GRAVADA</v>
          </cell>
          <cell r="C218">
            <v>13395950804</v>
          </cell>
        </row>
        <row r="219">
          <cell r="A219" t="str">
            <v>130505012</v>
          </cell>
          <cell r="B219" t="str">
            <v>130505012 INVENTARIOS DE MERCANCÍA  POPULARES  EXCLUIDA</v>
          </cell>
          <cell r="C219">
            <v>5047471491</v>
          </cell>
        </row>
        <row r="220">
          <cell r="A220" t="str">
            <v>130505013</v>
          </cell>
          <cell r="B220" t="str">
            <v>130505013 INVENTARIOS DE MERCANCÍA   CONVENIOS</v>
          </cell>
          <cell r="C220">
            <v>203</v>
          </cell>
        </row>
        <row r="221">
          <cell r="A221" t="str">
            <v>130505090</v>
          </cell>
          <cell r="B221" t="str">
            <v>130505090 INVENTARIO EN TRANSITO</v>
          </cell>
          <cell r="C221">
            <v>0</v>
          </cell>
        </row>
        <row r="222">
          <cell r="A222" t="str">
            <v>130505091</v>
          </cell>
          <cell r="B222" t="str">
            <v>130505091 REVALORIZACION DE INVENTARIO</v>
          </cell>
          <cell r="C222">
            <v>1</v>
          </cell>
        </row>
        <row r="223">
          <cell r="A223" t="str">
            <v/>
          </cell>
          <cell r="B223" t="str">
            <v>130505 Bienes no trasf por la entidad</v>
          </cell>
          <cell r="C223">
            <v>63374743077</v>
          </cell>
        </row>
        <row r="224">
          <cell r="A224" t="str">
            <v/>
          </cell>
          <cell r="B224" t="str">
            <v>Total 1305 Bienes no trasf por la entidad</v>
          </cell>
          <cell r="C224">
            <v>63374743077</v>
          </cell>
        </row>
        <row r="225">
          <cell r="A225" t="str">
            <v/>
          </cell>
          <cell r="B225" t="str">
            <v>1325. Materiales y Suministros</v>
          </cell>
          <cell r="C225">
            <v>0</v>
          </cell>
        </row>
        <row r="226">
          <cell r="A226" t="str">
            <v/>
          </cell>
          <cell r="B226" t="str">
            <v>132505. Materiales y suministros</v>
          </cell>
          <cell r="C226">
            <v>0</v>
          </cell>
        </row>
        <row r="227">
          <cell r="A227" t="str">
            <v>132505021</v>
          </cell>
          <cell r="B227" t="str">
            <v>132505021 INVENTARIOS DE MERCANCÍA  SERV.GENERALES GRAVADA</v>
          </cell>
          <cell r="C227">
            <v>142162219</v>
          </cell>
        </row>
        <row r="228">
          <cell r="A228" t="str">
            <v>132505022</v>
          </cell>
          <cell r="B228" t="str">
            <v>132505022 INVENTARIOS DE MERCANCÍA  SERV.GENERALES EXENTA</v>
          </cell>
          <cell r="C228">
            <v>107326613</v>
          </cell>
        </row>
        <row r="229">
          <cell r="A229" t="str">
            <v/>
          </cell>
          <cell r="B229" t="str">
            <v>Total  Materiales y suministros</v>
          </cell>
          <cell r="C229">
            <v>249488832</v>
          </cell>
        </row>
        <row r="230">
          <cell r="A230" t="str">
            <v/>
          </cell>
          <cell r="B230" t="str">
            <v>Total 1325 Materiales y Suministros</v>
          </cell>
          <cell r="C230">
            <v>249488832</v>
          </cell>
        </row>
        <row r="231">
          <cell r="A231" t="str">
            <v/>
          </cell>
          <cell r="B231" t="str">
            <v>1335. Inventarios en transito</v>
          </cell>
          <cell r="C231">
            <v>0</v>
          </cell>
        </row>
        <row r="232">
          <cell r="A232" t="str">
            <v/>
          </cell>
          <cell r="B232" t="str">
            <v>133505. Inventarios en transito</v>
          </cell>
          <cell r="C232">
            <v>0</v>
          </cell>
        </row>
        <row r="233">
          <cell r="A233" t="str">
            <v>133505090</v>
          </cell>
          <cell r="B233" t="str">
            <v>133505090 INVENTARIO EN TRANSITO</v>
          </cell>
          <cell r="C233">
            <v>0</v>
          </cell>
        </row>
        <row r="234">
          <cell r="A234" t="str">
            <v/>
          </cell>
          <cell r="B234" t="str">
            <v>133505 Inventarios en transito</v>
          </cell>
          <cell r="C234">
            <v>0</v>
          </cell>
        </row>
        <row r="235">
          <cell r="A235" t="str">
            <v/>
          </cell>
          <cell r="B235" t="str">
            <v>Total 1335 Inventarios en transito</v>
          </cell>
          <cell r="C235">
            <v>0</v>
          </cell>
        </row>
        <row r="236">
          <cell r="A236" t="str">
            <v/>
          </cell>
          <cell r="B236" t="str">
            <v>1390. Provision</v>
          </cell>
          <cell r="C236">
            <v>0</v>
          </cell>
        </row>
        <row r="237">
          <cell r="A237" t="str">
            <v/>
          </cell>
          <cell r="B237" t="str">
            <v>139005. Por Obsolescencia</v>
          </cell>
          <cell r="C237">
            <v>0</v>
          </cell>
        </row>
        <row r="238">
          <cell r="A238" t="str">
            <v>139005001</v>
          </cell>
          <cell r="B238" t="str">
            <v>139005001 PROVISIÓN PARA ROTURAS Y DESGUASE</v>
          </cell>
          <cell r="C238">
            <v>7097051</v>
          </cell>
        </row>
        <row r="239">
          <cell r="A239" t="str">
            <v/>
          </cell>
          <cell r="B239" t="str">
            <v>139005 Por Obsolescencia</v>
          </cell>
          <cell r="C239">
            <v>7097051</v>
          </cell>
        </row>
        <row r="240">
          <cell r="A240" t="str">
            <v/>
          </cell>
          <cell r="B240" t="str">
            <v>139010. Por Diferencia en inventario fisico</v>
          </cell>
          <cell r="C240">
            <v>0</v>
          </cell>
        </row>
        <row r="241">
          <cell r="A241" t="str">
            <v>139010001</v>
          </cell>
          <cell r="B241" t="str">
            <v>139010001 VARIACIONES EN PRECIOS Y LOTES DE INVENTARIO</v>
          </cell>
          <cell r="C241">
            <v>14944375</v>
          </cell>
        </row>
        <row r="242">
          <cell r="A242" t="str">
            <v/>
          </cell>
          <cell r="B242" t="str">
            <v>139010 Por Dif en inventario fisico</v>
          </cell>
          <cell r="C242">
            <v>14944375</v>
          </cell>
        </row>
        <row r="243">
          <cell r="A243" t="str">
            <v/>
          </cell>
          <cell r="B243" t="str">
            <v>139085. Por Otros Conceptos</v>
          </cell>
          <cell r="C243">
            <v>0</v>
          </cell>
        </row>
        <row r="244">
          <cell r="A244" t="str">
            <v>139085001</v>
          </cell>
          <cell r="B244" t="str">
            <v>139085001 PROVISIÓN PARA OTROS CONCEPTOS INVENT.</v>
          </cell>
          <cell r="C244">
            <v>541783</v>
          </cell>
        </row>
        <row r="245">
          <cell r="A245" t="str">
            <v>139085090</v>
          </cell>
          <cell r="B245" t="str">
            <v>139085090 PROVISION MCIA RECHAZADA PROV.Y RECOGIDA POR CONTR</v>
          </cell>
          <cell r="C245">
            <v>27580</v>
          </cell>
        </row>
        <row r="246">
          <cell r="A246" t="str">
            <v/>
          </cell>
          <cell r="B246" t="str">
            <v>139085 Por Otros Conceptos</v>
          </cell>
          <cell r="C246">
            <v>569363</v>
          </cell>
        </row>
        <row r="247">
          <cell r="A247" t="str">
            <v/>
          </cell>
          <cell r="B247" t="str">
            <v>Total 1390 Provision</v>
          </cell>
          <cell r="C247">
            <v>22610789</v>
          </cell>
        </row>
        <row r="248">
          <cell r="A248" t="str">
            <v/>
          </cell>
          <cell r="B248" t="str">
            <v>Total 13. Inventarios</v>
          </cell>
          <cell r="C248">
            <v>63646842698</v>
          </cell>
        </row>
        <row r="249">
          <cell r="A249" t="str">
            <v/>
          </cell>
          <cell r="B249" t="str">
            <v>14. Cartera de Créditos</v>
          </cell>
          <cell r="C249">
            <v>0</v>
          </cell>
        </row>
        <row r="250">
          <cell r="A250" t="str">
            <v/>
          </cell>
          <cell r="B250" t="str">
            <v>1412. Creditos de cmo.garantia admisible-S L</v>
          </cell>
          <cell r="C250">
            <v>0</v>
          </cell>
        </row>
        <row r="251">
          <cell r="A251" t="str">
            <v/>
          </cell>
          <cell r="B251" t="str">
            <v>141205. Categoria A- riesgo normal</v>
          </cell>
          <cell r="C251">
            <v>0</v>
          </cell>
        </row>
        <row r="252">
          <cell r="A252" t="str">
            <v>141205001</v>
          </cell>
          <cell r="B252" t="str">
            <v>141205001 CATEGORÍA A - RIESGO NORMAL  AYC</v>
          </cell>
          <cell r="C252">
            <v>5400873031</v>
          </cell>
        </row>
        <row r="253">
          <cell r="A253" t="str">
            <v/>
          </cell>
          <cell r="B253" t="str">
            <v>Total Categoria A- riesgo normal</v>
          </cell>
          <cell r="C253">
            <v>5400873031</v>
          </cell>
        </row>
        <row r="254">
          <cell r="A254" t="str">
            <v/>
          </cell>
          <cell r="B254" t="str">
            <v>141210. Categoria B- riesgo aceptable</v>
          </cell>
          <cell r="C254">
            <v>0</v>
          </cell>
        </row>
        <row r="255">
          <cell r="A255" t="str">
            <v>141210001</v>
          </cell>
          <cell r="B255" t="str">
            <v>141210001 CATEGORÍA B - RIESGO ACEPTABLE AYC</v>
          </cell>
          <cell r="C255">
            <v>0</v>
          </cell>
        </row>
        <row r="256">
          <cell r="A256" t="str">
            <v/>
          </cell>
          <cell r="B256" t="str">
            <v>Total Categoria B- riesgo aceptable</v>
          </cell>
          <cell r="C256">
            <v>0</v>
          </cell>
        </row>
        <row r="257">
          <cell r="A257" t="str">
            <v/>
          </cell>
          <cell r="B257" t="str">
            <v>141215. Categoria C- riesgo apreciable</v>
          </cell>
          <cell r="C257">
            <v>0</v>
          </cell>
        </row>
        <row r="258">
          <cell r="A258" t="str">
            <v>141215001</v>
          </cell>
          <cell r="B258" t="str">
            <v>141215001 CATEGORÍA C - RIESGO APRECIABLE AYC</v>
          </cell>
          <cell r="C258">
            <v>82101857</v>
          </cell>
        </row>
        <row r="259">
          <cell r="A259" t="str">
            <v/>
          </cell>
          <cell r="B259" t="str">
            <v>Total Categoria C- riesgo apreciable</v>
          </cell>
          <cell r="C259">
            <v>82101857</v>
          </cell>
        </row>
        <row r="260">
          <cell r="A260" t="str">
            <v/>
          </cell>
          <cell r="B260" t="str">
            <v>141220. Categoria D- Riesgo significativo</v>
          </cell>
          <cell r="C260">
            <v>0</v>
          </cell>
        </row>
        <row r="261">
          <cell r="A261" t="str">
            <v>141220001</v>
          </cell>
          <cell r="B261" t="str">
            <v>141220001 CATEGORÍA D - RIESGO SIGNIFICATIVO AYC</v>
          </cell>
          <cell r="C261">
            <v>0</v>
          </cell>
        </row>
        <row r="262">
          <cell r="A262" t="str">
            <v/>
          </cell>
          <cell r="B262" t="str">
            <v>Total Categoria D- Riesgo significativo</v>
          </cell>
          <cell r="C262">
            <v>0</v>
          </cell>
        </row>
        <row r="263">
          <cell r="A263" t="str">
            <v/>
          </cell>
          <cell r="B263" t="str">
            <v>141225. Categoria E- Riesgo de incobrabilidad</v>
          </cell>
          <cell r="C263">
            <v>0</v>
          </cell>
        </row>
        <row r="264">
          <cell r="A264" t="str">
            <v>141225001</v>
          </cell>
          <cell r="B264" t="str">
            <v>141225001 CATEGORÍA E- RIESGO DE INCOBRABILIDAD AYC</v>
          </cell>
          <cell r="C264">
            <v>34415610</v>
          </cell>
        </row>
        <row r="265">
          <cell r="A265" t="str">
            <v/>
          </cell>
          <cell r="B265" t="str">
            <v>Total Categoria E- Riesgo de incobrabilidad</v>
          </cell>
          <cell r="C265">
            <v>34415610</v>
          </cell>
        </row>
        <row r="266">
          <cell r="A266" t="str">
            <v/>
          </cell>
          <cell r="B266" t="str">
            <v>Total 1412 Credi de cmo.garant admisible-S L</v>
          </cell>
          <cell r="C266">
            <v>5517390498</v>
          </cell>
        </row>
        <row r="267">
          <cell r="A267" t="str">
            <v/>
          </cell>
          <cell r="B267" t="str">
            <v>1442. Creditos de Consumo-otras Garantias</v>
          </cell>
          <cell r="C267">
            <v>0</v>
          </cell>
        </row>
        <row r="268">
          <cell r="A268" t="str">
            <v/>
          </cell>
          <cell r="B268" t="str">
            <v>144205. Categoria A - Riesgo Normal</v>
          </cell>
          <cell r="C268">
            <v>0</v>
          </cell>
        </row>
        <row r="269">
          <cell r="A269" t="str">
            <v>144205001</v>
          </cell>
          <cell r="B269" t="str">
            <v>144205001 CATEGORÍA A - RIESGO NORMAL AYC</v>
          </cell>
          <cell r="C269">
            <v>13454297201</v>
          </cell>
        </row>
        <row r="270">
          <cell r="A270" t="str">
            <v/>
          </cell>
          <cell r="B270" t="str">
            <v>Total Categoria A - Riesgo Normal</v>
          </cell>
          <cell r="C270">
            <v>13454297201</v>
          </cell>
        </row>
        <row r="271">
          <cell r="A271" t="str">
            <v/>
          </cell>
          <cell r="B271" t="str">
            <v>144210. Categoria B - Riesgo Aceptable</v>
          </cell>
          <cell r="C271">
            <v>0</v>
          </cell>
        </row>
        <row r="272">
          <cell r="A272" t="str">
            <v>144210001</v>
          </cell>
          <cell r="B272" t="str">
            <v>144210001 CATEGORÍA B - RIESGO ACEPTABLE AYC</v>
          </cell>
          <cell r="C272">
            <v>90949479</v>
          </cell>
        </row>
        <row r="273">
          <cell r="A273" t="str">
            <v/>
          </cell>
          <cell r="B273" t="str">
            <v>Total Categoria B - Riesgo Aceptable</v>
          </cell>
          <cell r="C273">
            <v>90949479</v>
          </cell>
        </row>
        <row r="274">
          <cell r="A274" t="str">
            <v/>
          </cell>
          <cell r="B274" t="str">
            <v>144215. Categoria C - Riesgo Apreciable</v>
          </cell>
          <cell r="C274">
            <v>0</v>
          </cell>
        </row>
        <row r="275">
          <cell r="A275" t="str">
            <v>144215001</v>
          </cell>
          <cell r="B275" t="str">
            <v>144215001 CATEGORÍA C - RIESGO APRECIABLE AYC</v>
          </cell>
          <cell r="C275">
            <v>47448866</v>
          </cell>
        </row>
        <row r="276">
          <cell r="A276" t="str">
            <v/>
          </cell>
          <cell r="B276" t="str">
            <v>Total Categoria C - Riesgo Apreciable</v>
          </cell>
          <cell r="C276">
            <v>47448866</v>
          </cell>
        </row>
        <row r="277">
          <cell r="A277" t="str">
            <v/>
          </cell>
          <cell r="B277" t="str">
            <v>144220. Categoria D - Riesgo Significativo</v>
          </cell>
          <cell r="C277">
            <v>0</v>
          </cell>
        </row>
        <row r="278">
          <cell r="A278" t="str">
            <v>144220001</v>
          </cell>
          <cell r="B278" t="str">
            <v>144220001 CATEGORÍA D - RIESGO SIGNIFICATIVO AYC</v>
          </cell>
          <cell r="C278">
            <v>51674712</v>
          </cell>
        </row>
        <row r="279">
          <cell r="A279" t="str">
            <v/>
          </cell>
          <cell r="B279" t="str">
            <v>Total Categoria D - Riesgo Significativo</v>
          </cell>
          <cell r="C279">
            <v>51674712</v>
          </cell>
        </row>
        <row r="280">
          <cell r="A280" t="str">
            <v/>
          </cell>
          <cell r="B280" t="str">
            <v>144225. Categoria E - Riesgo de Incobrabil.</v>
          </cell>
          <cell r="C280">
            <v>0</v>
          </cell>
        </row>
        <row r="281">
          <cell r="A281" t="str">
            <v>144225001</v>
          </cell>
          <cell r="B281" t="str">
            <v>144225001 CATEGORÍA E - RIESGO DE INCOBRABILID.AYC</v>
          </cell>
          <cell r="C281">
            <v>125834802</v>
          </cell>
        </row>
        <row r="282">
          <cell r="A282" t="str">
            <v/>
          </cell>
          <cell r="B282" t="str">
            <v>Total Categoria E - Riesgo de Incobrabilidad</v>
          </cell>
          <cell r="C282">
            <v>125834802</v>
          </cell>
        </row>
        <row r="283">
          <cell r="A283" t="str">
            <v/>
          </cell>
          <cell r="B283" t="str">
            <v>Total 1442 Cred de Cons-otras Garantias</v>
          </cell>
          <cell r="C283">
            <v>13770205060</v>
          </cell>
        </row>
        <row r="284">
          <cell r="A284" t="str">
            <v/>
          </cell>
          <cell r="B284" t="str">
            <v>1462. Creditos Comerciales G.admisble sin L</v>
          </cell>
          <cell r="C284">
            <v>0</v>
          </cell>
        </row>
        <row r="285">
          <cell r="A285" t="str">
            <v/>
          </cell>
          <cell r="B285" t="str">
            <v>146205. Categoria A - Riesgo normal</v>
          </cell>
          <cell r="C285">
            <v>0</v>
          </cell>
        </row>
        <row r="286">
          <cell r="A286" t="str">
            <v>146205001</v>
          </cell>
          <cell r="B286" t="str">
            <v>146205001 CATEGORÍA A - RIESGO NORMAL AYC</v>
          </cell>
          <cell r="C286">
            <v>2630039830</v>
          </cell>
        </row>
        <row r="287">
          <cell r="A287" t="str">
            <v/>
          </cell>
          <cell r="B287" t="str">
            <v>Total Categoria A - Riesgo normal</v>
          </cell>
          <cell r="C287">
            <v>2630039830</v>
          </cell>
        </row>
        <row r="288">
          <cell r="A288" t="str">
            <v/>
          </cell>
          <cell r="B288" t="str">
            <v>146210. Categoria B - Riesgo Aceptable</v>
          </cell>
          <cell r="C288">
            <v>0</v>
          </cell>
        </row>
        <row r="289">
          <cell r="A289" t="str">
            <v>146210001</v>
          </cell>
          <cell r="B289" t="str">
            <v>146210001 CATEGORÍA B - RIESGO ACEPTABLE AYC</v>
          </cell>
          <cell r="C289">
            <v>0</v>
          </cell>
        </row>
        <row r="290">
          <cell r="A290" t="str">
            <v/>
          </cell>
          <cell r="B290" t="str">
            <v>Total Categoria B - Riesgo Aceptable</v>
          </cell>
          <cell r="C290">
            <v>0</v>
          </cell>
        </row>
        <row r="291">
          <cell r="A291" t="str">
            <v/>
          </cell>
          <cell r="B291" t="str">
            <v>Total 1462 Credi Comerc G.admisble sin Lib</v>
          </cell>
          <cell r="C291">
            <v>2630039830</v>
          </cell>
        </row>
        <row r="292">
          <cell r="A292" t="str">
            <v/>
          </cell>
          <cell r="B292" t="str">
            <v>1465. Creditos Comerciales-Otras garantias</v>
          </cell>
          <cell r="C292">
            <v>0</v>
          </cell>
        </row>
        <row r="293">
          <cell r="A293" t="str">
            <v/>
          </cell>
          <cell r="B293" t="str">
            <v>146515. Categoria A - Riesgo Normal</v>
          </cell>
          <cell r="C293">
            <v>0</v>
          </cell>
        </row>
        <row r="294">
          <cell r="A294" t="str">
            <v>146515001</v>
          </cell>
          <cell r="B294" t="str">
            <v>146515001 CATEGORÍA A - RIESGO NORMAL AYC</v>
          </cell>
          <cell r="C294">
            <v>2781512371</v>
          </cell>
        </row>
        <row r="295">
          <cell r="A295" t="str">
            <v/>
          </cell>
          <cell r="B295" t="str">
            <v>Total Categoria A - Riesgo Normal</v>
          </cell>
          <cell r="C295">
            <v>2781512371</v>
          </cell>
        </row>
        <row r="296">
          <cell r="A296" t="str">
            <v/>
          </cell>
          <cell r="B296" t="str">
            <v>146520. Categoria B - Riesgo Aceptable</v>
          </cell>
          <cell r="C296">
            <v>0</v>
          </cell>
        </row>
        <row r="297">
          <cell r="A297" t="str">
            <v>146520001</v>
          </cell>
          <cell r="B297" t="str">
            <v>146520001 CATEGORÍA B - RIESGO ACEPTABLE AYC</v>
          </cell>
          <cell r="C297">
            <v>2778297</v>
          </cell>
        </row>
        <row r="298">
          <cell r="A298" t="str">
            <v/>
          </cell>
          <cell r="B298" t="str">
            <v>Total Categoria B - Riesgo Aceptable</v>
          </cell>
          <cell r="C298">
            <v>2778297</v>
          </cell>
        </row>
        <row r="299">
          <cell r="A299" t="str">
            <v/>
          </cell>
          <cell r="B299" t="str">
            <v>146525. Categoria C - Riesgo Apreciable</v>
          </cell>
          <cell r="C299">
            <v>0</v>
          </cell>
        </row>
        <row r="300">
          <cell r="A300" t="str">
            <v>146525001</v>
          </cell>
          <cell r="B300" t="str">
            <v>146525001 CATEGORÍA C - RIESGO APRECIABLE  AYC</v>
          </cell>
          <cell r="C300">
            <v>0</v>
          </cell>
        </row>
        <row r="301">
          <cell r="A301" t="str">
            <v/>
          </cell>
          <cell r="B301" t="str">
            <v>Total Categoria C - Riesgo Apreciable</v>
          </cell>
          <cell r="C301">
            <v>0</v>
          </cell>
        </row>
        <row r="302">
          <cell r="A302" t="str">
            <v/>
          </cell>
          <cell r="B302" t="str">
            <v>146530. Categoria D - Riesgo Significativo</v>
          </cell>
          <cell r="C302">
            <v>0</v>
          </cell>
        </row>
        <row r="303">
          <cell r="A303" t="str">
            <v>146530001</v>
          </cell>
          <cell r="B303" t="str">
            <v>146530001 CATEGORÍA D - RIESGO SIGNIFICATIVO  AYC</v>
          </cell>
          <cell r="C303">
            <v>0</v>
          </cell>
        </row>
        <row r="304">
          <cell r="A304" t="str">
            <v/>
          </cell>
          <cell r="B304" t="str">
            <v>Total Categoria D - Riesgo Significativo</v>
          </cell>
          <cell r="C304">
            <v>0</v>
          </cell>
        </row>
        <row r="305">
          <cell r="A305" t="str">
            <v/>
          </cell>
          <cell r="B305" t="str">
            <v>146535. Categoria E - Riesgo de incobrabilid.</v>
          </cell>
          <cell r="C305">
            <v>0</v>
          </cell>
        </row>
        <row r="306">
          <cell r="A306" t="str">
            <v>146535001</v>
          </cell>
          <cell r="B306" t="str">
            <v>146535001 CATEGORÍA E - RIESGO DE INCOBRABILIDAD  AYC</v>
          </cell>
          <cell r="C306">
            <v>20206871</v>
          </cell>
        </row>
        <row r="307">
          <cell r="A307" t="str">
            <v/>
          </cell>
          <cell r="B307" t="str">
            <v>Total Categoria E - Riesgo de incobrabilidad</v>
          </cell>
          <cell r="C307">
            <v>20206871</v>
          </cell>
        </row>
        <row r="308">
          <cell r="A308" t="str">
            <v/>
          </cell>
          <cell r="B308" t="str">
            <v>Total 1465 Cred Comerc-Otras garantias</v>
          </cell>
          <cell r="C308">
            <v>2804497539</v>
          </cell>
        </row>
        <row r="309">
          <cell r="A309" t="str">
            <v/>
          </cell>
          <cell r="B309" t="str">
            <v>1491. Provision Creditos de Consumo</v>
          </cell>
          <cell r="C309">
            <v>0</v>
          </cell>
        </row>
        <row r="310">
          <cell r="A310" t="str">
            <v/>
          </cell>
          <cell r="B310" t="str">
            <v>149110. Categoria b credito acept garant.</v>
          </cell>
          <cell r="C310">
            <v>0</v>
          </cell>
        </row>
        <row r="311">
          <cell r="A311" t="str">
            <v>149110001</v>
          </cell>
          <cell r="B311" t="str">
            <v>149110001 CATEGORÍA B-CRÉDITO ACEPTABLE GARANT AYC</v>
          </cell>
          <cell r="C311">
            <v>0</v>
          </cell>
        </row>
        <row r="312">
          <cell r="A312" t="str">
            <v/>
          </cell>
          <cell r="B312" t="str">
            <v>Total Categoria b credito acept garant.</v>
          </cell>
          <cell r="C312">
            <v>0</v>
          </cell>
        </row>
        <row r="313">
          <cell r="A313" t="str">
            <v/>
          </cell>
          <cell r="B313" t="str">
            <v>149112. Categoria B - Credito Aceptable Otras</v>
          </cell>
          <cell r="C313">
            <v>0</v>
          </cell>
        </row>
        <row r="314">
          <cell r="A314" t="str">
            <v>149112001</v>
          </cell>
          <cell r="B314" t="str">
            <v>149112001 CATEGORÍA B-CRÉDITO ACEPTABLE OTRAS AYC</v>
          </cell>
          <cell r="C314">
            <v>-909495</v>
          </cell>
        </row>
        <row r="315">
          <cell r="A315" t="str">
            <v/>
          </cell>
          <cell r="B315" t="str">
            <v>Total Categoria B - Credito Aceptable Otras</v>
          </cell>
          <cell r="C315">
            <v>-909495</v>
          </cell>
        </row>
        <row r="316">
          <cell r="A316" t="str">
            <v>149115001</v>
          </cell>
          <cell r="B316" t="str">
            <v>149115001 CATEGORÍA C-CRÉDITO APRECIABLE AYC</v>
          </cell>
          <cell r="C316">
            <v>0</v>
          </cell>
        </row>
        <row r="317">
          <cell r="A317" t="str">
            <v/>
          </cell>
          <cell r="B317" t="str">
            <v/>
          </cell>
          <cell r="C317">
            <v>0</v>
          </cell>
        </row>
        <row r="318">
          <cell r="A318" t="str">
            <v/>
          </cell>
          <cell r="B318" t="str">
            <v>149117. Categoria C - Credito Apreciable Otr</v>
          </cell>
          <cell r="C318">
            <v>0</v>
          </cell>
        </row>
        <row r="319">
          <cell r="A319" t="str">
            <v>149117001</v>
          </cell>
          <cell r="B319" t="str">
            <v>149117001 CATEGORÍA C-CRÉDITO APRECIAB.OTRAS AYC</v>
          </cell>
          <cell r="C319">
            <v>-4744888</v>
          </cell>
        </row>
        <row r="320">
          <cell r="A320" t="str">
            <v/>
          </cell>
          <cell r="B320" t="str">
            <v>Total Categoria C - Credito Apreciable Otras</v>
          </cell>
          <cell r="C320">
            <v>-4744888</v>
          </cell>
        </row>
        <row r="321">
          <cell r="A321" t="str">
            <v/>
          </cell>
          <cell r="B321" t="str">
            <v>149122. Categoria D - Credito Significativo O</v>
          </cell>
          <cell r="C321">
            <v>0</v>
          </cell>
        </row>
        <row r="322">
          <cell r="A322" t="str">
            <v>149122001</v>
          </cell>
          <cell r="B322" t="str">
            <v>149122001 CATEGORÍA D-CRÉDITO SIGNIFIC. OTRAS  AYC</v>
          </cell>
          <cell r="C322">
            <v>-10334942</v>
          </cell>
        </row>
        <row r="323">
          <cell r="A323" t="str">
            <v/>
          </cell>
          <cell r="B323" t="str">
            <v>Total Categoria D - Credito Significativo Otr</v>
          </cell>
          <cell r="C323">
            <v>-10334942</v>
          </cell>
        </row>
        <row r="324">
          <cell r="A324" t="str">
            <v/>
          </cell>
          <cell r="B324" t="str">
            <v>149127. Categoria E - Credito Irrecuperable O</v>
          </cell>
          <cell r="C324">
            <v>0</v>
          </cell>
        </row>
        <row r="325">
          <cell r="A325" t="str">
            <v>149127001</v>
          </cell>
          <cell r="B325" t="str">
            <v>149127001 CATEGORÍA E-CRÉDITO IRRECUPERABLE AYC</v>
          </cell>
          <cell r="C325">
            <v>-103611040</v>
          </cell>
        </row>
        <row r="326">
          <cell r="A326" t="str">
            <v/>
          </cell>
          <cell r="B326" t="str">
            <v>Otras Categoria E - Credito Irrecuperable Otr</v>
          </cell>
          <cell r="C326">
            <v>-103611040</v>
          </cell>
        </row>
        <row r="327">
          <cell r="A327" t="str">
            <v/>
          </cell>
          <cell r="B327" t="str">
            <v>Total 1491 Prov Creditos de Consumo</v>
          </cell>
          <cell r="C327">
            <v>-119600365</v>
          </cell>
        </row>
        <row r="328">
          <cell r="A328" t="str">
            <v/>
          </cell>
          <cell r="B328" t="str">
            <v>1495. Provision Creditos Comerciales</v>
          </cell>
          <cell r="C328">
            <v>0</v>
          </cell>
        </row>
        <row r="329">
          <cell r="A329" t="str">
            <v/>
          </cell>
          <cell r="B329" t="str">
            <v>149512. Categoria B - Credito Aceptable Otras</v>
          </cell>
          <cell r="C329">
            <v>0</v>
          </cell>
        </row>
        <row r="330">
          <cell r="A330" t="str">
            <v>149512001</v>
          </cell>
          <cell r="B330" t="str">
            <v>149512001 CATEGORÍA B-CRÉDITOACEPTABLE AYC</v>
          </cell>
          <cell r="C330">
            <v>-27783</v>
          </cell>
        </row>
        <row r="331">
          <cell r="A331" t="str">
            <v/>
          </cell>
          <cell r="B331" t="str">
            <v>Total Categoria B - Credito Aceptable Otras</v>
          </cell>
          <cell r="C331">
            <v>-27783</v>
          </cell>
        </row>
        <row r="332">
          <cell r="A332" t="str">
            <v/>
          </cell>
          <cell r="B332" t="str">
            <v>149517. Categoria C - Credito Apreciable Otr.</v>
          </cell>
          <cell r="C332">
            <v>0</v>
          </cell>
        </row>
        <row r="333">
          <cell r="A333" t="str">
            <v>149517001</v>
          </cell>
          <cell r="B333" t="str">
            <v>149517001 CATEGORÍA C-CRÉDITO APRECIABLE AYC</v>
          </cell>
          <cell r="C333">
            <v>0</v>
          </cell>
        </row>
        <row r="334">
          <cell r="A334" t="str">
            <v/>
          </cell>
          <cell r="B334" t="str">
            <v>Total Categoria C - Credito Apreciable Otras</v>
          </cell>
          <cell r="C334">
            <v>0</v>
          </cell>
        </row>
        <row r="335">
          <cell r="A335" t="str">
            <v/>
          </cell>
          <cell r="B335" t="str">
            <v>149522. Categoria D - Credito Significativo</v>
          </cell>
          <cell r="C335">
            <v>0</v>
          </cell>
        </row>
        <row r="336">
          <cell r="A336" t="str">
            <v>149522001</v>
          </cell>
          <cell r="B336" t="str">
            <v>149522001 CATEGORÍA D-CRÉDITO SIGNIFICATIVO AYC</v>
          </cell>
          <cell r="C336">
            <v>0</v>
          </cell>
        </row>
        <row r="337">
          <cell r="A337" t="str">
            <v/>
          </cell>
          <cell r="B337" t="str">
            <v>Total Categoria D - Credito Significativo</v>
          </cell>
          <cell r="C337">
            <v>0</v>
          </cell>
        </row>
        <row r="338">
          <cell r="A338" t="str">
            <v/>
          </cell>
          <cell r="B338" t="str">
            <v>149527. Categoria E - Credito irrecuperable</v>
          </cell>
          <cell r="C338">
            <v>0</v>
          </cell>
        </row>
        <row r="339">
          <cell r="A339" t="str">
            <v>149527001</v>
          </cell>
          <cell r="B339" t="str">
            <v>149527001 CATEGORÍA E-CRÉDITO IRRECUPERABLE AYC</v>
          </cell>
          <cell r="C339">
            <v>-20206871</v>
          </cell>
        </row>
        <row r="340">
          <cell r="A340" t="str">
            <v/>
          </cell>
          <cell r="B340" t="str">
            <v>Total Categoria E - Credito irrecuperable</v>
          </cell>
          <cell r="C340">
            <v>-20206871</v>
          </cell>
        </row>
        <row r="341">
          <cell r="A341" t="str">
            <v/>
          </cell>
          <cell r="B341" t="str">
            <v>Total 1495 Provision Creditos Comerciales</v>
          </cell>
          <cell r="C341">
            <v>-20234654</v>
          </cell>
        </row>
        <row r="342">
          <cell r="A342" t="str">
            <v/>
          </cell>
          <cell r="B342" t="str">
            <v>1498. Provision General</v>
          </cell>
          <cell r="C342">
            <v>0</v>
          </cell>
        </row>
        <row r="343">
          <cell r="A343" t="str">
            <v/>
          </cell>
          <cell r="B343" t="str">
            <v>149810. Provision Creditos Sin Libranza</v>
          </cell>
          <cell r="C343">
            <v>0</v>
          </cell>
        </row>
        <row r="344">
          <cell r="A344" t="str">
            <v>149810001</v>
          </cell>
          <cell r="B344" t="str">
            <v>149810001 PROVISION CREDITOS SIN LIBRANZA AYC</v>
          </cell>
          <cell r="C344">
            <v>-247221320</v>
          </cell>
        </row>
        <row r="345">
          <cell r="A345" t="str">
            <v/>
          </cell>
          <cell r="B345" t="str">
            <v>Total Provision Creditos Sin Libranza</v>
          </cell>
          <cell r="C345">
            <v>-247221320</v>
          </cell>
        </row>
        <row r="346">
          <cell r="A346" t="str">
            <v/>
          </cell>
          <cell r="B346" t="str">
            <v>Total 1498 Provision General</v>
          </cell>
          <cell r="C346">
            <v>-247221320</v>
          </cell>
        </row>
        <row r="347">
          <cell r="A347" t="str">
            <v/>
          </cell>
          <cell r="B347" t="str">
            <v>Total 14. Cartera de Créditos</v>
          </cell>
          <cell r="C347">
            <v>24335076588</v>
          </cell>
        </row>
        <row r="348">
          <cell r="A348" t="str">
            <v/>
          </cell>
          <cell r="B348" t="str">
            <v>16. Cuentas por Cobrar</v>
          </cell>
          <cell r="C348">
            <v>0</v>
          </cell>
        </row>
        <row r="349">
          <cell r="A349" t="str">
            <v/>
          </cell>
          <cell r="B349" t="str">
            <v>1605. Convenios por cobrar</v>
          </cell>
          <cell r="C349">
            <v>0</v>
          </cell>
        </row>
        <row r="350">
          <cell r="A350" t="str">
            <v/>
          </cell>
          <cell r="B350" t="str">
            <v>160535. Otros Servicios</v>
          </cell>
          <cell r="C350">
            <v>0</v>
          </cell>
        </row>
        <row r="351">
          <cell r="A351" t="str">
            <v>160535001</v>
          </cell>
          <cell r="B351" t="str">
            <v>160535001 CUENTA POR COBRAR POLIZAS</v>
          </cell>
          <cell r="C351">
            <v>542599713</v>
          </cell>
        </row>
        <row r="352">
          <cell r="A352" t="str">
            <v>160535002</v>
          </cell>
          <cell r="B352" t="str">
            <v>160535002 CUENTA POR COB ADMISIONES</v>
          </cell>
          <cell r="C352">
            <v>0</v>
          </cell>
        </row>
        <row r="353">
          <cell r="A353" t="str">
            <v>160535003</v>
          </cell>
          <cell r="B353" t="str">
            <v>160535003 CUENTA POR C .CURSOS SISTEMAS Y OTROS</v>
          </cell>
          <cell r="C353">
            <v>40053903</v>
          </cell>
        </row>
        <row r="354">
          <cell r="A354" t="str">
            <v>160535004</v>
          </cell>
          <cell r="B354" t="str">
            <v>160535004 CONVENIOS POR COBRAR</v>
          </cell>
          <cell r="C354">
            <v>161183976</v>
          </cell>
        </row>
        <row r="355">
          <cell r="A355" t="str">
            <v>160535005</v>
          </cell>
          <cell r="B355" t="str">
            <v>160535005 CUENTA LIST /PROCESOS SISTEMAS</v>
          </cell>
          <cell r="C355">
            <v>56788944</v>
          </cell>
        </row>
        <row r="356">
          <cell r="A356" t="str">
            <v>160535007</v>
          </cell>
          <cell r="B356" t="str">
            <v>160535007 CUENTA POR COB SANCIÓN ECONÓMICA</v>
          </cell>
          <cell r="C356">
            <v>-431351</v>
          </cell>
        </row>
        <row r="357">
          <cell r="A357" t="str">
            <v>160535009</v>
          </cell>
          <cell r="B357" t="str">
            <v>160535009 A CARGO DE EX ASOCIADOS DE MERCADEO Y OTRSO</v>
          </cell>
          <cell r="C357">
            <v>288363298</v>
          </cell>
        </row>
        <row r="358">
          <cell r="A358" t="str">
            <v/>
          </cell>
          <cell r="B358" t="str">
            <v>Total Otros Servicios</v>
          </cell>
          <cell r="C358">
            <v>1088558483</v>
          </cell>
        </row>
        <row r="359">
          <cell r="A359" t="str">
            <v/>
          </cell>
          <cell r="B359" t="str">
            <v>160595. Otros Convenios</v>
          </cell>
          <cell r="C359">
            <v>0</v>
          </cell>
        </row>
        <row r="360">
          <cell r="A360" t="str">
            <v>160595005</v>
          </cell>
          <cell r="B360" t="str">
            <v>160595005 CUENTA POR COBRAR VARIOS</v>
          </cell>
          <cell r="C360">
            <v>16419186</v>
          </cell>
        </row>
        <row r="361">
          <cell r="A361" t="str">
            <v>160595007</v>
          </cell>
          <cell r="B361" t="str">
            <v>160595007 CUENTA POR C.INSTITUCIONES NO ASOCIADAS</v>
          </cell>
          <cell r="C361">
            <v>144943721</v>
          </cell>
        </row>
        <row r="362">
          <cell r="A362" t="str">
            <v>160595015</v>
          </cell>
          <cell r="B362" t="str">
            <v>160595015 NEGOC.ESPECIALES.POR CUMPLIM. METAS</v>
          </cell>
          <cell r="C362">
            <v>0</v>
          </cell>
        </row>
        <row r="363">
          <cell r="A363" t="str">
            <v>160595189</v>
          </cell>
          <cell r="B363" t="str">
            <v>160595189 TRASLADO DE RECURSOS DE AYC A  CONSUMO</v>
          </cell>
          <cell r="C363">
            <v>0</v>
          </cell>
        </row>
        <row r="364">
          <cell r="A364" t="str">
            <v>160595199</v>
          </cell>
          <cell r="B364" t="str">
            <v>160595199 CUENTA  TRASLADO DE RECURSOS DE CONSUMO PARA AYC</v>
          </cell>
          <cell r="C364">
            <v>0</v>
          </cell>
        </row>
        <row r="365">
          <cell r="A365" t="str">
            <v/>
          </cell>
          <cell r="B365" t="str">
            <v>Total Otros Convenios</v>
          </cell>
          <cell r="C365">
            <v>161362907</v>
          </cell>
        </row>
        <row r="366">
          <cell r="A366" t="str">
            <v/>
          </cell>
          <cell r="B366" t="str">
            <v>Total 1605 Convenios por cobrar</v>
          </cell>
          <cell r="C366">
            <v>1249921390</v>
          </cell>
        </row>
        <row r="367">
          <cell r="A367" t="str">
            <v/>
          </cell>
          <cell r="B367" t="str">
            <v>1625. Anticipos de contratos y proveedores</v>
          </cell>
          <cell r="C367">
            <v>0</v>
          </cell>
        </row>
        <row r="368">
          <cell r="A368" t="str">
            <v/>
          </cell>
          <cell r="B368" t="str">
            <v>162505. Anticipos de contratos</v>
          </cell>
          <cell r="C368">
            <v>0</v>
          </cell>
        </row>
        <row r="369">
          <cell r="A369" t="str">
            <v>162505002</v>
          </cell>
          <cell r="B369" t="str">
            <v>162505002 ANTICIPOS DE CONTRATOS</v>
          </cell>
          <cell r="C369">
            <v>0</v>
          </cell>
        </row>
        <row r="370">
          <cell r="A370" t="str">
            <v/>
          </cell>
          <cell r="B370" t="str">
            <v>Total Anticipos de contratos</v>
          </cell>
          <cell r="C370">
            <v>0</v>
          </cell>
        </row>
        <row r="371">
          <cell r="A371" t="str">
            <v/>
          </cell>
          <cell r="B371" t="str">
            <v>162510. Proveedores</v>
          </cell>
          <cell r="C371">
            <v>0</v>
          </cell>
        </row>
        <row r="372">
          <cell r="A372" t="str">
            <v>162510001</v>
          </cell>
          <cell r="B372" t="str">
            <v>162510001 ANTICIPOS A PROVEEDORES VARIOS AYC</v>
          </cell>
          <cell r="C372">
            <v>0</v>
          </cell>
        </row>
        <row r="373">
          <cell r="A373" t="str">
            <v>162510011</v>
          </cell>
          <cell r="B373" t="str">
            <v>162510011 ANTICIPOS PROVEEDORES DE MERCANCIA Y SUMINISTROS</v>
          </cell>
          <cell r="C373">
            <v>644929083</v>
          </cell>
        </row>
        <row r="374">
          <cell r="A374" t="str">
            <v/>
          </cell>
          <cell r="B374" t="str">
            <v>Total Proveedores</v>
          </cell>
          <cell r="C374">
            <v>644929083</v>
          </cell>
        </row>
        <row r="375">
          <cell r="A375" t="str">
            <v/>
          </cell>
          <cell r="B375" t="str">
            <v>Total 1625 Ant de contratos y proveedores</v>
          </cell>
          <cell r="C375">
            <v>644929083</v>
          </cell>
        </row>
        <row r="376">
          <cell r="A376" t="str">
            <v/>
          </cell>
          <cell r="B376" t="str">
            <v>1635. Adelantos al personal</v>
          </cell>
          <cell r="C376">
            <v>0</v>
          </cell>
        </row>
        <row r="377">
          <cell r="A377" t="str">
            <v/>
          </cell>
          <cell r="B377" t="str">
            <v>163510. Gastos de Viaje</v>
          </cell>
          <cell r="C377">
            <v>0</v>
          </cell>
        </row>
        <row r="378">
          <cell r="A378" t="str">
            <v>163510001</v>
          </cell>
          <cell r="B378" t="str">
            <v>163510001 ANT. PERSONAL GASTOS DE VIAJE</v>
          </cell>
          <cell r="C378">
            <v>300000</v>
          </cell>
        </row>
        <row r="379">
          <cell r="A379" t="str">
            <v/>
          </cell>
          <cell r="B379" t="str">
            <v>Total Gastos de Viaje</v>
          </cell>
          <cell r="C379">
            <v>300000</v>
          </cell>
        </row>
        <row r="380">
          <cell r="A380" t="str">
            <v/>
          </cell>
          <cell r="B380" t="str">
            <v>163595. Otros</v>
          </cell>
          <cell r="C380">
            <v>0</v>
          </cell>
        </row>
        <row r="381">
          <cell r="A381" t="str">
            <v>163595001</v>
          </cell>
          <cell r="B381" t="str">
            <v>163595001 ADELANTOS VARIOS - EMPLEADOS</v>
          </cell>
          <cell r="C381">
            <v>14023822</v>
          </cell>
        </row>
        <row r="382">
          <cell r="A382" t="str">
            <v>163595004</v>
          </cell>
          <cell r="B382" t="str">
            <v>163595004 ANTICIPOS O CAJAS MENORES CAJA 2  PEREIRA</v>
          </cell>
          <cell r="C382">
            <v>1234020</v>
          </cell>
        </row>
        <row r="383">
          <cell r="A383" t="str">
            <v>163595005</v>
          </cell>
          <cell r="B383" t="str">
            <v>163595005 ANTICIPOS A CAJAS MENORES CAJA 3 BQUILLA</v>
          </cell>
          <cell r="C383">
            <v>1667366</v>
          </cell>
        </row>
        <row r="384">
          <cell r="A384" t="str">
            <v>163595006</v>
          </cell>
          <cell r="B384" t="str">
            <v>163595006 ANTICIPOS A CAJAS MENORES CAJA 4 BOGOTA</v>
          </cell>
          <cell r="C384">
            <v>3496690</v>
          </cell>
        </row>
        <row r="385">
          <cell r="A385" t="str">
            <v>163595007</v>
          </cell>
          <cell r="B385" t="str">
            <v>163595007 ANTICIPOS A CAJAS MENORES CAJA 5  MEDELLIN</v>
          </cell>
          <cell r="C385">
            <v>3732225</v>
          </cell>
        </row>
        <row r="386">
          <cell r="A386" t="str">
            <v>163595008</v>
          </cell>
          <cell r="B386" t="str">
            <v>163595008 ANTICIPOS VARIOS PARA VALES PROVISIONALES</v>
          </cell>
          <cell r="C386">
            <v>-38412</v>
          </cell>
        </row>
        <row r="387">
          <cell r="A387" t="str">
            <v>163595009</v>
          </cell>
          <cell r="B387" t="str">
            <v>163595009 ANTICIPOS A CAJAS MENORES CAJA 6 B/MANGA</v>
          </cell>
          <cell r="C387">
            <v>0</v>
          </cell>
        </row>
        <row r="388">
          <cell r="A388" t="str">
            <v>163595010</v>
          </cell>
          <cell r="B388" t="str">
            <v>163595010 ANTICIPOS A CAJAS MENORES CAJA 7 CALI</v>
          </cell>
          <cell r="C388">
            <v>1667785</v>
          </cell>
        </row>
        <row r="389">
          <cell r="A389" t="str">
            <v/>
          </cell>
          <cell r="B389" t="str">
            <v>Total Otros</v>
          </cell>
          <cell r="C389">
            <v>25783496</v>
          </cell>
        </row>
        <row r="390">
          <cell r="A390" t="str">
            <v/>
          </cell>
          <cell r="B390" t="str">
            <v>Total 1635 Adelantos al personal</v>
          </cell>
          <cell r="C390">
            <v>26083496</v>
          </cell>
        </row>
        <row r="391">
          <cell r="A391" t="str">
            <v/>
          </cell>
          <cell r="B391" t="str">
            <v>1645. Deudores cartera por venta de bienes</v>
          </cell>
          <cell r="C391">
            <v>0</v>
          </cell>
        </row>
        <row r="392">
          <cell r="A392" t="str">
            <v/>
          </cell>
          <cell r="B392" t="str">
            <v>164502. Cartera por venta de bienes</v>
          </cell>
          <cell r="C392">
            <v>0</v>
          </cell>
        </row>
        <row r="393">
          <cell r="A393" t="str">
            <v>164502001</v>
          </cell>
          <cell r="B393" t="str">
            <v>164502001 SUMINISTRO DE MERCANCÍA REGIONAL BOGOTA</v>
          </cell>
          <cell r="C393">
            <v>18713587430</v>
          </cell>
        </row>
        <row r="394">
          <cell r="A394" t="str">
            <v>164502002</v>
          </cell>
          <cell r="B394" t="str">
            <v>164502002 SUMINISTRO DE MERCANCÍA REGIONAL PEREIRA</v>
          </cell>
          <cell r="C394">
            <v>2667109455</v>
          </cell>
        </row>
        <row r="395">
          <cell r="A395" t="str">
            <v>164502003</v>
          </cell>
          <cell r="B395" t="str">
            <v>164502003 SUMINISTRO DE MERCANCÍA REGIONAL B/QUILLA</v>
          </cell>
          <cell r="C395">
            <v>3825429023</v>
          </cell>
        </row>
        <row r="396">
          <cell r="A396" t="str">
            <v>164502005</v>
          </cell>
          <cell r="B396" t="str">
            <v>164502005 SUMINISTRO DE MERCANCÍA REGIONAL MEDELLIN</v>
          </cell>
          <cell r="C396">
            <v>2726340329</v>
          </cell>
        </row>
        <row r="397">
          <cell r="A397" t="str">
            <v>164502006</v>
          </cell>
          <cell r="B397" t="str">
            <v>164502006 SUMINISTRO DE MERCANCÍA REGIONAL CALI</v>
          </cell>
          <cell r="C397">
            <v>2773707192</v>
          </cell>
        </row>
        <row r="398">
          <cell r="A398" t="str">
            <v>164502010</v>
          </cell>
          <cell r="B398" t="str">
            <v>164502010 DESCUENTOS PERDIDOS</v>
          </cell>
          <cell r="C398">
            <v>13254164</v>
          </cell>
        </row>
        <row r="399">
          <cell r="A399" t="str">
            <v>164502012</v>
          </cell>
          <cell r="B399" t="str">
            <v>164502012 CHEQUES DEVUELTOS CMO</v>
          </cell>
          <cell r="C399">
            <v>1643885</v>
          </cell>
        </row>
        <row r="400">
          <cell r="A400" t="str">
            <v>164502013</v>
          </cell>
          <cell r="B400" t="str">
            <v>164502013 REMESAS DE MERCANCÍA CMO</v>
          </cell>
          <cell r="C400">
            <v>56619655</v>
          </cell>
        </row>
        <row r="401">
          <cell r="A401" t="str">
            <v>164502098</v>
          </cell>
          <cell r="B401" t="str">
            <v>164502098 CARTERA DE PRESENTACION CARTERA VENCIDA</v>
          </cell>
          <cell r="C401">
            <v>-112489739</v>
          </cell>
        </row>
        <row r="402">
          <cell r="A402" t="str">
            <v/>
          </cell>
          <cell r="B402" t="str">
            <v>Total Cartera por venta de bienes</v>
          </cell>
          <cell r="C402">
            <v>30665201394</v>
          </cell>
        </row>
        <row r="403">
          <cell r="A403" t="str">
            <v/>
          </cell>
          <cell r="B403" t="str">
            <v>164505. Cartera Vencida entre 91 y 180 dias</v>
          </cell>
          <cell r="C403">
            <v>0</v>
          </cell>
        </row>
        <row r="404">
          <cell r="A404" t="str">
            <v>164505001</v>
          </cell>
          <cell r="B404" t="str">
            <v>164505001 CARTERA VENCIDA ENTRE 91 Y 180 DIAS</v>
          </cell>
          <cell r="C404">
            <v>96031886</v>
          </cell>
        </row>
        <row r="405">
          <cell r="A405" t="str">
            <v/>
          </cell>
          <cell r="B405" t="str">
            <v>Total  Cartera Vencida entre 91 y 180 dias</v>
          </cell>
          <cell r="C405">
            <v>96031886</v>
          </cell>
        </row>
        <row r="406">
          <cell r="A406" t="str">
            <v/>
          </cell>
          <cell r="B406" t="str">
            <v>164510. Cartera Vencida entre 181 y 360 dias</v>
          </cell>
          <cell r="C406">
            <v>0</v>
          </cell>
        </row>
        <row r="407">
          <cell r="A407" t="str">
            <v>164510001</v>
          </cell>
          <cell r="B407" t="str">
            <v>164510001 CARTERA VENCIDA ENTRE 181 Y 360 DIAS</v>
          </cell>
          <cell r="C407">
            <v>16457853</v>
          </cell>
        </row>
        <row r="408">
          <cell r="A408" t="str">
            <v/>
          </cell>
          <cell r="B408" t="str">
            <v>Total Cartera Vencida entre 181 y 360 dias</v>
          </cell>
          <cell r="C408">
            <v>16457853</v>
          </cell>
        </row>
        <row r="409">
          <cell r="A409" t="str">
            <v/>
          </cell>
          <cell r="B409" t="str">
            <v>Total 1645 Deudores cartera por vta de bienes</v>
          </cell>
          <cell r="C409">
            <v>30777691133</v>
          </cell>
        </row>
        <row r="410">
          <cell r="A410" t="str">
            <v/>
          </cell>
          <cell r="B410" t="str">
            <v>1657. Intereses vigentes Bienes</v>
          </cell>
          <cell r="C410">
            <v>0</v>
          </cell>
        </row>
        <row r="411">
          <cell r="A411" t="str">
            <v/>
          </cell>
          <cell r="B411" t="str">
            <v>165701. Intereses vigentes</v>
          </cell>
          <cell r="C411">
            <v>0</v>
          </cell>
        </row>
        <row r="412">
          <cell r="A412" t="str">
            <v>165701001</v>
          </cell>
          <cell r="B412" t="str">
            <v>165701001 INTERESES DE MORA</v>
          </cell>
          <cell r="C412">
            <v>28288123</v>
          </cell>
        </row>
        <row r="413">
          <cell r="A413" t="str">
            <v/>
          </cell>
          <cell r="B413" t="str">
            <v>Total  Intereses vigentes</v>
          </cell>
          <cell r="C413">
            <v>28288123</v>
          </cell>
        </row>
        <row r="414">
          <cell r="A414" t="str">
            <v/>
          </cell>
          <cell r="B414" t="str">
            <v>Total 1657 Intereses vigentes Bienes</v>
          </cell>
          <cell r="C414">
            <v>28288123</v>
          </cell>
        </row>
        <row r="415">
          <cell r="A415" t="str">
            <v/>
          </cell>
          <cell r="B415" t="str">
            <v>1655. Intereses</v>
          </cell>
          <cell r="C415">
            <v>0</v>
          </cell>
        </row>
        <row r="416">
          <cell r="A416" t="str">
            <v/>
          </cell>
          <cell r="B416" t="str">
            <v>165518. Categoria A riesgo normal consumo</v>
          </cell>
          <cell r="C416">
            <v>0</v>
          </cell>
        </row>
        <row r="417">
          <cell r="A417" t="str">
            <v>165518001</v>
          </cell>
          <cell r="B417" t="str">
            <v>165518001 INT.CTE CATEGORIA A RIESGO NORMAL CMO AYC</v>
          </cell>
          <cell r="C417">
            <v>149698252</v>
          </cell>
        </row>
        <row r="418">
          <cell r="A418" t="str">
            <v>165518002</v>
          </cell>
          <cell r="B418" t="str">
            <v>165518002 INT.MORA CATEGORIA A RIESGO NORMAL CMO AYC</v>
          </cell>
          <cell r="C418">
            <v>179407</v>
          </cell>
        </row>
        <row r="419">
          <cell r="A419" t="str">
            <v/>
          </cell>
          <cell r="B419" t="str">
            <v>Total Categoria A riesgo normal consumo</v>
          </cell>
          <cell r="C419">
            <v>149877659</v>
          </cell>
        </row>
        <row r="420">
          <cell r="A420" t="str">
            <v/>
          </cell>
          <cell r="B420" t="str">
            <v>165522. Categoria B riesgo aceptable consumo</v>
          </cell>
          <cell r="C420">
            <v>0</v>
          </cell>
        </row>
        <row r="421">
          <cell r="A421" t="str">
            <v>165522001</v>
          </cell>
          <cell r="B421" t="str">
            <v>165522001 INT.CTE CATEGORIA B RIESGO ACEPTABLE CMO AYC</v>
          </cell>
          <cell r="C421">
            <v>3119615</v>
          </cell>
        </row>
        <row r="422">
          <cell r="A422" t="str">
            <v>165522002</v>
          </cell>
          <cell r="B422" t="str">
            <v>165522002 INT.MOR CATEGORIA B RIESGO ACEPTABLE CMO AYC</v>
          </cell>
          <cell r="C422">
            <v>145995</v>
          </cell>
        </row>
        <row r="423">
          <cell r="A423" t="str">
            <v/>
          </cell>
          <cell r="B423" t="str">
            <v>Total Categoria B riesgo aceptable consumo</v>
          </cell>
          <cell r="C423">
            <v>3265610</v>
          </cell>
        </row>
        <row r="424">
          <cell r="A424" t="str">
            <v/>
          </cell>
          <cell r="B424" t="str">
            <v>165524. Categoria C riesgo apreciable consumo</v>
          </cell>
          <cell r="C424">
            <v>0</v>
          </cell>
        </row>
        <row r="425">
          <cell r="A425" t="str">
            <v>165524001</v>
          </cell>
          <cell r="B425" t="str">
            <v>165524001 INT.CTE CATEGORIA C RIESGO APRECIABLE CMO AYC</v>
          </cell>
          <cell r="C425">
            <v>5003489</v>
          </cell>
        </row>
        <row r="426">
          <cell r="A426" t="str">
            <v>165524002</v>
          </cell>
          <cell r="B426" t="str">
            <v>165524002 INT.MOR.CATEGORIA C RIESGO APRECIABLE CMO AYC</v>
          </cell>
          <cell r="C426">
            <v>300466</v>
          </cell>
        </row>
        <row r="427">
          <cell r="A427" t="str">
            <v/>
          </cell>
          <cell r="B427" t="str">
            <v>Total Categoria C riesgo apreciable consumo</v>
          </cell>
          <cell r="C427">
            <v>5303955</v>
          </cell>
        </row>
        <row r="428">
          <cell r="A428" t="str">
            <v/>
          </cell>
          <cell r="B428" t="str">
            <v>165526. Categoria D riesgo significativo cmo</v>
          </cell>
          <cell r="C428">
            <v>0</v>
          </cell>
        </row>
        <row r="429">
          <cell r="A429" t="str">
            <v>165526001</v>
          </cell>
          <cell r="B429" t="str">
            <v>165526001 INT.CTE CATEGORIA D RIESGO SIGNIFICATIV CMO AYC</v>
          </cell>
          <cell r="C429">
            <v>2067407</v>
          </cell>
        </row>
        <row r="430">
          <cell r="A430" t="str">
            <v>165526002</v>
          </cell>
          <cell r="B430" t="str">
            <v>165526002 INT.MOR.CATEGORIA D RIESGO SIGNIFICAT. CMO AYCC</v>
          </cell>
          <cell r="C430">
            <v>91502</v>
          </cell>
        </row>
        <row r="431">
          <cell r="A431" t="str">
            <v/>
          </cell>
          <cell r="B431" t="str">
            <v>Total Categoria D riesgo significativo cmo</v>
          </cell>
          <cell r="C431">
            <v>2158909</v>
          </cell>
        </row>
        <row r="432">
          <cell r="A432" t="str">
            <v/>
          </cell>
          <cell r="B432" t="str">
            <v>165528. Categoria E riesgo de incobrabilidad</v>
          </cell>
          <cell r="C432">
            <v>0</v>
          </cell>
        </row>
        <row r="433">
          <cell r="A433" t="str">
            <v>165528001</v>
          </cell>
          <cell r="B433" t="str">
            <v>165528001 INT.CTE CATEGORIA E RIESGO DE INCOBRA CMO AYCYC</v>
          </cell>
          <cell r="C433">
            <v>5773342</v>
          </cell>
        </row>
        <row r="434">
          <cell r="A434" t="str">
            <v>165528002</v>
          </cell>
          <cell r="B434" t="str">
            <v>165528002 INT.MOR.CATEGORIA E RIESGO DE INCOB. CMO AYCCYC</v>
          </cell>
          <cell r="C434">
            <v>554457</v>
          </cell>
        </row>
        <row r="435">
          <cell r="A435" t="str">
            <v/>
          </cell>
          <cell r="B435" t="str">
            <v>Total Categoria E riesgo de incobrabilidad</v>
          </cell>
          <cell r="C435">
            <v>6327799</v>
          </cell>
        </row>
        <row r="436">
          <cell r="A436" t="str">
            <v/>
          </cell>
          <cell r="B436" t="str">
            <v>165542. Categoria A riesgo normal Comercial</v>
          </cell>
          <cell r="C436">
            <v>0</v>
          </cell>
        </row>
        <row r="437">
          <cell r="A437" t="str">
            <v>165542001</v>
          </cell>
          <cell r="B437" t="str">
            <v>165542001 INTER.CTE -CATEGORIA A NORMAL AYC</v>
          </cell>
          <cell r="C437">
            <v>34390708</v>
          </cell>
        </row>
        <row r="438">
          <cell r="A438" t="str">
            <v>165542002</v>
          </cell>
          <cell r="B438" t="str">
            <v>165542002 INTER.MORA -CATEGORIA A NORMAL COMERCIAL AYC</v>
          </cell>
          <cell r="C438">
            <v>57635</v>
          </cell>
        </row>
        <row r="439">
          <cell r="A439" t="str">
            <v/>
          </cell>
          <cell r="B439" t="str">
            <v>Total  Categoria A riesgo normal Comercial</v>
          </cell>
          <cell r="C439">
            <v>34448343</v>
          </cell>
        </row>
        <row r="440">
          <cell r="A440" t="str">
            <v/>
          </cell>
          <cell r="B440" t="str">
            <v>165544. Categoria B riesgo aceptable, comerc</v>
          </cell>
          <cell r="C440">
            <v>0</v>
          </cell>
        </row>
        <row r="441">
          <cell r="A441" t="str">
            <v>165544001</v>
          </cell>
          <cell r="B441" t="str">
            <v>165544001 INTER.CTE -CATEGORIA B RIESGO ACEPTABLE COME AYC</v>
          </cell>
          <cell r="C441">
            <v>106100</v>
          </cell>
        </row>
        <row r="442">
          <cell r="A442" t="str">
            <v>165544002</v>
          </cell>
          <cell r="B442" t="str">
            <v>165544002 INTER.MORA -CATEGORIA B RIESGO ACEPTABLE COME AYC</v>
          </cell>
          <cell r="C442">
            <v>9900</v>
          </cell>
        </row>
        <row r="443">
          <cell r="A443" t="str">
            <v/>
          </cell>
          <cell r="B443" t="str">
            <v>Total. Categoria B riesgo aceptable, comerc</v>
          </cell>
          <cell r="C443">
            <v>116000</v>
          </cell>
        </row>
        <row r="444">
          <cell r="A444" t="str">
            <v/>
          </cell>
          <cell r="B444" t="str">
            <v>165546. Categoria C riesgo apreciable Comerc</v>
          </cell>
          <cell r="C444">
            <v>0</v>
          </cell>
        </row>
        <row r="445">
          <cell r="A445" t="str">
            <v>165546001</v>
          </cell>
          <cell r="B445" t="str">
            <v>165546001 INTER.CTE -CATEGORIA C RIESGO   AYC</v>
          </cell>
          <cell r="C445">
            <v>0</v>
          </cell>
        </row>
        <row r="446">
          <cell r="A446" t="str">
            <v>165546002</v>
          </cell>
          <cell r="B446" t="str">
            <v>165546002 INTER.MORA -CATEGORIA C RIESGO   AYC</v>
          </cell>
          <cell r="C446">
            <v>0</v>
          </cell>
        </row>
        <row r="447">
          <cell r="A447" t="str">
            <v/>
          </cell>
          <cell r="B447" t="str">
            <v>Total Categoria C riesgo apreciable Comerc</v>
          </cell>
          <cell r="C447">
            <v>0</v>
          </cell>
        </row>
        <row r="448">
          <cell r="A448" t="str">
            <v/>
          </cell>
          <cell r="B448" t="str">
            <v>165548. Categoria D riesgo Significactivo com</v>
          </cell>
          <cell r="C448">
            <v>0</v>
          </cell>
        </row>
        <row r="449">
          <cell r="A449" t="str">
            <v>165548001</v>
          </cell>
          <cell r="B449" t="str">
            <v>165548001 INT.CTE.CATEGORIA D RIESGO AYC</v>
          </cell>
          <cell r="C449">
            <v>0</v>
          </cell>
        </row>
        <row r="450">
          <cell r="A450" t="str">
            <v>165548002</v>
          </cell>
          <cell r="B450" t="str">
            <v>165548002 INTER.MORA -CATEGORIA D RIESGO   AYC</v>
          </cell>
          <cell r="C450">
            <v>0</v>
          </cell>
        </row>
        <row r="451">
          <cell r="A451" t="str">
            <v/>
          </cell>
          <cell r="B451" t="str">
            <v>Total Categoria D riesgo Significactivo com</v>
          </cell>
          <cell r="C451">
            <v>0</v>
          </cell>
        </row>
        <row r="452">
          <cell r="A452" t="str">
            <v/>
          </cell>
          <cell r="B452" t="str">
            <v>165549. Categoria E riesgo De Incobrabilidad</v>
          </cell>
          <cell r="C452">
            <v>0</v>
          </cell>
        </row>
        <row r="453">
          <cell r="A453" t="str">
            <v>165549001</v>
          </cell>
          <cell r="B453" t="str">
            <v>165549001 INTER.CTE -CATEGORIA E RIESGO AYC</v>
          </cell>
          <cell r="C453">
            <v>1018686</v>
          </cell>
        </row>
        <row r="454">
          <cell r="A454" t="str">
            <v>165549002</v>
          </cell>
          <cell r="B454" t="str">
            <v>165549002 INTER.MORA -CATEGORIA E RIESGO AYC</v>
          </cell>
          <cell r="C454">
            <v>80121</v>
          </cell>
        </row>
        <row r="455">
          <cell r="A455" t="str">
            <v/>
          </cell>
          <cell r="B455" t="str">
            <v>Total Categoria E riesgo De Incobrabilidad</v>
          </cell>
          <cell r="C455">
            <v>1098807</v>
          </cell>
        </row>
        <row r="456">
          <cell r="A456" t="str">
            <v/>
          </cell>
          <cell r="B456" t="str">
            <v>Total 1655 Intereses</v>
          </cell>
          <cell r="C456">
            <v>202597082</v>
          </cell>
        </row>
        <row r="457">
          <cell r="A457" t="str">
            <v/>
          </cell>
          <cell r="B457" t="str">
            <v>1660. Ingresos por cobrar</v>
          </cell>
          <cell r="C457">
            <v>0</v>
          </cell>
        </row>
        <row r="458">
          <cell r="A458" t="str">
            <v/>
          </cell>
          <cell r="B458" t="str">
            <v>166095. Otras</v>
          </cell>
          <cell r="C458">
            <v>0</v>
          </cell>
        </row>
        <row r="459">
          <cell r="A459" t="str">
            <v>166095001</v>
          </cell>
          <cell r="B459" t="str">
            <v>166095001 INGRESOS POR C. POR COMISIONES POLIZAS</v>
          </cell>
          <cell r="C459">
            <v>96151359</v>
          </cell>
        </row>
        <row r="460">
          <cell r="A460" t="str">
            <v>166095002</v>
          </cell>
          <cell r="B460" t="str">
            <v>166095002 INGRESOS POR C.RENDIMIENTOS INVERSIONES AYC</v>
          </cell>
          <cell r="C460">
            <v>0</v>
          </cell>
        </row>
        <row r="461">
          <cell r="A461" t="str">
            <v>166095003</v>
          </cell>
          <cell r="B461" t="str">
            <v>166095003 OTRAS CUENTAS POR COBRAR AYC</v>
          </cell>
          <cell r="C461">
            <v>0</v>
          </cell>
        </row>
        <row r="462">
          <cell r="A462" t="str">
            <v>166095004</v>
          </cell>
          <cell r="B462" t="str">
            <v>166095004 CHEQUES DEVUELTOS AYC</v>
          </cell>
          <cell r="C462">
            <v>1561177</v>
          </cell>
        </row>
        <row r="463">
          <cell r="A463" t="str">
            <v/>
          </cell>
          <cell r="B463" t="str">
            <v>Total Otras</v>
          </cell>
          <cell r="C463">
            <v>97712536</v>
          </cell>
        </row>
        <row r="464">
          <cell r="A464" t="str">
            <v/>
          </cell>
          <cell r="B464" t="str">
            <v>Total 1660 Ingresos por cobrar</v>
          </cell>
          <cell r="C464">
            <v>97712536</v>
          </cell>
        </row>
        <row r="465">
          <cell r="A465" t="str">
            <v/>
          </cell>
          <cell r="B465" t="str">
            <v>1675. Anticipos de Impuestos</v>
          </cell>
          <cell r="C465">
            <v>0</v>
          </cell>
        </row>
        <row r="466">
          <cell r="A466" t="str">
            <v/>
          </cell>
          <cell r="B466" t="str">
            <v>167510. Industria y Comercio</v>
          </cell>
          <cell r="C466">
            <v>0</v>
          </cell>
        </row>
        <row r="467">
          <cell r="A467" t="str">
            <v>167510001</v>
          </cell>
          <cell r="B467" t="str">
            <v>167510001 ANTICIPOS IND. Y COMERCIO BARRANQUILLA</v>
          </cell>
          <cell r="C467">
            <v>68884100</v>
          </cell>
        </row>
        <row r="468">
          <cell r="A468" t="str">
            <v/>
          </cell>
          <cell r="B468" t="str">
            <v>Total Industria y Comercio</v>
          </cell>
          <cell r="C468">
            <v>68884100</v>
          </cell>
        </row>
        <row r="469">
          <cell r="A469" t="str">
            <v/>
          </cell>
          <cell r="B469" t="str">
            <v>167515. Retencion en la Fuente</v>
          </cell>
          <cell r="C469">
            <v>0</v>
          </cell>
        </row>
        <row r="470">
          <cell r="A470" t="str">
            <v>167515001</v>
          </cell>
          <cell r="B470" t="str">
            <v>167515001 ANTICIPOS RETENCIÓN EN LA FUENTE       7% AYC</v>
          </cell>
          <cell r="C470">
            <v>105880115</v>
          </cell>
        </row>
        <row r="471">
          <cell r="A471" t="str">
            <v>167515002</v>
          </cell>
          <cell r="B471" t="str">
            <v>167515002 ANTICIPOS RETENCIÓN EN LA FUENTE       7% CMO</v>
          </cell>
          <cell r="C471">
            <v>94039350</v>
          </cell>
        </row>
        <row r="472">
          <cell r="A472" t="str">
            <v/>
          </cell>
          <cell r="B472" t="str">
            <v>Total Retencion en la Fuente</v>
          </cell>
          <cell r="C472">
            <v>199919465</v>
          </cell>
        </row>
        <row r="473">
          <cell r="A473" t="str">
            <v/>
          </cell>
          <cell r="B473" t="str">
            <v>167545. Impuestos Descontables</v>
          </cell>
          <cell r="C473">
            <v>0</v>
          </cell>
        </row>
        <row r="474">
          <cell r="A474" t="str">
            <v>167545001</v>
          </cell>
          <cell r="B474" t="str">
            <v>167545001 ANTICIPOS IVA POR PAGAR -DEBITO</v>
          </cell>
          <cell r="C474">
            <v>0</v>
          </cell>
        </row>
        <row r="475">
          <cell r="A475" t="str">
            <v/>
          </cell>
          <cell r="B475" t="str">
            <v>Total Impuestos Descontables</v>
          </cell>
          <cell r="C475">
            <v>0</v>
          </cell>
        </row>
        <row r="476">
          <cell r="A476" t="str">
            <v/>
          </cell>
          <cell r="B476" t="str">
            <v>Total 1675 Anticipos de Impuestos</v>
          </cell>
          <cell r="C476">
            <v>268803565</v>
          </cell>
        </row>
        <row r="477">
          <cell r="A477" t="str">
            <v/>
          </cell>
          <cell r="B477" t="str">
            <v>1690. Otras cuentas por cobrar</v>
          </cell>
          <cell r="C477">
            <v>0</v>
          </cell>
        </row>
        <row r="478">
          <cell r="A478" t="str">
            <v/>
          </cell>
          <cell r="B478" t="str">
            <v>169010. Reclamos a compañias aseguradoras</v>
          </cell>
          <cell r="C478">
            <v>0</v>
          </cell>
        </row>
        <row r="479">
          <cell r="A479" t="str">
            <v>169010000</v>
          </cell>
          <cell r="B479" t="str">
            <v>169010000 RESPONSABILIDADES PENDIENTES</v>
          </cell>
          <cell r="C479">
            <v>0</v>
          </cell>
        </row>
        <row r="480">
          <cell r="A480" t="str">
            <v>169010001</v>
          </cell>
          <cell r="B480" t="str">
            <v>169010001 OTRAS CUENTAS POR COBRAR SEGUROS</v>
          </cell>
          <cell r="C480">
            <v>0</v>
          </cell>
        </row>
        <row r="481">
          <cell r="A481" t="str">
            <v/>
          </cell>
          <cell r="B481" t="str">
            <v>Total Reclamos a compañias aseguradoras</v>
          </cell>
          <cell r="C481">
            <v>0</v>
          </cell>
        </row>
        <row r="482">
          <cell r="A482" t="str">
            <v/>
          </cell>
          <cell r="B482" t="str">
            <v>169095. Otras</v>
          </cell>
          <cell r="C482">
            <v>0</v>
          </cell>
        </row>
        <row r="483">
          <cell r="A483" t="str">
            <v>169095002</v>
          </cell>
          <cell r="B483" t="str">
            <v>169095002 EXASOCIADOS AYC</v>
          </cell>
          <cell r="C483">
            <v>0</v>
          </cell>
        </row>
        <row r="484">
          <cell r="A484" t="str">
            <v>169095003</v>
          </cell>
          <cell r="B484" t="str">
            <v>169095003 CATEGORIA B CREDITO ACEPTABLE INTERESES AYC</v>
          </cell>
          <cell r="C484">
            <v>15479146</v>
          </cell>
        </row>
        <row r="485">
          <cell r="A485" t="str">
            <v>169095005</v>
          </cell>
          <cell r="B485" t="str">
            <v>169095005 OTRAS AYC</v>
          </cell>
          <cell r="C485">
            <v>0</v>
          </cell>
        </row>
        <row r="486">
          <cell r="A486" t="str">
            <v/>
          </cell>
          <cell r="B486" t="str">
            <v>Total Otras</v>
          </cell>
          <cell r="C486">
            <v>15479146</v>
          </cell>
        </row>
        <row r="487">
          <cell r="A487" t="str">
            <v/>
          </cell>
          <cell r="B487" t="str">
            <v>Total 1690 Otras cuentas por cobrar</v>
          </cell>
          <cell r="C487">
            <v>15479146</v>
          </cell>
        </row>
        <row r="488">
          <cell r="A488" t="str">
            <v/>
          </cell>
          <cell r="B488" t="str">
            <v>1691. Provision deudores venta de bienes y se</v>
          </cell>
          <cell r="C488">
            <v>0</v>
          </cell>
        </row>
        <row r="489">
          <cell r="A489" t="str">
            <v/>
          </cell>
          <cell r="B489" t="str">
            <v>169106. Deudores por venta de bienes</v>
          </cell>
          <cell r="C489">
            <v>0</v>
          </cell>
        </row>
        <row r="490">
          <cell r="A490" t="str">
            <v>169106001</v>
          </cell>
          <cell r="B490" t="str">
            <v>169106001 PROVISION DE CARTERA POR VENTA DE BIENES Y SERVCIO</v>
          </cell>
          <cell r="C490">
            <v>-64473796</v>
          </cell>
        </row>
        <row r="491">
          <cell r="A491" t="str">
            <v/>
          </cell>
          <cell r="B491" t="str">
            <v>Total Deudores por venta de bienes</v>
          </cell>
          <cell r="C491">
            <v>-64473796</v>
          </cell>
        </row>
        <row r="492">
          <cell r="A492" t="str">
            <v/>
          </cell>
          <cell r="B492" t="str">
            <v>Total 1691 Prov deudores venta de bienes y se</v>
          </cell>
          <cell r="C492">
            <v>-64473796</v>
          </cell>
        </row>
        <row r="493">
          <cell r="A493" t="str">
            <v/>
          </cell>
          <cell r="B493" t="str">
            <v>1694. Provision cuentas por cobrar comercial</v>
          </cell>
          <cell r="C493">
            <v>0</v>
          </cell>
        </row>
        <row r="494">
          <cell r="A494" t="str">
            <v/>
          </cell>
          <cell r="B494" t="str">
            <v>169453. Categoria B -Crédito Aceptable Int</v>
          </cell>
          <cell r="C494">
            <v>0</v>
          </cell>
        </row>
        <row r="495">
          <cell r="A495" t="str">
            <v>169453001</v>
          </cell>
          <cell r="B495" t="str">
            <v>169453001 CATEGORIA B CREDITO NORMAL</v>
          </cell>
          <cell r="C495">
            <v>-106100</v>
          </cell>
        </row>
        <row r="496">
          <cell r="A496" t="str">
            <v>169453002</v>
          </cell>
          <cell r="B496" t="str">
            <v>169453002 CATEGORIA B CREDITO NORMAL</v>
          </cell>
          <cell r="C496">
            <v>-9900</v>
          </cell>
        </row>
        <row r="497">
          <cell r="A497" t="str">
            <v/>
          </cell>
          <cell r="B497" t="str">
            <v>Total Categoria B -Crédito Aceptable Int</v>
          </cell>
          <cell r="C497">
            <v>-116000</v>
          </cell>
        </row>
        <row r="498">
          <cell r="A498" t="str">
            <v/>
          </cell>
          <cell r="B498" t="str">
            <v>169454. Categoria C Credito Apreciable,inter</v>
          </cell>
          <cell r="C498">
            <v>0</v>
          </cell>
        </row>
        <row r="499">
          <cell r="A499" t="str">
            <v>169454001</v>
          </cell>
          <cell r="B499" t="str">
            <v>169454001 TOTAL CATEGORIA C CREDITO AYC</v>
          </cell>
          <cell r="C499">
            <v>0</v>
          </cell>
        </row>
        <row r="500">
          <cell r="A500" t="str">
            <v>169454002</v>
          </cell>
          <cell r="B500" t="str">
            <v>169454002 TOTAL CATEGORIA C CREDITO MORA AYC</v>
          </cell>
          <cell r="C500">
            <v>0</v>
          </cell>
        </row>
        <row r="501">
          <cell r="A501" t="str">
            <v/>
          </cell>
          <cell r="B501" t="str">
            <v>Total Categoria C Credito Apreciable,inter</v>
          </cell>
          <cell r="C501">
            <v>0</v>
          </cell>
        </row>
        <row r="502">
          <cell r="A502" t="str">
            <v/>
          </cell>
          <cell r="B502" t="str">
            <v>169456. Categoria D Credito Significativo,int</v>
          </cell>
          <cell r="C502">
            <v>0</v>
          </cell>
        </row>
        <row r="503">
          <cell r="A503" t="str">
            <v>169456001</v>
          </cell>
          <cell r="B503" t="str">
            <v>169456001 TOTAL CATEGORIA D CREDITO AYC</v>
          </cell>
          <cell r="C503">
            <v>0</v>
          </cell>
        </row>
        <row r="504">
          <cell r="A504" t="str">
            <v>169456002</v>
          </cell>
          <cell r="B504" t="str">
            <v>169456002 TOTAL CATEGORIA D CREDITO MORA AYC</v>
          </cell>
          <cell r="C504">
            <v>0</v>
          </cell>
        </row>
        <row r="505">
          <cell r="A505" t="str">
            <v/>
          </cell>
          <cell r="B505" t="str">
            <v>Total. Categoria D Credito Significativo,int</v>
          </cell>
          <cell r="C505">
            <v>0</v>
          </cell>
        </row>
        <row r="506">
          <cell r="A506" t="str">
            <v>169457001</v>
          </cell>
          <cell r="B506" t="str">
            <v>169457001 TOTAL CATEGORIA E CREDITO AYC</v>
          </cell>
          <cell r="C506">
            <v>-1018686</v>
          </cell>
        </row>
        <row r="507">
          <cell r="A507" t="str">
            <v>169457002</v>
          </cell>
          <cell r="B507" t="str">
            <v>169457002 CATEGORIA D CREDITO SIGNIFICATIVA AYC</v>
          </cell>
          <cell r="C507">
            <v>-80121</v>
          </cell>
        </row>
        <row r="508">
          <cell r="A508" t="str">
            <v/>
          </cell>
          <cell r="B508" t="str">
            <v/>
          </cell>
          <cell r="C508">
            <v>-1098807</v>
          </cell>
        </row>
        <row r="509">
          <cell r="A509" t="str">
            <v/>
          </cell>
          <cell r="B509" t="str">
            <v>Total 1694 Prov cuentas por cobrar comercial</v>
          </cell>
          <cell r="C509">
            <v>-1214807</v>
          </cell>
        </row>
        <row r="510">
          <cell r="A510" t="str">
            <v/>
          </cell>
          <cell r="B510" t="str">
            <v>1696. Provision cuentas por cobrar de consumo</v>
          </cell>
          <cell r="C510">
            <v>0</v>
          </cell>
        </row>
        <row r="511">
          <cell r="A511" t="str">
            <v/>
          </cell>
          <cell r="B511" t="str">
            <v>169653. Categoria B credito aceptable inter.</v>
          </cell>
          <cell r="C511">
            <v>0</v>
          </cell>
        </row>
        <row r="512">
          <cell r="A512" t="str">
            <v>169653001</v>
          </cell>
          <cell r="B512" t="str">
            <v>169653001 ASEGURADORA SOLIDARIA AYC</v>
          </cell>
          <cell r="C512">
            <v>-3119615</v>
          </cell>
        </row>
        <row r="513">
          <cell r="A513" t="str">
            <v>169653002</v>
          </cell>
          <cell r="B513" t="str">
            <v>169653002 INTERESES MORA CATEGORIA  B</v>
          </cell>
          <cell r="C513">
            <v>-145995</v>
          </cell>
        </row>
        <row r="514">
          <cell r="A514" t="str">
            <v/>
          </cell>
          <cell r="B514" t="str">
            <v>Total Categoria B credito aceptable inter.</v>
          </cell>
          <cell r="C514">
            <v>-3265610</v>
          </cell>
        </row>
        <row r="515">
          <cell r="A515" t="str">
            <v/>
          </cell>
          <cell r="B515" t="str">
            <v>169654. Categoria C credito apreciable inter</v>
          </cell>
          <cell r="C515">
            <v>0</v>
          </cell>
        </row>
        <row r="516">
          <cell r="A516" t="str">
            <v>169654001</v>
          </cell>
          <cell r="B516" t="str">
            <v>169654001 CATEGORIA C CREDITO ACEPTABLE INTERESES AYC</v>
          </cell>
          <cell r="C516">
            <v>-5003489</v>
          </cell>
        </row>
        <row r="517">
          <cell r="A517" t="str">
            <v>169654002</v>
          </cell>
          <cell r="B517" t="str">
            <v>169654002 CATEGORIA C CREDITO ACEPTABLE INTERESES MORA AYC</v>
          </cell>
          <cell r="C517">
            <v>-300466</v>
          </cell>
        </row>
        <row r="518">
          <cell r="A518" t="str">
            <v/>
          </cell>
          <cell r="B518" t="str">
            <v>Total Categoria C credito apreciable inter</v>
          </cell>
          <cell r="C518">
            <v>-5303955</v>
          </cell>
        </row>
        <row r="519">
          <cell r="A519" t="str">
            <v/>
          </cell>
          <cell r="B519" t="str">
            <v>169656. Categoria D credito significativo int</v>
          </cell>
          <cell r="C519">
            <v>0</v>
          </cell>
        </row>
        <row r="520">
          <cell r="A520" t="str">
            <v>169656001</v>
          </cell>
          <cell r="B520" t="str">
            <v>169656001 CATEGORIA D CREDITO ACEPTABLE INTERESES AYC</v>
          </cell>
          <cell r="C520">
            <v>-2067407</v>
          </cell>
        </row>
        <row r="521">
          <cell r="A521" t="str">
            <v>169656002</v>
          </cell>
          <cell r="B521" t="str">
            <v>169656002 CATEGORIA D CREDITO ACEPTABLE INTERESES MORA  AYC</v>
          </cell>
          <cell r="C521">
            <v>-91502</v>
          </cell>
        </row>
        <row r="522">
          <cell r="A522" t="str">
            <v/>
          </cell>
          <cell r="B522" t="str">
            <v>Total Categoria D credito significativo int</v>
          </cell>
          <cell r="C522">
            <v>-2158909</v>
          </cell>
        </row>
        <row r="523">
          <cell r="A523" t="str">
            <v/>
          </cell>
          <cell r="B523" t="str">
            <v>169657. Categoria E credito irrecuperab.inter</v>
          </cell>
          <cell r="C523">
            <v>0</v>
          </cell>
        </row>
        <row r="524">
          <cell r="A524" t="str">
            <v>169657001</v>
          </cell>
          <cell r="B524" t="str">
            <v>169657001 CATEGORIA E CREDITO ACEPTABLE INTERESES AYC</v>
          </cell>
          <cell r="C524">
            <v>-5773342</v>
          </cell>
        </row>
        <row r="525">
          <cell r="A525" t="str">
            <v>169657002</v>
          </cell>
          <cell r="B525" t="str">
            <v>169657002 CATEGORIA E CREDITO ACEPTABLE INTERESES MORA AYC</v>
          </cell>
          <cell r="C525">
            <v>-554457</v>
          </cell>
        </row>
        <row r="526">
          <cell r="A526" t="str">
            <v/>
          </cell>
          <cell r="B526" t="str">
            <v>Total Categoria E credito irrecuperab.inter</v>
          </cell>
          <cell r="C526">
            <v>-6327799</v>
          </cell>
        </row>
        <row r="527">
          <cell r="A527" t="str">
            <v/>
          </cell>
          <cell r="B527" t="str">
            <v>Total 1696 Prov cuentas por cobrar de consumo</v>
          </cell>
          <cell r="C527">
            <v>-17056273</v>
          </cell>
        </row>
        <row r="528">
          <cell r="A528" t="str">
            <v/>
          </cell>
          <cell r="B528" t="str">
            <v>1698. Otras provisiones cuentas por cobrar</v>
          </cell>
          <cell r="C528">
            <v>0</v>
          </cell>
        </row>
        <row r="529">
          <cell r="A529" t="str">
            <v/>
          </cell>
          <cell r="B529" t="str">
            <v>169895. Diversas Otras</v>
          </cell>
          <cell r="C529">
            <v>0</v>
          </cell>
        </row>
        <row r="530">
          <cell r="A530" t="str">
            <v>169895001</v>
          </cell>
          <cell r="B530" t="str">
            <v>169895001 PROVISIÓN DIVERSAS OTRAS</v>
          </cell>
          <cell r="C530">
            <v>0</v>
          </cell>
        </row>
        <row r="531">
          <cell r="A531" t="str">
            <v>169895002</v>
          </cell>
          <cell r="B531" t="str">
            <v>169895002 PROVISIÓN PARA OTRAS CUENTA POR COB</v>
          </cell>
          <cell r="C531">
            <v>-164644547</v>
          </cell>
        </row>
        <row r="532">
          <cell r="A532" t="str">
            <v/>
          </cell>
          <cell r="B532" t="str">
            <v>Total Diversas Otras</v>
          </cell>
          <cell r="C532">
            <v>-164644547</v>
          </cell>
        </row>
        <row r="533">
          <cell r="A533" t="str">
            <v/>
          </cell>
          <cell r="B533" t="str">
            <v>Total 1698 Otras prov cuentas por cobrar</v>
          </cell>
          <cell r="C533">
            <v>-164644547</v>
          </cell>
        </row>
        <row r="534">
          <cell r="A534" t="str">
            <v/>
          </cell>
          <cell r="B534" t="str">
            <v>Total 16. Cuentas por Cobrar</v>
          </cell>
          <cell r="C534">
            <v>33064116131</v>
          </cell>
        </row>
        <row r="535">
          <cell r="A535" t="str">
            <v/>
          </cell>
          <cell r="B535" t="str">
            <v>17. Propiedades planta y Equipo</v>
          </cell>
          <cell r="C535">
            <v>0</v>
          </cell>
        </row>
        <row r="536">
          <cell r="A536" t="str">
            <v/>
          </cell>
          <cell r="B536" t="str">
            <v>1705. Terrenos</v>
          </cell>
          <cell r="C536">
            <v>0</v>
          </cell>
        </row>
        <row r="537">
          <cell r="A537" t="str">
            <v/>
          </cell>
          <cell r="B537" t="str">
            <v>170505. Urbanos</v>
          </cell>
          <cell r="C537">
            <v>0</v>
          </cell>
        </row>
        <row r="538">
          <cell r="A538" t="str">
            <v>170505000</v>
          </cell>
          <cell r="B538" t="str">
            <v>170505000 TERRENOS</v>
          </cell>
          <cell r="C538">
            <v>3110760063</v>
          </cell>
        </row>
        <row r="539">
          <cell r="A539" t="str">
            <v/>
          </cell>
          <cell r="B539" t="str">
            <v>Total Urbanos</v>
          </cell>
          <cell r="C539">
            <v>3110760063</v>
          </cell>
        </row>
        <row r="540">
          <cell r="A540" t="str">
            <v/>
          </cell>
          <cell r="B540" t="str">
            <v>Total 1705 Terrenos</v>
          </cell>
          <cell r="C540">
            <v>3110760063</v>
          </cell>
        </row>
        <row r="541">
          <cell r="A541" t="str">
            <v/>
          </cell>
          <cell r="B541" t="str">
            <v>1710. Construcciones o montajes en curso</v>
          </cell>
          <cell r="C541">
            <v>0</v>
          </cell>
        </row>
        <row r="542">
          <cell r="A542" t="str">
            <v/>
          </cell>
          <cell r="B542" t="str">
            <v>171005. Construcciones en proceso</v>
          </cell>
          <cell r="C542">
            <v>0</v>
          </cell>
        </row>
        <row r="543">
          <cell r="A543" t="str">
            <v>171005000</v>
          </cell>
          <cell r="B543" t="str">
            <v>171005000 CONSTRUCCIONES EN CURSO</v>
          </cell>
          <cell r="C543">
            <v>40799208</v>
          </cell>
        </row>
        <row r="544">
          <cell r="A544" t="str">
            <v/>
          </cell>
          <cell r="B544" t="str">
            <v>Total Construcciones en proceso</v>
          </cell>
          <cell r="C544">
            <v>40799208</v>
          </cell>
        </row>
        <row r="545">
          <cell r="A545" t="str">
            <v/>
          </cell>
          <cell r="B545" t="str">
            <v>171010. Maquinaria en Montaje</v>
          </cell>
          <cell r="C545">
            <v>0</v>
          </cell>
        </row>
        <row r="546">
          <cell r="A546" t="str">
            <v>171010000</v>
          </cell>
          <cell r="B546" t="str">
            <v>171010000 MAQUINARIA EN MONTAJE</v>
          </cell>
          <cell r="C546">
            <v>0</v>
          </cell>
        </row>
        <row r="547">
          <cell r="A547" t="str">
            <v/>
          </cell>
          <cell r="B547" t="str">
            <v>Total Maquinaria en Montaje</v>
          </cell>
          <cell r="C547">
            <v>0</v>
          </cell>
        </row>
        <row r="548">
          <cell r="A548" t="str">
            <v/>
          </cell>
          <cell r="B548" t="str">
            <v>Total 1710 Construcciones o montajes en curso</v>
          </cell>
          <cell r="C548">
            <v>40799208</v>
          </cell>
        </row>
        <row r="549">
          <cell r="A549" t="str">
            <v/>
          </cell>
          <cell r="B549" t="str">
            <v>1715. Edificaciones</v>
          </cell>
          <cell r="C549">
            <v>0</v>
          </cell>
        </row>
        <row r="550">
          <cell r="A550" t="str">
            <v/>
          </cell>
          <cell r="B550" t="str">
            <v>171505. Edificios</v>
          </cell>
          <cell r="C550">
            <v>0</v>
          </cell>
        </row>
        <row r="551">
          <cell r="A551" t="str">
            <v>171505000</v>
          </cell>
          <cell r="B551" t="str">
            <v>171505000 EDIFICIOS</v>
          </cell>
          <cell r="C551">
            <v>4099487135</v>
          </cell>
        </row>
        <row r="552">
          <cell r="A552" t="str">
            <v/>
          </cell>
          <cell r="B552" t="str">
            <v>Total Edificios</v>
          </cell>
          <cell r="C552">
            <v>4099487135</v>
          </cell>
        </row>
        <row r="553">
          <cell r="A553" t="str">
            <v/>
          </cell>
          <cell r="B553" t="str">
            <v>171510. Oficinas</v>
          </cell>
          <cell r="C553">
            <v>0</v>
          </cell>
        </row>
        <row r="554">
          <cell r="A554" t="str">
            <v>171510000</v>
          </cell>
          <cell r="B554" t="str">
            <v>171510000 OFICINAS BOGOTA</v>
          </cell>
          <cell r="C554">
            <v>577302211</v>
          </cell>
        </row>
        <row r="555">
          <cell r="A555" t="str">
            <v/>
          </cell>
          <cell r="B555" t="str">
            <v>Total Oficinas</v>
          </cell>
          <cell r="C555">
            <v>577302211</v>
          </cell>
        </row>
        <row r="556">
          <cell r="A556" t="str">
            <v/>
          </cell>
          <cell r="B556" t="str">
            <v>Total 1715 Edificaciones</v>
          </cell>
          <cell r="C556">
            <v>4676789346</v>
          </cell>
        </row>
        <row r="557">
          <cell r="A557" t="str">
            <v/>
          </cell>
          <cell r="B557" t="str">
            <v>1720. Muebles y equipo de oficina</v>
          </cell>
          <cell r="C557">
            <v>0</v>
          </cell>
        </row>
        <row r="558">
          <cell r="A558" t="str">
            <v/>
          </cell>
          <cell r="B558" t="str">
            <v>172010. Muebles</v>
          </cell>
          <cell r="C558">
            <v>0</v>
          </cell>
        </row>
        <row r="559">
          <cell r="A559" t="str">
            <v>172010000</v>
          </cell>
          <cell r="B559" t="str">
            <v>172010000 MUEBLES Y ENSERES</v>
          </cell>
          <cell r="C559">
            <v>485271659</v>
          </cell>
        </row>
        <row r="560">
          <cell r="A560" t="str">
            <v>172010002</v>
          </cell>
          <cell r="B560" t="str">
            <v>172010002 MUEBLES Y ENSERES AYC</v>
          </cell>
          <cell r="C560">
            <v>45057950</v>
          </cell>
        </row>
        <row r="561">
          <cell r="A561" t="str">
            <v/>
          </cell>
          <cell r="B561" t="str">
            <v>Total Muebles</v>
          </cell>
          <cell r="C561">
            <v>530329609</v>
          </cell>
        </row>
        <row r="562">
          <cell r="A562" t="str">
            <v/>
          </cell>
          <cell r="B562" t="str">
            <v>172015. Equipo</v>
          </cell>
          <cell r="C562">
            <v>0</v>
          </cell>
        </row>
        <row r="563">
          <cell r="A563" t="str">
            <v>172015000</v>
          </cell>
          <cell r="B563" t="str">
            <v>172015000 EQUIPO DE OFICINA</v>
          </cell>
          <cell r="C563">
            <v>208442541</v>
          </cell>
        </row>
        <row r="564">
          <cell r="A564" t="str">
            <v>172015001</v>
          </cell>
          <cell r="B564" t="str">
            <v>172015001 EQUIPO DE OFICINA AYC</v>
          </cell>
          <cell r="C564">
            <v>661728</v>
          </cell>
        </row>
        <row r="565">
          <cell r="A565" t="str">
            <v>172015011</v>
          </cell>
          <cell r="B565" t="str">
            <v>172015011 EQUIPO DE OFICINA DE AYC</v>
          </cell>
          <cell r="C565">
            <v>1448041</v>
          </cell>
        </row>
        <row r="566">
          <cell r="A566" t="str">
            <v/>
          </cell>
          <cell r="B566" t="str">
            <v>Total Equipo</v>
          </cell>
          <cell r="C566">
            <v>210552310</v>
          </cell>
        </row>
        <row r="567">
          <cell r="A567" t="str">
            <v/>
          </cell>
          <cell r="B567" t="str">
            <v>Total 1720 Muebles y equipo de oficina</v>
          </cell>
          <cell r="C567">
            <v>740881919</v>
          </cell>
        </row>
        <row r="568">
          <cell r="A568" t="str">
            <v/>
          </cell>
          <cell r="B568" t="str">
            <v>1725. Equipo de computo y comunicacion</v>
          </cell>
          <cell r="C568">
            <v>0</v>
          </cell>
        </row>
        <row r="569">
          <cell r="A569" t="str">
            <v/>
          </cell>
          <cell r="B569" t="str">
            <v>172505. Equipos de Computo</v>
          </cell>
          <cell r="C569">
            <v>0</v>
          </cell>
        </row>
        <row r="570">
          <cell r="A570" t="str">
            <v>172505000</v>
          </cell>
          <cell r="B570" t="str">
            <v>172505000 COMPUTADORES</v>
          </cell>
          <cell r="C570">
            <v>2067613478</v>
          </cell>
        </row>
        <row r="571">
          <cell r="A571" t="str">
            <v>172505001</v>
          </cell>
          <cell r="B571" t="str">
            <v>172505001 COMPUTADORES CAMBIO TECNOLOGICO AYC</v>
          </cell>
          <cell r="C571">
            <v>33018247</v>
          </cell>
        </row>
        <row r="572">
          <cell r="A572" t="str">
            <v>172505011</v>
          </cell>
          <cell r="B572" t="str">
            <v>172505011 COMPUTADORES CAMBIO TECNOLO AYC</v>
          </cell>
          <cell r="C572">
            <v>0</v>
          </cell>
        </row>
        <row r="573">
          <cell r="A573" t="str">
            <v/>
          </cell>
          <cell r="B573" t="str">
            <v>Total Equipos de Computo</v>
          </cell>
          <cell r="C573">
            <v>2100631725</v>
          </cell>
        </row>
        <row r="574">
          <cell r="A574" t="str">
            <v/>
          </cell>
          <cell r="B574" t="str">
            <v>172510. Equipos de comunicacion</v>
          </cell>
          <cell r="C574">
            <v>0</v>
          </cell>
        </row>
        <row r="575">
          <cell r="A575" t="str">
            <v>172510000</v>
          </cell>
          <cell r="B575" t="str">
            <v>172510000 EQUIPO DE TELECOMUNICACIÓN</v>
          </cell>
          <cell r="C575">
            <v>305680126</v>
          </cell>
        </row>
        <row r="576">
          <cell r="A576" t="str">
            <v>172510001</v>
          </cell>
          <cell r="B576" t="str">
            <v>172510001 EQUIPO DE TELCOMUNICACIONES AYC</v>
          </cell>
          <cell r="C576">
            <v>1528166</v>
          </cell>
        </row>
        <row r="577">
          <cell r="A577" t="str">
            <v/>
          </cell>
          <cell r="B577" t="str">
            <v>Total Equipos de comunicacion</v>
          </cell>
          <cell r="C577">
            <v>307208292</v>
          </cell>
        </row>
        <row r="578">
          <cell r="A578" t="str">
            <v/>
          </cell>
          <cell r="B578" t="str">
            <v>Total 1725 Eq de computo y comunicacion</v>
          </cell>
          <cell r="C578">
            <v>2407840017</v>
          </cell>
        </row>
        <row r="579">
          <cell r="A579" t="str">
            <v/>
          </cell>
          <cell r="B579" t="str">
            <v>1732. Envases Y Empaques</v>
          </cell>
          <cell r="C579">
            <v>0</v>
          </cell>
        </row>
        <row r="580">
          <cell r="A580" t="str">
            <v/>
          </cell>
          <cell r="B580" t="str">
            <v>173205. Envases Y empaques (cjas Plasticas)</v>
          </cell>
          <cell r="C580">
            <v>0</v>
          </cell>
        </row>
        <row r="581">
          <cell r="A581" t="str">
            <v>173205000</v>
          </cell>
          <cell r="B581" t="str">
            <v>173205000 ENVASES Y EMPAQUES</v>
          </cell>
          <cell r="C581">
            <v>331868984</v>
          </cell>
        </row>
        <row r="582">
          <cell r="A582" t="str">
            <v/>
          </cell>
          <cell r="B582" t="str">
            <v>Total Envases Y empaques (cjas Plasticas)</v>
          </cell>
          <cell r="C582">
            <v>331868984</v>
          </cell>
        </row>
        <row r="583">
          <cell r="A583" t="str">
            <v/>
          </cell>
          <cell r="B583" t="str">
            <v>Total  1732 Envases Y Empaques</v>
          </cell>
          <cell r="C583">
            <v>331868984</v>
          </cell>
        </row>
        <row r="584">
          <cell r="A584" t="str">
            <v/>
          </cell>
          <cell r="B584" t="str">
            <v>1745. Maquinaria y Equipo</v>
          </cell>
          <cell r="C584">
            <v>0</v>
          </cell>
        </row>
        <row r="585">
          <cell r="A585" t="str">
            <v/>
          </cell>
          <cell r="B585" t="str">
            <v>174505. Maquinaria</v>
          </cell>
          <cell r="C585">
            <v>0</v>
          </cell>
        </row>
        <row r="586">
          <cell r="A586" t="str">
            <v>174505000</v>
          </cell>
          <cell r="B586" t="str">
            <v>174505000 MAQUINARIA</v>
          </cell>
          <cell r="C586">
            <v>4084811016</v>
          </cell>
        </row>
        <row r="587">
          <cell r="A587" t="str">
            <v/>
          </cell>
          <cell r="B587" t="str">
            <v>Total Maquinaria</v>
          </cell>
          <cell r="C587">
            <v>4084811016</v>
          </cell>
        </row>
        <row r="588">
          <cell r="A588" t="str">
            <v/>
          </cell>
          <cell r="B588" t="str">
            <v>174510. Equipo</v>
          </cell>
          <cell r="C588">
            <v>0</v>
          </cell>
        </row>
        <row r="589">
          <cell r="A589" t="str">
            <v>174510000</v>
          </cell>
          <cell r="B589" t="str">
            <v>174510000 EQUIPO BODEGA</v>
          </cell>
          <cell r="C589">
            <v>371778529</v>
          </cell>
        </row>
        <row r="590">
          <cell r="A590" t="str">
            <v/>
          </cell>
          <cell r="B590" t="str">
            <v>Total Equipo</v>
          </cell>
          <cell r="C590">
            <v>371778529</v>
          </cell>
        </row>
        <row r="591">
          <cell r="A591" t="str">
            <v/>
          </cell>
          <cell r="B591" t="str">
            <v>Total 1745 Maquinaria y Equipo</v>
          </cell>
          <cell r="C591">
            <v>4456589545</v>
          </cell>
        </row>
        <row r="592">
          <cell r="A592" t="str">
            <v/>
          </cell>
          <cell r="B592" t="str">
            <v>1795. Depreciacion Acumulada</v>
          </cell>
          <cell r="C592">
            <v>0</v>
          </cell>
        </row>
        <row r="593">
          <cell r="A593" t="str">
            <v/>
          </cell>
          <cell r="B593" t="str">
            <v>179505. Edificaciones</v>
          </cell>
          <cell r="C593">
            <v>0</v>
          </cell>
        </row>
        <row r="594">
          <cell r="A594" t="str">
            <v>179505000</v>
          </cell>
          <cell r="B594" t="str">
            <v>179505000 DEPRECIACION EDIFICACIONES</v>
          </cell>
          <cell r="C594">
            <v>-2575869120</v>
          </cell>
        </row>
        <row r="595">
          <cell r="A595" t="str">
            <v/>
          </cell>
          <cell r="B595" t="str">
            <v>Total Edificaciones</v>
          </cell>
          <cell r="C595">
            <v>-2575869120</v>
          </cell>
        </row>
        <row r="596">
          <cell r="A596" t="str">
            <v/>
          </cell>
          <cell r="B596" t="str">
            <v>179510. Muebles y equipo de oficina</v>
          </cell>
          <cell r="C596">
            <v>0</v>
          </cell>
        </row>
        <row r="597">
          <cell r="A597" t="str">
            <v>179510000</v>
          </cell>
          <cell r="B597" t="str">
            <v>179510000 DEPRECIACIÓN MUEBLES Y ENSERES Y EQUIPO DE OFICINA</v>
          </cell>
          <cell r="C597">
            <v>-191969526</v>
          </cell>
        </row>
        <row r="598">
          <cell r="A598" t="str">
            <v>179510001</v>
          </cell>
          <cell r="B598" t="str">
            <v>179510001 DEPREC MUEBLES Y ENSERES Y EQUIPO DE OFICINA  AYC</v>
          </cell>
          <cell r="C598">
            <v>-375483</v>
          </cell>
        </row>
        <row r="599">
          <cell r="A599" t="str">
            <v>179510002</v>
          </cell>
          <cell r="B599" t="str">
            <v>179510002 DEPRECIACIÓN EQUIPO DE OFICINA   AYC</v>
          </cell>
          <cell r="C599">
            <v>-57805</v>
          </cell>
        </row>
        <row r="600">
          <cell r="A600" t="str">
            <v/>
          </cell>
          <cell r="B600" t="str">
            <v>Total Muebles y equipo de oficina</v>
          </cell>
          <cell r="C600">
            <v>-192402814</v>
          </cell>
        </row>
        <row r="601">
          <cell r="A601" t="str">
            <v/>
          </cell>
          <cell r="B601" t="str">
            <v>179520. Equipo de computacion y comunicacion</v>
          </cell>
          <cell r="C601">
            <v>0</v>
          </cell>
        </row>
        <row r="602">
          <cell r="A602" t="str">
            <v>179520000</v>
          </cell>
          <cell r="B602" t="str">
            <v>179520000 DEPRECIACIÓN COMPUTADORES Y COMUNICACIONES</v>
          </cell>
          <cell r="C602">
            <v>-1223382324</v>
          </cell>
        </row>
        <row r="603">
          <cell r="A603" t="str">
            <v>179520001</v>
          </cell>
          <cell r="B603" t="str">
            <v>179520001 DEPRECIACIÓN COMPUTADORES  AYC</v>
          </cell>
          <cell r="C603">
            <v>-9064265</v>
          </cell>
        </row>
        <row r="604">
          <cell r="A604" t="str">
            <v>179520002</v>
          </cell>
          <cell r="B604" t="str">
            <v>179520002 DEPRECIACIÓN COMUNICACIONES   AYC</v>
          </cell>
          <cell r="C604">
            <v>-65114</v>
          </cell>
        </row>
        <row r="605">
          <cell r="A605" t="str">
            <v/>
          </cell>
          <cell r="B605" t="str">
            <v>Total Equipo de computacion y comunicacion</v>
          </cell>
          <cell r="C605">
            <v>-1232511703</v>
          </cell>
        </row>
        <row r="606">
          <cell r="A606" t="str">
            <v/>
          </cell>
          <cell r="B606" t="str">
            <v>179535. Envases y Empaques</v>
          </cell>
          <cell r="C606">
            <v>0</v>
          </cell>
        </row>
        <row r="607">
          <cell r="A607" t="str">
            <v>179535000</v>
          </cell>
          <cell r="B607" t="str">
            <v>179535000 DEPRECIACIÓN DEPRECIACION ENVASES Y EMPAQUES</v>
          </cell>
          <cell r="C607">
            <v>-231388900</v>
          </cell>
        </row>
        <row r="608">
          <cell r="A608" t="str">
            <v/>
          </cell>
          <cell r="B608" t="str">
            <v>Total Envases y Empaques</v>
          </cell>
          <cell r="C608">
            <v>-231388900</v>
          </cell>
        </row>
        <row r="609">
          <cell r="A609" t="str">
            <v/>
          </cell>
          <cell r="B609" t="str">
            <v>179545. Maquinaria Y equipo</v>
          </cell>
          <cell r="C609">
            <v>0</v>
          </cell>
        </row>
        <row r="610">
          <cell r="A610" t="str">
            <v>179545000</v>
          </cell>
          <cell r="B610" t="str">
            <v>179545000 DEPRECIACIÓN MAQUINARIA Y EQUIPO</v>
          </cell>
          <cell r="C610">
            <v>-389438910</v>
          </cell>
        </row>
        <row r="611">
          <cell r="A611" t="str">
            <v/>
          </cell>
          <cell r="B611" t="str">
            <v>Total Maquinaria Y equipo</v>
          </cell>
          <cell r="C611">
            <v>-389438910</v>
          </cell>
        </row>
        <row r="612">
          <cell r="A612" t="str">
            <v/>
          </cell>
          <cell r="B612" t="str">
            <v>Total 1795 Depreciacion Acumulada</v>
          </cell>
          <cell r="C612">
            <v>-4621611447</v>
          </cell>
        </row>
        <row r="613">
          <cell r="A613" t="str">
            <v/>
          </cell>
          <cell r="B613" t="str">
            <v>Total 17. Propiedades planta y Equipo</v>
          </cell>
          <cell r="C613">
            <v>11143917635</v>
          </cell>
        </row>
        <row r="614">
          <cell r="A614" t="str">
            <v/>
          </cell>
          <cell r="B614" t="str">
            <v>18. Diferidos</v>
          </cell>
          <cell r="C614">
            <v>0</v>
          </cell>
        </row>
        <row r="615">
          <cell r="A615" t="str">
            <v/>
          </cell>
          <cell r="B615" t="str">
            <v>1810. Gastos Anticipados</v>
          </cell>
          <cell r="C615">
            <v>0</v>
          </cell>
        </row>
        <row r="616">
          <cell r="A616" t="str">
            <v/>
          </cell>
          <cell r="B616" t="str">
            <v>181010. Seguros</v>
          </cell>
          <cell r="C616">
            <v>0</v>
          </cell>
        </row>
        <row r="617">
          <cell r="A617" t="str">
            <v>181010001</v>
          </cell>
          <cell r="B617" t="str">
            <v>181010001 GTOS ANTICIPADOS- POLIZAS</v>
          </cell>
          <cell r="C617">
            <v>0</v>
          </cell>
        </row>
        <row r="618">
          <cell r="A618" t="str">
            <v>181010010</v>
          </cell>
          <cell r="B618" t="str">
            <v>181010010 GTOS ANTICIPADOS- POLIZAS AUTOMOVILES</v>
          </cell>
          <cell r="C618">
            <v>0</v>
          </cell>
        </row>
        <row r="619">
          <cell r="A619" t="str">
            <v>181010011</v>
          </cell>
          <cell r="B619" t="str">
            <v>181010011 GTOS ANTICIPADOS- POL. MANEJO GLOBAL CIAL.</v>
          </cell>
          <cell r="C619">
            <v>22753979</v>
          </cell>
        </row>
        <row r="620">
          <cell r="A620" t="str">
            <v>181010012</v>
          </cell>
          <cell r="B620" t="str">
            <v>181010012 GTOS ANTICIPADOS- POLIZA RESPONSABILIDAD CIVIL</v>
          </cell>
          <cell r="C620">
            <v>1166669</v>
          </cell>
        </row>
        <row r="621">
          <cell r="A621" t="str">
            <v>181010013</v>
          </cell>
          <cell r="B621" t="str">
            <v>181010013 GTOS ANTICIPADOS- POLIZA ROTURA MAQUINARIA</v>
          </cell>
          <cell r="C621">
            <v>625629</v>
          </cell>
        </row>
        <row r="622">
          <cell r="A622" t="str">
            <v>181010014</v>
          </cell>
          <cell r="B622" t="str">
            <v>181010014 GTOS ANTICIPADOS- POLIZA ROTURA VIDRIOS</v>
          </cell>
          <cell r="C622">
            <v>59596</v>
          </cell>
        </row>
        <row r="623">
          <cell r="A623" t="str">
            <v>181010015</v>
          </cell>
          <cell r="B623" t="str">
            <v>181010015 GTOS ANTICIPADOS- POLIZA EQUIPOS ELECTRONICOS</v>
          </cell>
          <cell r="C623">
            <v>17034601</v>
          </cell>
        </row>
        <row r="624">
          <cell r="A624" t="str">
            <v>181010016</v>
          </cell>
          <cell r="B624" t="str">
            <v>181010016 GTOS ANTICIPADOS- POLIZA INCENDIO FIJA</v>
          </cell>
          <cell r="C624">
            <v>8753900</v>
          </cell>
        </row>
        <row r="625">
          <cell r="A625" t="str">
            <v>181010017</v>
          </cell>
          <cell r="B625" t="str">
            <v>181010017 GTOS ANTICIPADOS- POLIZA SUSTRACCION FIJA</v>
          </cell>
          <cell r="C625">
            <v>247923</v>
          </cell>
        </row>
        <row r="626">
          <cell r="A626" t="str">
            <v>181010018</v>
          </cell>
          <cell r="B626" t="str">
            <v>181010018 GTOS ANTICIPADOS- POLIZA SUSTRACCION FLOTANTE</v>
          </cell>
          <cell r="C626">
            <v>36540237</v>
          </cell>
        </row>
        <row r="627">
          <cell r="A627" t="str">
            <v>181010019</v>
          </cell>
          <cell r="B627" t="str">
            <v>181010019 GTOS ANTICIPADOS- POLIZA INCENDIO FLOTANTE</v>
          </cell>
          <cell r="C627">
            <v>41412299</v>
          </cell>
        </row>
        <row r="628">
          <cell r="A628" t="str">
            <v>181010051</v>
          </cell>
          <cell r="B628" t="str">
            <v>181010051 GASTOS POR FONDOS SOCIALES</v>
          </cell>
          <cell r="C628">
            <v>0</v>
          </cell>
        </row>
        <row r="629">
          <cell r="A629" t="str">
            <v/>
          </cell>
          <cell r="B629" t="str">
            <v>Total Seguros</v>
          </cell>
          <cell r="C629">
            <v>128594833</v>
          </cell>
        </row>
        <row r="630">
          <cell r="A630" t="str">
            <v/>
          </cell>
          <cell r="B630" t="str">
            <v>181020. Contrato de Mantenimiento</v>
          </cell>
          <cell r="C630">
            <v>0</v>
          </cell>
        </row>
        <row r="631">
          <cell r="A631" t="str">
            <v>181020001</v>
          </cell>
          <cell r="B631" t="str">
            <v>181020001 GTOS ANTICIPADOS- MANTENIMEINTO</v>
          </cell>
          <cell r="C631">
            <v>0</v>
          </cell>
        </row>
        <row r="632">
          <cell r="A632" t="str">
            <v/>
          </cell>
          <cell r="B632" t="str">
            <v>Total Contrato de Mantenimiento</v>
          </cell>
          <cell r="C632">
            <v>0</v>
          </cell>
        </row>
        <row r="633">
          <cell r="A633" t="str">
            <v/>
          </cell>
          <cell r="B633" t="str">
            <v>181040. Suscripciones</v>
          </cell>
          <cell r="C633">
            <v>0</v>
          </cell>
        </row>
        <row r="634">
          <cell r="A634" t="str">
            <v>181040001</v>
          </cell>
          <cell r="B634" t="str">
            <v>181040001 GTOS ANTICIPADOS -SUSCRIPCIONES</v>
          </cell>
          <cell r="C634">
            <v>3850000</v>
          </cell>
        </row>
        <row r="635">
          <cell r="A635" t="str">
            <v/>
          </cell>
          <cell r="B635" t="str">
            <v>Total Suscripciones</v>
          </cell>
          <cell r="C635">
            <v>3850000</v>
          </cell>
        </row>
        <row r="636">
          <cell r="A636" t="str">
            <v/>
          </cell>
          <cell r="B636" t="str">
            <v>Total 1810 Gastos Anticipados</v>
          </cell>
          <cell r="C636">
            <v>132444833</v>
          </cell>
        </row>
        <row r="637">
          <cell r="A637" t="str">
            <v/>
          </cell>
          <cell r="B637" t="str">
            <v>1820. Cargos Diferidos</v>
          </cell>
          <cell r="C637">
            <v>0</v>
          </cell>
        </row>
        <row r="638">
          <cell r="A638" t="str">
            <v/>
          </cell>
          <cell r="B638" t="str">
            <v>182005. Organizacion y Preoperativos</v>
          </cell>
          <cell r="C638">
            <v>0</v>
          </cell>
        </row>
        <row r="639">
          <cell r="A639" t="str">
            <v>182005051</v>
          </cell>
          <cell r="B639" t="str">
            <v>182005051 ORGANIZACION Y PREOPERATIVOS CALI</v>
          </cell>
          <cell r="C639">
            <v>0</v>
          </cell>
        </row>
        <row r="640">
          <cell r="A640" t="str">
            <v/>
          </cell>
          <cell r="B640" t="str">
            <v>Total Organizacion y Preoperativos</v>
          </cell>
          <cell r="C640">
            <v>0</v>
          </cell>
        </row>
        <row r="641">
          <cell r="A641" t="str">
            <v/>
          </cell>
          <cell r="B641" t="str">
            <v>182015. Estudios y Proyectos</v>
          </cell>
          <cell r="C641">
            <v>0</v>
          </cell>
        </row>
        <row r="642">
          <cell r="A642" t="str">
            <v>182015000</v>
          </cell>
          <cell r="B642" t="str">
            <v>182015000 DIFERIDOS -EQUIPO COMPUTO SAP</v>
          </cell>
          <cell r="C642">
            <v>0</v>
          </cell>
        </row>
        <row r="643">
          <cell r="A643" t="str">
            <v>182015002</v>
          </cell>
          <cell r="B643" t="str">
            <v>182015002 DIFERIDOS-AMORTIZACIÓN PROYECTO SAP</v>
          </cell>
          <cell r="C643">
            <v>0</v>
          </cell>
        </row>
        <row r="644">
          <cell r="A644" t="str">
            <v>182015003</v>
          </cell>
          <cell r="B644" t="str">
            <v>182015003 PROQYECTO FOMIPYME</v>
          </cell>
          <cell r="C644">
            <v>0</v>
          </cell>
        </row>
        <row r="645">
          <cell r="A645" t="str">
            <v/>
          </cell>
          <cell r="B645" t="str">
            <v>Total Estudios y Proyectos</v>
          </cell>
          <cell r="C645">
            <v>0</v>
          </cell>
        </row>
        <row r="646">
          <cell r="A646" t="str">
            <v/>
          </cell>
          <cell r="B646" t="str">
            <v>182020. Programas para Computador(sofware)</v>
          </cell>
          <cell r="C646">
            <v>0</v>
          </cell>
        </row>
        <row r="647">
          <cell r="A647" t="str">
            <v>182020000</v>
          </cell>
          <cell r="B647" t="str">
            <v>182020000 DIFER.-PROGRAMAS COMPUTADOR</v>
          </cell>
          <cell r="C647">
            <v>198281750</v>
          </cell>
        </row>
        <row r="648">
          <cell r="A648" t="str">
            <v>182020001</v>
          </cell>
          <cell r="B648" t="str">
            <v>182020001 DIFER.-PROGRAMAS COMPUTADOR AYC</v>
          </cell>
          <cell r="C648">
            <v>0</v>
          </cell>
        </row>
        <row r="649">
          <cell r="A649" t="str">
            <v>182020010</v>
          </cell>
          <cell r="B649" t="str">
            <v>182020010 CARGOS DIFERIDOS PROGRAMAS SOFTWARE</v>
          </cell>
          <cell r="C649">
            <v>1030389990</v>
          </cell>
        </row>
        <row r="650">
          <cell r="A650" t="str">
            <v/>
          </cell>
          <cell r="B650" t="str">
            <v>Total Programas para Computador(sofware)</v>
          </cell>
          <cell r="C650">
            <v>1228671740</v>
          </cell>
        </row>
        <row r="651">
          <cell r="A651" t="str">
            <v/>
          </cell>
          <cell r="B651" t="str">
            <v>182030. Mejoras Prop.Tomadas en arriendamien.</v>
          </cell>
          <cell r="C651">
            <v>0</v>
          </cell>
        </row>
        <row r="652">
          <cell r="A652" t="str">
            <v>182030010</v>
          </cell>
          <cell r="B652" t="str">
            <v>182030010 CARGOS DIFERIDOS MEJORAS PROPIEDADES ARRENDADAS</v>
          </cell>
          <cell r="C652">
            <v>0</v>
          </cell>
        </row>
        <row r="653">
          <cell r="A653" t="str">
            <v/>
          </cell>
          <cell r="B653" t="str">
            <v>Total Mejoras Prop.Tomadas en arriendamien.</v>
          </cell>
          <cell r="C653">
            <v>0</v>
          </cell>
        </row>
        <row r="654">
          <cell r="A654" t="str">
            <v/>
          </cell>
          <cell r="B654" t="str">
            <v>182045. Impuestos</v>
          </cell>
          <cell r="C654">
            <v>0</v>
          </cell>
        </row>
        <row r="655">
          <cell r="A655" t="str">
            <v>182045000</v>
          </cell>
          <cell r="B655" t="str">
            <v>182045000 DIFER.-IMPUESTO PREDIAL Y VALORIZACIÓN</v>
          </cell>
          <cell r="C655">
            <v>10223501</v>
          </cell>
        </row>
        <row r="656">
          <cell r="A656" t="str">
            <v/>
          </cell>
          <cell r="B656" t="str">
            <v>Total  Impuestos</v>
          </cell>
          <cell r="C656">
            <v>10223501</v>
          </cell>
        </row>
        <row r="657">
          <cell r="A657" t="str">
            <v/>
          </cell>
          <cell r="B657" t="str">
            <v>182050. Contribuciones y afiliaciones</v>
          </cell>
          <cell r="C657">
            <v>0</v>
          </cell>
        </row>
        <row r="658">
          <cell r="A658" t="str">
            <v>182050001</v>
          </cell>
          <cell r="B658" t="str">
            <v>182050001 DIFER.-SÚPER-SOLIDARIA</v>
          </cell>
          <cell r="C658">
            <v>30312256</v>
          </cell>
        </row>
        <row r="659">
          <cell r="A659" t="str">
            <v/>
          </cell>
          <cell r="B659" t="str">
            <v>Total Contribuciones y afiliaciones</v>
          </cell>
          <cell r="C659">
            <v>30312256</v>
          </cell>
        </row>
        <row r="660">
          <cell r="A660" t="str">
            <v/>
          </cell>
          <cell r="B660" t="str">
            <v>182065. Elementos Dotacion y suministro a tra</v>
          </cell>
          <cell r="C660">
            <v>0</v>
          </cell>
        </row>
        <row r="661">
          <cell r="A661" t="str">
            <v>182065000</v>
          </cell>
          <cell r="B661" t="str">
            <v>182065000 DIFER.-UNIFORMES Y DOTACION</v>
          </cell>
          <cell r="C661">
            <v>-513165</v>
          </cell>
        </row>
        <row r="662">
          <cell r="A662" t="str">
            <v>182065011</v>
          </cell>
          <cell r="B662" t="str">
            <v>182065011 DOTACION FUNCIONARIOS</v>
          </cell>
          <cell r="C662">
            <v>60761599</v>
          </cell>
        </row>
        <row r="663">
          <cell r="A663" t="str">
            <v/>
          </cell>
          <cell r="B663" t="str">
            <v>Total Elementos Dotacion y suministro a trab,</v>
          </cell>
          <cell r="C663">
            <v>60248434</v>
          </cell>
        </row>
        <row r="664">
          <cell r="A664" t="str">
            <v/>
          </cell>
          <cell r="B664" t="str">
            <v>182095. Otros</v>
          </cell>
          <cell r="C664">
            <v>0</v>
          </cell>
        </row>
        <row r="665">
          <cell r="A665" t="str">
            <v>182095000</v>
          </cell>
          <cell r="B665" t="str">
            <v>182095000 DIFER.-ELEMENTOS DE EMPAQUE</v>
          </cell>
          <cell r="C665">
            <v>0</v>
          </cell>
        </row>
        <row r="666">
          <cell r="A666" t="str">
            <v/>
          </cell>
          <cell r="B666" t="str">
            <v>Total Otros</v>
          </cell>
          <cell r="C666">
            <v>0</v>
          </cell>
        </row>
        <row r="667">
          <cell r="A667" t="str">
            <v/>
          </cell>
          <cell r="B667" t="str">
            <v>Total 1820 Cargos Diferidos</v>
          </cell>
          <cell r="C667">
            <v>1329455931</v>
          </cell>
        </row>
        <row r="668">
          <cell r="A668" t="str">
            <v/>
          </cell>
          <cell r="B668" t="str">
            <v>Total 18. Diferidos</v>
          </cell>
          <cell r="C668">
            <v>1461900764</v>
          </cell>
        </row>
        <row r="669">
          <cell r="A669" t="str">
            <v/>
          </cell>
          <cell r="B669" t="str">
            <v>19. Otros Activos</v>
          </cell>
          <cell r="C669">
            <v>0</v>
          </cell>
        </row>
        <row r="670">
          <cell r="A670" t="str">
            <v/>
          </cell>
          <cell r="B670" t="str">
            <v>1904. Sucursales Y agencias</v>
          </cell>
          <cell r="C670">
            <v>0</v>
          </cell>
        </row>
        <row r="671">
          <cell r="A671" t="str">
            <v/>
          </cell>
          <cell r="B671" t="str">
            <v>190405. Traslado de fondos</v>
          </cell>
          <cell r="C671">
            <v>0</v>
          </cell>
        </row>
        <row r="672">
          <cell r="A672" t="str">
            <v>190405001</v>
          </cell>
          <cell r="B672" t="str">
            <v>190405001 TRASLADO DE AHORROS</v>
          </cell>
          <cell r="C672">
            <v>0</v>
          </cell>
        </row>
        <row r="673">
          <cell r="A673" t="str">
            <v>190405002</v>
          </cell>
          <cell r="B673" t="str">
            <v>190405002 TRASLADO DE FONDOS</v>
          </cell>
          <cell r="C673">
            <v>0</v>
          </cell>
        </row>
        <row r="674">
          <cell r="A674" t="str">
            <v>190405003</v>
          </cell>
          <cell r="B674" t="str">
            <v>190405003 TRASLADO DE EXASOCIADOS</v>
          </cell>
          <cell r="C674">
            <v>0</v>
          </cell>
        </row>
        <row r="675">
          <cell r="A675" t="str">
            <v>190405004</v>
          </cell>
          <cell r="B675" t="str">
            <v>190405004 TRASLADO DE INVERSIONES</v>
          </cell>
          <cell r="C675">
            <v>0</v>
          </cell>
        </row>
        <row r="676">
          <cell r="A676" t="str">
            <v>190405005</v>
          </cell>
          <cell r="B676" t="str">
            <v>190405005 TRASLADO DE GASTOS GENERALES</v>
          </cell>
          <cell r="C676">
            <v>0</v>
          </cell>
        </row>
        <row r="677">
          <cell r="A677" t="str">
            <v/>
          </cell>
          <cell r="B677" t="str">
            <v>Total Traslado de fondos</v>
          </cell>
          <cell r="C677">
            <v>0</v>
          </cell>
        </row>
        <row r="678">
          <cell r="A678" t="str">
            <v/>
          </cell>
          <cell r="B678" t="str">
            <v>Total  1904 Sucursales Y agencias</v>
          </cell>
          <cell r="C678">
            <v>0</v>
          </cell>
        </row>
        <row r="679">
          <cell r="A679" t="str">
            <v/>
          </cell>
          <cell r="B679" t="str">
            <v>1910. Activos intangibles</v>
          </cell>
          <cell r="C679">
            <v>0</v>
          </cell>
        </row>
        <row r="680">
          <cell r="A680" t="str">
            <v/>
          </cell>
          <cell r="B680" t="str">
            <v>191005. Marcas y Patentes</v>
          </cell>
          <cell r="C680">
            <v>0</v>
          </cell>
        </row>
        <row r="681">
          <cell r="A681" t="str">
            <v>191005000</v>
          </cell>
          <cell r="B681" t="str">
            <v>191005000 INTANGIBLES-MARCAS Y PATENTES</v>
          </cell>
          <cell r="C681">
            <v>61022157</v>
          </cell>
        </row>
        <row r="682">
          <cell r="A682" t="str">
            <v/>
          </cell>
          <cell r="B682" t="str">
            <v>Total Marcas y Patentes</v>
          </cell>
          <cell r="C682">
            <v>61022157</v>
          </cell>
        </row>
        <row r="683">
          <cell r="A683" t="str">
            <v/>
          </cell>
          <cell r="B683" t="str">
            <v>Total 1910 Activos intangibles</v>
          </cell>
          <cell r="C683">
            <v>61022157</v>
          </cell>
        </row>
        <row r="684">
          <cell r="A684" t="str">
            <v/>
          </cell>
          <cell r="B684" t="str">
            <v>1985. Responsabilidades Pendientes</v>
          </cell>
          <cell r="C684">
            <v>0</v>
          </cell>
        </row>
        <row r="685">
          <cell r="A685" t="str">
            <v/>
          </cell>
          <cell r="B685" t="str">
            <v>198515. Otros</v>
          </cell>
          <cell r="C685">
            <v>0</v>
          </cell>
        </row>
        <row r="686">
          <cell r="A686" t="str">
            <v>198515000</v>
          </cell>
          <cell r="B686" t="str">
            <v>198515000 RESPONSABILIDADES PENDIENTES</v>
          </cell>
          <cell r="C686">
            <v>0</v>
          </cell>
        </row>
        <row r="687">
          <cell r="A687" t="str">
            <v/>
          </cell>
          <cell r="B687" t="str">
            <v>Total Otros</v>
          </cell>
          <cell r="C687">
            <v>0</v>
          </cell>
        </row>
        <row r="688">
          <cell r="A688" t="str">
            <v/>
          </cell>
          <cell r="B688" t="str">
            <v>Total 1985 Responsabilidades Pendientes</v>
          </cell>
          <cell r="C688">
            <v>0</v>
          </cell>
        </row>
        <row r="689">
          <cell r="A689" t="str">
            <v/>
          </cell>
          <cell r="B689" t="str">
            <v>1987. Otras Inversiones</v>
          </cell>
          <cell r="C689">
            <v>0</v>
          </cell>
        </row>
        <row r="690">
          <cell r="A690" t="str">
            <v/>
          </cell>
          <cell r="B690" t="str">
            <v>198715. Entidades sin animo de lucro</v>
          </cell>
          <cell r="C690">
            <v>0</v>
          </cell>
        </row>
        <row r="691">
          <cell r="A691" t="str">
            <v>198715001</v>
          </cell>
          <cell r="B691" t="str">
            <v>198715001 APORTES ASCOOP</v>
          </cell>
          <cell r="C691">
            <v>629570</v>
          </cell>
        </row>
        <row r="692">
          <cell r="A692" t="str">
            <v/>
          </cell>
          <cell r="B692" t="str">
            <v>Total Invers. en Entidades sin animo de lucro</v>
          </cell>
          <cell r="C692">
            <v>629570</v>
          </cell>
        </row>
        <row r="693">
          <cell r="A693" t="str">
            <v/>
          </cell>
          <cell r="B693" t="str">
            <v>198795. Otras inversiones</v>
          </cell>
          <cell r="C693">
            <v>0</v>
          </cell>
        </row>
        <row r="694">
          <cell r="A694" t="str">
            <v>198795001</v>
          </cell>
          <cell r="B694" t="str">
            <v>198795001 APORTES COOPDESARROLLO</v>
          </cell>
          <cell r="C694">
            <v>351243881</v>
          </cell>
        </row>
        <row r="695">
          <cell r="A695" t="str">
            <v>198795002</v>
          </cell>
          <cell r="B695" t="str">
            <v>198795002 APORTES SEGUROS LA EQUIDAD</v>
          </cell>
          <cell r="C695">
            <v>197526589</v>
          </cell>
        </row>
        <row r="696">
          <cell r="A696" t="str">
            <v>198795003</v>
          </cell>
          <cell r="B696" t="str">
            <v>198795003 APORTES SALUDCOOP</v>
          </cell>
          <cell r="C696">
            <v>98658930</v>
          </cell>
        </row>
        <row r="697">
          <cell r="A697" t="str">
            <v>198795004</v>
          </cell>
          <cell r="B697" t="str">
            <v>198795004 APORTES EN UCONAL ( BOCEAS)</v>
          </cell>
          <cell r="C697">
            <v>10386927</v>
          </cell>
        </row>
        <row r="698">
          <cell r="A698" t="str">
            <v>198795005</v>
          </cell>
          <cell r="B698" t="str">
            <v>198795005 ICOM INDUSTRIA COLOMBIANA DE MEDICAMENTOS LTDA</v>
          </cell>
          <cell r="C698">
            <v>9000000</v>
          </cell>
        </row>
        <row r="699">
          <cell r="A699" t="str">
            <v/>
          </cell>
          <cell r="B699" t="str">
            <v>Total  Otras inversiones</v>
          </cell>
          <cell r="C699">
            <v>666816327</v>
          </cell>
        </row>
        <row r="700">
          <cell r="A700" t="str">
            <v/>
          </cell>
          <cell r="B700" t="str">
            <v>Total 1987 Otras Inversiones</v>
          </cell>
          <cell r="C700">
            <v>667445897</v>
          </cell>
        </row>
        <row r="701">
          <cell r="A701" t="str">
            <v/>
          </cell>
          <cell r="B701" t="str">
            <v>1990. Diversos</v>
          </cell>
          <cell r="C701">
            <v>0</v>
          </cell>
        </row>
        <row r="702">
          <cell r="A702" t="str">
            <v/>
          </cell>
          <cell r="B702" t="str">
            <v>199050. Bienes Entregado en Comodato</v>
          </cell>
          <cell r="C702">
            <v>0</v>
          </cell>
        </row>
        <row r="703">
          <cell r="A703" t="str">
            <v>199050000</v>
          </cell>
          <cell r="B703" t="str">
            <v>199050000 BIENES ENTRAGADOS COMODATO MUEBLES Y ENSERES</v>
          </cell>
          <cell r="C703">
            <v>0</v>
          </cell>
        </row>
        <row r="704">
          <cell r="A704" t="str">
            <v>199050010</v>
          </cell>
          <cell r="B704" t="str">
            <v>199050010 BIENES ENTRAGADOS COMODATO EQ. COMPUTO</v>
          </cell>
          <cell r="C704">
            <v>0</v>
          </cell>
        </row>
        <row r="705">
          <cell r="A705" t="str">
            <v/>
          </cell>
          <cell r="B705" t="str">
            <v>Total Bienes Entregado en Comodato</v>
          </cell>
          <cell r="C705">
            <v>0</v>
          </cell>
        </row>
        <row r="706">
          <cell r="A706" t="str">
            <v/>
          </cell>
          <cell r="B706" t="str">
            <v>199095. Otros</v>
          </cell>
          <cell r="C706">
            <v>0</v>
          </cell>
        </row>
        <row r="707">
          <cell r="A707" t="str">
            <v>199095001</v>
          </cell>
          <cell r="B707" t="str">
            <v>199095001 OTROS TÍTULOS Y BIENES</v>
          </cell>
          <cell r="C707">
            <v>187568</v>
          </cell>
        </row>
        <row r="708">
          <cell r="A708" t="str">
            <v/>
          </cell>
          <cell r="B708" t="str">
            <v>Total Otros</v>
          </cell>
          <cell r="C708">
            <v>187568</v>
          </cell>
        </row>
        <row r="709">
          <cell r="A709" t="str">
            <v/>
          </cell>
          <cell r="B709" t="str">
            <v>Total 1990 Diversos</v>
          </cell>
          <cell r="C709">
            <v>187568</v>
          </cell>
        </row>
        <row r="710">
          <cell r="A710" t="str">
            <v/>
          </cell>
          <cell r="B710" t="str">
            <v>1995. Valorizaciones</v>
          </cell>
          <cell r="C710">
            <v>0</v>
          </cell>
        </row>
        <row r="711">
          <cell r="A711" t="str">
            <v/>
          </cell>
          <cell r="B711" t="str">
            <v>199510. Propiedad, Planta y Equipo</v>
          </cell>
          <cell r="C711">
            <v>0</v>
          </cell>
        </row>
        <row r="712">
          <cell r="A712" t="str">
            <v>199510001</v>
          </cell>
          <cell r="B712" t="str">
            <v>199510001 VALORIZACIÓN PROP.PLANTA Y EQUIPO</v>
          </cell>
          <cell r="C712">
            <v>5931175538</v>
          </cell>
        </row>
        <row r="713">
          <cell r="A713" t="str">
            <v>199510003</v>
          </cell>
          <cell r="B713" t="str">
            <v>199510003 VALORIZACIÓN  DE OTROS ACTIVOD</v>
          </cell>
          <cell r="C713">
            <v>23573649</v>
          </cell>
        </row>
        <row r="714">
          <cell r="A714" t="str">
            <v/>
          </cell>
          <cell r="B714" t="str">
            <v>Total Propiedad, Planta y Equipo</v>
          </cell>
          <cell r="C714">
            <v>5954749187</v>
          </cell>
        </row>
        <row r="715">
          <cell r="A715" t="str">
            <v/>
          </cell>
          <cell r="B715" t="str">
            <v>Total 1995 Valorizaciones</v>
          </cell>
          <cell r="C715">
            <v>5954749187</v>
          </cell>
        </row>
        <row r="716">
          <cell r="A716" t="str">
            <v/>
          </cell>
          <cell r="B716" t="str">
            <v>1999. Provision otros activos</v>
          </cell>
          <cell r="C716">
            <v>0</v>
          </cell>
        </row>
        <row r="717">
          <cell r="A717" t="str">
            <v/>
          </cell>
          <cell r="B717" t="str">
            <v>199935. Otras inversiones</v>
          </cell>
          <cell r="C717">
            <v>0</v>
          </cell>
        </row>
        <row r="718">
          <cell r="A718" t="str">
            <v>199935001</v>
          </cell>
          <cell r="B718" t="str">
            <v>199935001 PROVISIÓN PARA INVERSIONES PERMANENTES</v>
          </cell>
          <cell r="C718">
            <v>-361630808</v>
          </cell>
        </row>
        <row r="719">
          <cell r="A719" t="str">
            <v/>
          </cell>
          <cell r="B719" t="str">
            <v>Total Otras inversiones</v>
          </cell>
          <cell r="C719">
            <v>-361630808</v>
          </cell>
        </row>
        <row r="720">
          <cell r="A720" t="str">
            <v/>
          </cell>
          <cell r="B720" t="str">
            <v>199999. Amortización Acumulada (Cr)</v>
          </cell>
          <cell r="C720">
            <v>0</v>
          </cell>
        </row>
        <row r="721">
          <cell r="A721" t="str">
            <v>199099000</v>
          </cell>
          <cell r="B721" t="str">
            <v>199099000 AMORTIZACION ACUM.COMODATO MUEBLES Y ENSERES (CR)</v>
          </cell>
          <cell r="C721">
            <v>0</v>
          </cell>
        </row>
        <row r="722">
          <cell r="A722" t="str">
            <v>199099010</v>
          </cell>
          <cell r="B722" t="str">
            <v>199099010 AMORTIZACION ACUM.COMODATO EQ. COMPUTO (CR)</v>
          </cell>
          <cell r="C722">
            <v>0</v>
          </cell>
        </row>
        <row r="723">
          <cell r="A723" t="str">
            <v/>
          </cell>
          <cell r="B723" t="str">
            <v>Total. Amortización Acumulada (Cr)</v>
          </cell>
          <cell r="C723">
            <v>0</v>
          </cell>
        </row>
        <row r="724">
          <cell r="A724" t="str">
            <v/>
          </cell>
          <cell r="B724" t="str">
            <v>Total 1999 Provision otros activos</v>
          </cell>
          <cell r="C724">
            <v>-361630808</v>
          </cell>
        </row>
        <row r="725">
          <cell r="A725" t="str">
            <v/>
          </cell>
          <cell r="B725" t="str">
            <v>Total 19. Otros Activos</v>
          </cell>
          <cell r="C725">
            <v>6321774001</v>
          </cell>
        </row>
        <row r="726">
          <cell r="A726" t="str">
            <v/>
          </cell>
          <cell r="B726" t="str">
            <v>Total 1 Activos</v>
          </cell>
          <cell r="C726">
            <v>158334118822</v>
          </cell>
        </row>
        <row r="727">
          <cell r="A727" t="str">
            <v/>
          </cell>
          <cell r="B727" t="str">
            <v>Total Pasivo y Patrimonio</v>
          </cell>
          <cell r="C727">
            <v>0</v>
          </cell>
        </row>
        <row r="728">
          <cell r="A728" t="str">
            <v/>
          </cell>
          <cell r="B728" t="str">
            <v>2. Pasivo</v>
          </cell>
          <cell r="C728">
            <v>0</v>
          </cell>
        </row>
        <row r="729">
          <cell r="A729" t="str">
            <v/>
          </cell>
          <cell r="B729" t="str">
            <v>21. Depositos</v>
          </cell>
          <cell r="C729">
            <v>0</v>
          </cell>
        </row>
        <row r="730">
          <cell r="A730" t="str">
            <v/>
          </cell>
          <cell r="B730" t="str">
            <v>2110. Certificados depositos de ahorro a term</v>
          </cell>
          <cell r="C730">
            <v>0</v>
          </cell>
        </row>
        <row r="731">
          <cell r="A731" t="str">
            <v/>
          </cell>
          <cell r="B731" t="str">
            <v>211005. Emitidos menos de 6 meses</v>
          </cell>
          <cell r="C731">
            <v>0</v>
          </cell>
        </row>
        <row r="732">
          <cell r="A732" t="str">
            <v>211005001</v>
          </cell>
          <cell r="B732" t="str">
            <v>211005001 EMITIDOS MENOS DE 6 MESES AYC</v>
          </cell>
          <cell r="C732">
            <v>-2415526017</v>
          </cell>
        </row>
        <row r="733">
          <cell r="A733" t="str">
            <v/>
          </cell>
          <cell r="B733" t="str">
            <v>Total Emitidos menos de 6 meses</v>
          </cell>
          <cell r="C733">
            <v>-2415526017</v>
          </cell>
        </row>
        <row r="734">
          <cell r="A734" t="str">
            <v/>
          </cell>
          <cell r="B734" t="str">
            <v>211010. Titulos emitidos a 6 Meses &lt; 12 Meses</v>
          </cell>
          <cell r="C734">
            <v>0</v>
          </cell>
        </row>
        <row r="735">
          <cell r="A735" t="str">
            <v>211010001</v>
          </cell>
          <cell r="B735" t="str">
            <v>211010001 EMITIDOS IGUAL A  6 MESES Y MENOS DE 12 AYC</v>
          </cell>
          <cell r="C735">
            <v>-3583709396</v>
          </cell>
        </row>
        <row r="736">
          <cell r="A736" t="str">
            <v/>
          </cell>
          <cell r="B736" t="str">
            <v>Total Titulos emitidos a 6 Meses &lt; 12 Meses</v>
          </cell>
          <cell r="C736">
            <v>-3583709396</v>
          </cell>
        </row>
        <row r="737">
          <cell r="A737" t="str">
            <v/>
          </cell>
          <cell r="B737" t="str">
            <v>Total 2110 Cert depositos de ahorro a term</v>
          </cell>
          <cell r="C737">
            <v>-5999235413</v>
          </cell>
        </row>
        <row r="738">
          <cell r="A738" t="str">
            <v/>
          </cell>
          <cell r="B738" t="str">
            <v>2125. Depositos de ahorro contractual</v>
          </cell>
          <cell r="C738">
            <v>0</v>
          </cell>
        </row>
        <row r="739">
          <cell r="A739" t="str">
            <v/>
          </cell>
          <cell r="B739" t="str">
            <v>212505. Depositos a corto plazo - Activas</v>
          </cell>
          <cell r="C739">
            <v>0</v>
          </cell>
        </row>
        <row r="740">
          <cell r="A740" t="str">
            <v>212505001</v>
          </cell>
          <cell r="B740" t="str">
            <v>212505001 DEPÓSITOS CONTRACTUALES       A y C</v>
          </cell>
          <cell r="C740">
            <v>-16109874692</v>
          </cell>
        </row>
        <row r="741">
          <cell r="A741" t="str">
            <v>212505002</v>
          </cell>
          <cell r="B741" t="str">
            <v>212505002 CUBRIMIENTO DE CESANTÍAS       A y C</v>
          </cell>
          <cell r="C741">
            <v>-663629798</v>
          </cell>
        </row>
        <row r="742">
          <cell r="A742" t="str">
            <v>212505004</v>
          </cell>
          <cell r="B742" t="str">
            <v>212505004 AHORRO PARA TURISMO           A y C</v>
          </cell>
          <cell r="C742">
            <v>-105341772</v>
          </cell>
        </row>
        <row r="743">
          <cell r="A743" t="str">
            <v/>
          </cell>
          <cell r="B743" t="str">
            <v>Total Depositos a corto plazo - Activas</v>
          </cell>
          <cell r="C743">
            <v>-16878846262</v>
          </cell>
        </row>
        <row r="744">
          <cell r="A744" t="str">
            <v/>
          </cell>
          <cell r="B744" t="str">
            <v>Total 2125 Depositos de ahorro contractual</v>
          </cell>
          <cell r="C744">
            <v>-16878846262</v>
          </cell>
        </row>
        <row r="745">
          <cell r="A745" t="str">
            <v/>
          </cell>
          <cell r="B745" t="str">
            <v>Total 21. Depositos</v>
          </cell>
          <cell r="C745">
            <v>-22878081675</v>
          </cell>
        </row>
        <row r="746">
          <cell r="A746" t="str">
            <v/>
          </cell>
          <cell r="B746" t="str">
            <v>23. Creditos de bancos y otras obligaciones F</v>
          </cell>
          <cell r="C746">
            <v>0</v>
          </cell>
        </row>
        <row r="747">
          <cell r="A747" t="str">
            <v/>
          </cell>
          <cell r="B747" t="str">
            <v>2305. Creditos ordinarios Corto Plazo</v>
          </cell>
          <cell r="C747">
            <v>0</v>
          </cell>
        </row>
        <row r="748">
          <cell r="A748" t="str">
            <v/>
          </cell>
          <cell r="B748" t="str">
            <v>230525. Sobregiros</v>
          </cell>
          <cell r="C748">
            <v>0</v>
          </cell>
        </row>
        <row r="749">
          <cell r="A749" t="str">
            <v>230525001</v>
          </cell>
          <cell r="B749" t="str">
            <v>230525001 SOBREGIROS BANCARIOS</v>
          </cell>
          <cell r="C749">
            <v>-110270415</v>
          </cell>
        </row>
        <row r="750">
          <cell r="A750" t="str">
            <v>230525010</v>
          </cell>
          <cell r="B750" t="str">
            <v>230525010 SOBREGIROS CONTABLES AYC</v>
          </cell>
          <cell r="C750">
            <v>0</v>
          </cell>
        </row>
        <row r="751">
          <cell r="A751" t="str">
            <v/>
          </cell>
          <cell r="B751" t="str">
            <v>Total Sobregiros</v>
          </cell>
          <cell r="C751">
            <v>-110270415</v>
          </cell>
        </row>
        <row r="752">
          <cell r="A752" t="str">
            <v/>
          </cell>
          <cell r="B752" t="str">
            <v>Total 2305 Creditos ordinarios Corto Plazo</v>
          </cell>
          <cell r="C752">
            <v>-110270415</v>
          </cell>
        </row>
        <row r="753">
          <cell r="A753" t="str">
            <v/>
          </cell>
          <cell r="B753" t="str">
            <v>Total 23. Creditos bancos y otras oblig Fin.</v>
          </cell>
          <cell r="C753">
            <v>-110270415</v>
          </cell>
        </row>
        <row r="754">
          <cell r="A754" t="str">
            <v/>
          </cell>
          <cell r="B754" t="str">
            <v>24. Cuentas Por Pagar</v>
          </cell>
          <cell r="C754">
            <v>0</v>
          </cell>
        </row>
        <row r="755">
          <cell r="A755" t="str">
            <v/>
          </cell>
          <cell r="B755" t="str">
            <v>2405. Intereses</v>
          </cell>
          <cell r="C755">
            <v>0</v>
          </cell>
        </row>
        <row r="756">
          <cell r="A756" t="str">
            <v/>
          </cell>
          <cell r="B756" t="str">
            <v>240510. Certificado depositos de ahorro a ter</v>
          </cell>
          <cell r="C756">
            <v>0</v>
          </cell>
        </row>
        <row r="757">
          <cell r="A757" t="str">
            <v>240510001</v>
          </cell>
          <cell r="B757" t="str">
            <v>240510001 CERTIFICADOS DE DEP. A TERMINO  AYC</v>
          </cell>
          <cell r="C757">
            <v>-74753172</v>
          </cell>
        </row>
        <row r="758">
          <cell r="A758" t="str">
            <v/>
          </cell>
          <cell r="B758" t="str">
            <v>Total Certificado depositos de ahorro a ter</v>
          </cell>
          <cell r="C758">
            <v>-74753172</v>
          </cell>
        </row>
        <row r="759">
          <cell r="A759" t="str">
            <v/>
          </cell>
          <cell r="B759" t="str">
            <v>240595. Otros</v>
          </cell>
          <cell r="C759">
            <v>0</v>
          </cell>
        </row>
        <row r="760">
          <cell r="A760" t="str">
            <v>240595003</v>
          </cell>
          <cell r="B760" t="str">
            <v>240595003 CUENTA POR PAGAR ASOCIADOS</v>
          </cell>
          <cell r="C760">
            <v>-88656</v>
          </cell>
        </row>
        <row r="761">
          <cell r="A761" t="str">
            <v/>
          </cell>
          <cell r="B761" t="str">
            <v>Total Otros</v>
          </cell>
          <cell r="C761">
            <v>-88656</v>
          </cell>
        </row>
        <row r="762">
          <cell r="A762" t="str">
            <v/>
          </cell>
          <cell r="B762" t="str">
            <v>Total 2405 Intereses</v>
          </cell>
          <cell r="C762">
            <v>-74841828</v>
          </cell>
        </row>
        <row r="763">
          <cell r="A763" t="str">
            <v/>
          </cell>
          <cell r="B763" t="str">
            <v>2415. Costos Y gastos Por pagar</v>
          </cell>
          <cell r="C763">
            <v>0</v>
          </cell>
        </row>
        <row r="764">
          <cell r="A764" t="str">
            <v/>
          </cell>
          <cell r="B764" t="str">
            <v>241530. Seguros</v>
          </cell>
          <cell r="C764">
            <v>0</v>
          </cell>
        </row>
        <row r="765">
          <cell r="A765" t="str">
            <v>241530000</v>
          </cell>
          <cell r="B765" t="str">
            <v>241530000 CUENTAS POR PAGAR  SEGUROS</v>
          </cell>
          <cell r="C765">
            <v>0</v>
          </cell>
        </row>
        <row r="766">
          <cell r="A766" t="str">
            <v/>
          </cell>
          <cell r="B766" t="str">
            <v>Total Seguros</v>
          </cell>
          <cell r="C766">
            <v>0</v>
          </cell>
        </row>
        <row r="767">
          <cell r="A767" t="str">
            <v/>
          </cell>
          <cell r="B767" t="str">
            <v>241595. Otros</v>
          </cell>
          <cell r="C767">
            <v>0</v>
          </cell>
        </row>
        <row r="768">
          <cell r="A768" t="str">
            <v>241595001</v>
          </cell>
          <cell r="B768" t="str">
            <v>241595001 CUENTA POR PAGAR CUOTAS DE ASOCOLDRO</v>
          </cell>
          <cell r="C768">
            <v>-61005700</v>
          </cell>
        </row>
        <row r="769">
          <cell r="A769" t="str">
            <v>241595002</v>
          </cell>
          <cell r="B769" t="str">
            <v>241595002 CUENTA POR PAGAR TRANSPORTES</v>
          </cell>
          <cell r="C769">
            <v>-709620</v>
          </cell>
        </row>
        <row r="770">
          <cell r="A770" t="str">
            <v>241595005</v>
          </cell>
          <cell r="B770" t="str">
            <v>241595005 COSTOS Y GASTOS POR PAGAR</v>
          </cell>
          <cell r="C770">
            <v>-301655102</v>
          </cell>
        </row>
        <row r="771">
          <cell r="A771" t="str">
            <v>241595007</v>
          </cell>
          <cell r="B771" t="str">
            <v>241595007 DIFERENCIA EN  CONCILIACIONES BANCARIAS</v>
          </cell>
          <cell r="C771">
            <v>0</v>
          </cell>
        </row>
        <row r="772">
          <cell r="A772" t="str">
            <v>241595011</v>
          </cell>
          <cell r="B772" t="str">
            <v>241595011 PROVISIÓN RTOS CUBRIMIENTO DE CESANTIAS  A y C</v>
          </cell>
          <cell r="C772">
            <v>0</v>
          </cell>
        </row>
        <row r="773">
          <cell r="A773" t="str">
            <v>241595022</v>
          </cell>
          <cell r="B773" t="str">
            <v>241595022 CUENTA POR PAGAR FLETES Y REMESAS</v>
          </cell>
          <cell r="C773">
            <v>-2883422</v>
          </cell>
        </row>
        <row r="774">
          <cell r="A774" t="str">
            <v>241595024</v>
          </cell>
          <cell r="B774" t="str">
            <v>241595024 CUENTA X PAGAR  POLIZAS INSTITUCIONALES CAUSACION</v>
          </cell>
          <cell r="C774">
            <v>-1283849</v>
          </cell>
        </row>
        <row r="775">
          <cell r="A775" t="str">
            <v>241595025</v>
          </cell>
          <cell r="B775" t="str">
            <v>241595025 CUENTA POR PAGAR EMPLEADOS</v>
          </cell>
          <cell r="C775">
            <v>-7590703</v>
          </cell>
        </row>
        <row r="776">
          <cell r="A776" t="str">
            <v>241595026</v>
          </cell>
          <cell r="B776" t="str">
            <v>241595026 CUENTA POR PAGAR  POLIZAS (TRANSITORIA)</v>
          </cell>
          <cell r="C776">
            <v>-29502644</v>
          </cell>
        </row>
        <row r="777">
          <cell r="A777" t="str">
            <v>241595027</v>
          </cell>
          <cell r="B777" t="str">
            <v>241595027 CUENTAS POR PAGAR FUNDECOPI</v>
          </cell>
          <cell r="C777">
            <v>-30000000</v>
          </cell>
        </row>
        <row r="778">
          <cell r="A778" t="str">
            <v>241595039</v>
          </cell>
          <cell r="B778" t="str">
            <v>241595039 BONOS Y RIFAS POR PAGAR</v>
          </cell>
          <cell r="C778">
            <v>0</v>
          </cell>
        </row>
        <row r="779">
          <cell r="A779" t="str">
            <v>241595041</v>
          </cell>
          <cell r="B779" t="str">
            <v>241595041 CXP POLIZAS MANEJO GLOBAL CIAL</v>
          </cell>
          <cell r="C779">
            <v>0</v>
          </cell>
        </row>
        <row r="780">
          <cell r="A780" t="str">
            <v>241595042</v>
          </cell>
          <cell r="B780" t="str">
            <v>241595042 CXP POLIZAS RESPONSABILIDAD CIVIL</v>
          </cell>
          <cell r="C780">
            <v>0</v>
          </cell>
        </row>
        <row r="781">
          <cell r="A781" t="str">
            <v>241595043</v>
          </cell>
          <cell r="B781" t="str">
            <v>241595043 CXP POLIZAS ROTURA DE MAQUINARIA</v>
          </cell>
          <cell r="C781">
            <v>0</v>
          </cell>
        </row>
        <row r="782">
          <cell r="A782" t="str">
            <v>241595044</v>
          </cell>
          <cell r="B782" t="str">
            <v>241595044 CXP POLIZAS ROTURA DE VIDIROS</v>
          </cell>
          <cell r="C782">
            <v>0</v>
          </cell>
        </row>
        <row r="783">
          <cell r="A783" t="str">
            <v>241595045</v>
          </cell>
          <cell r="B783" t="str">
            <v>241595045 CXP POLIZAS EQUIPOS ELECTRONICOS</v>
          </cell>
          <cell r="C783">
            <v>0</v>
          </cell>
        </row>
        <row r="784">
          <cell r="A784" t="str">
            <v>241595046</v>
          </cell>
          <cell r="B784" t="str">
            <v>241595046 CXP POLIZAS INCD FIJA</v>
          </cell>
          <cell r="C784">
            <v>0</v>
          </cell>
        </row>
        <row r="785">
          <cell r="A785" t="str">
            <v>241595047</v>
          </cell>
          <cell r="B785" t="str">
            <v>241595047 CXP POLIZAS SUSTRACCION FIJA</v>
          </cell>
          <cell r="C785">
            <v>0</v>
          </cell>
        </row>
        <row r="786">
          <cell r="A786" t="str">
            <v>241595048</v>
          </cell>
          <cell r="B786" t="str">
            <v>241595048 CXP POLIZAS SUSTRACCION FLOTANTE</v>
          </cell>
          <cell r="C786">
            <v>-12187500</v>
          </cell>
        </row>
        <row r="787">
          <cell r="A787" t="str">
            <v>241595049</v>
          </cell>
          <cell r="B787" t="str">
            <v>241595049 CXP POLIZAS INCENDIO FLOTANTE</v>
          </cell>
          <cell r="C787">
            <v>-13812500</v>
          </cell>
        </row>
        <row r="788">
          <cell r="A788" t="str">
            <v>241595050</v>
          </cell>
          <cell r="B788" t="str">
            <v>241595050 CXP POLIZAS TRANSPORTE</v>
          </cell>
          <cell r="C788">
            <v>-16416849</v>
          </cell>
        </row>
        <row r="789">
          <cell r="A789" t="str">
            <v>241595051</v>
          </cell>
          <cell r="B789" t="str">
            <v>241595051 CXP POLIZAS SUBSIDIO COPIDROGAS</v>
          </cell>
          <cell r="C789">
            <v>0</v>
          </cell>
        </row>
        <row r="790">
          <cell r="A790" t="str">
            <v>241595052</v>
          </cell>
          <cell r="B790" t="str">
            <v>241595052 CXP POLIZAS CARTERA DEUDORES</v>
          </cell>
          <cell r="C790">
            <v>-40011109</v>
          </cell>
        </row>
        <row r="791">
          <cell r="A791" t="str">
            <v>241595053</v>
          </cell>
          <cell r="B791" t="str">
            <v>241595053 CXP POLIZAS VALORES</v>
          </cell>
          <cell r="C791">
            <v>-552524</v>
          </cell>
        </row>
        <row r="792">
          <cell r="A792" t="str">
            <v>241595099</v>
          </cell>
          <cell r="B792" t="str">
            <v>241595099 CUENTA X PAGAR  VARIOS CAUSACION</v>
          </cell>
          <cell r="C792">
            <v>0</v>
          </cell>
        </row>
        <row r="793">
          <cell r="A793" t="str">
            <v/>
          </cell>
          <cell r="B793" t="str">
            <v>Total Otros</v>
          </cell>
          <cell r="C793">
            <v>-517611522</v>
          </cell>
        </row>
        <row r="794">
          <cell r="A794" t="str">
            <v/>
          </cell>
          <cell r="B794" t="str">
            <v>Total 2415 Costos Y gastos Por pagar</v>
          </cell>
          <cell r="C794">
            <v>-517611522</v>
          </cell>
        </row>
        <row r="795">
          <cell r="A795" t="str">
            <v/>
          </cell>
          <cell r="B795" t="str">
            <v>2435. Proveedores</v>
          </cell>
          <cell r="C795">
            <v>0</v>
          </cell>
        </row>
        <row r="796">
          <cell r="A796" t="str">
            <v/>
          </cell>
          <cell r="B796" t="str">
            <v>243505. Nacionales</v>
          </cell>
          <cell r="C796">
            <v>0</v>
          </cell>
        </row>
        <row r="797">
          <cell r="A797" t="str">
            <v>243505001</v>
          </cell>
          <cell r="B797" t="str">
            <v>243505001 PROVEEDORES SUMINISTRO DE MERCANCÍA</v>
          </cell>
          <cell r="C797">
            <v>-51878927601</v>
          </cell>
        </row>
        <row r="798">
          <cell r="A798" t="str">
            <v>243505003</v>
          </cell>
          <cell r="B798" t="str">
            <v>243505003 PROVEED.SUMINISTRO DE MERCANCÍA (NOTAS.)</v>
          </cell>
          <cell r="C798">
            <v>-1149128</v>
          </cell>
        </row>
        <row r="799">
          <cell r="A799" t="str">
            <v>243505991</v>
          </cell>
          <cell r="B799" t="str">
            <v>243505991 INVENTARIO EM/RF</v>
          </cell>
          <cell r="C799">
            <v>12601930</v>
          </cell>
        </row>
        <row r="800">
          <cell r="A800" t="str">
            <v/>
          </cell>
          <cell r="B800" t="str">
            <v>Total Nacionales</v>
          </cell>
          <cell r="C800">
            <v>-51867474799</v>
          </cell>
        </row>
        <row r="801">
          <cell r="A801" t="str">
            <v/>
          </cell>
          <cell r="B801" t="str">
            <v>Total 2435 Proveedores</v>
          </cell>
          <cell r="C801">
            <v>-51867474799</v>
          </cell>
        </row>
        <row r="802">
          <cell r="A802" t="str">
            <v/>
          </cell>
          <cell r="B802" t="str">
            <v>2442. Gravamen a los movimientos financieros</v>
          </cell>
          <cell r="C802">
            <v>0</v>
          </cell>
        </row>
        <row r="803">
          <cell r="A803" t="str">
            <v/>
          </cell>
          <cell r="B803" t="str">
            <v>244205. Sobre Depositos de ahorros</v>
          </cell>
          <cell r="C803">
            <v>0</v>
          </cell>
        </row>
        <row r="804">
          <cell r="A804" t="str">
            <v>244205001</v>
          </cell>
          <cell r="B804" t="str">
            <v>244205001 GRAVAMEN DEL 3 x MIL   AYC</v>
          </cell>
          <cell r="C804">
            <v>-911429</v>
          </cell>
        </row>
        <row r="805">
          <cell r="A805" t="str">
            <v/>
          </cell>
          <cell r="B805" t="str">
            <v>Total Sobre Depositos de ahorros</v>
          </cell>
          <cell r="C805">
            <v>-911429</v>
          </cell>
        </row>
        <row r="806">
          <cell r="A806" t="str">
            <v/>
          </cell>
          <cell r="B806" t="str">
            <v>Total 2442 Gravamen a los movim financieros</v>
          </cell>
          <cell r="C806">
            <v>-911429</v>
          </cell>
        </row>
        <row r="807">
          <cell r="A807" t="str">
            <v/>
          </cell>
          <cell r="B807" t="str">
            <v>2445. Retenciones en la Fuente</v>
          </cell>
          <cell r="C807">
            <v>0</v>
          </cell>
        </row>
        <row r="808">
          <cell r="A808" t="str">
            <v/>
          </cell>
          <cell r="B808" t="str">
            <v>244505. Salarios y pagos laborales</v>
          </cell>
          <cell r="C808">
            <v>0</v>
          </cell>
        </row>
        <row r="809">
          <cell r="A809" t="str">
            <v>244505001</v>
          </cell>
          <cell r="B809" t="str">
            <v>244505001 RETEFUENTE POR SALARIOS</v>
          </cell>
          <cell r="C809">
            <v>-13521675</v>
          </cell>
        </row>
        <row r="810">
          <cell r="A810" t="str">
            <v/>
          </cell>
          <cell r="B810" t="str">
            <v>Total Salarios y pagos laborales</v>
          </cell>
          <cell r="C810">
            <v>-13521675</v>
          </cell>
        </row>
        <row r="811">
          <cell r="A811" t="str">
            <v/>
          </cell>
          <cell r="B811" t="str">
            <v>244515. Honorarios</v>
          </cell>
          <cell r="C811">
            <v>0</v>
          </cell>
        </row>
        <row r="812">
          <cell r="A812" t="str">
            <v>244515001</v>
          </cell>
          <cell r="B812" t="str">
            <v>244515001 RETEFUENTE HONORARIOS (10%)</v>
          </cell>
          <cell r="C812">
            <v>-3626110</v>
          </cell>
        </row>
        <row r="813">
          <cell r="A813" t="str">
            <v>244515002</v>
          </cell>
          <cell r="B813" t="str">
            <v>244515002 RETEFUENTE HONORARIOS (11%)</v>
          </cell>
          <cell r="C813">
            <v>-3445431</v>
          </cell>
        </row>
        <row r="814">
          <cell r="A814" t="str">
            <v>244515013</v>
          </cell>
          <cell r="B814" t="str">
            <v>244515013 * RETEFUENTE HONORARIOS (11%)</v>
          </cell>
          <cell r="C814">
            <v>-443520</v>
          </cell>
        </row>
        <row r="815">
          <cell r="A815" t="str">
            <v/>
          </cell>
          <cell r="B815" t="str">
            <v>Total Honorarios</v>
          </cell>
          <cell r="C815">
            <v>-7515061</v>
          </cell>
        </row>
        <row r="816">
          <cell r="A816" t="str">
            <v/>
          </cell>
          <cell r="B816" t="str">
            <v>244525. Servicios</v>
          </cell>
          <cell r="C816">
            <v>0</v>
          </cell>
        </row>
        <row r="817">
          <cell r="A817" t="str">
            <v>244525001</v>
          </cell>
          <cell r="B817" t="str">
            <v>244525001 SERVICIOS GENERALES(6%)  AYC</v>
          </cell>
          <cell r="C817">
            <v>0</v>
          </cell>
        </row>
        <row r="818">
          <cell r="A818" t="str">
            <v>244525002</v>
          </cell>
          <cell r="B818" t="str">
            <v>244525002 SERVICIO DE VIGILANCIA Y ASEO</v>
          </cell>
          <cell r="C818">
            <v>-201072</v>
          </cell>
        </row>
        <row r="819">
          <cell r="A819" t="str">
            <v>244525004</v>
          </cell>
          <cell r="B819" t="str">
            <v>244525004 SERVICIOS DE TRASPORTE (1%)</v>
          </cell>
          <cell r="C819">
            <v>-5855435</v>
          </cell>
        </row>
        <row r="820">
          <cell r="A820" t="str">
            <v>244525005</v>
          </cell>
          <cell r="B820" t="str">
            <v>244525005 SERVICIO DE TRASPORTE DE PASAJEROS   3.5%</v>
          </cell>
          <cell r="C820">
            <v>-14000</v>
          </cell>
        </row>
        <row r="821">
          <cell r="A821" t="str">
            <v>244525006</v>
          </cell>
          <cell r="B821" t="str">
            <v>244525006 SERVICIOS TEMPORALES          2.0%</v>
          </cell>
          <cell r="C821">
            <v>-815982</v>
          </cell>
        </row>
        <row r="822">
          <cell r="A822" t="str">
            <v>244525007</v>
          </cell>
          <cell r="B822" t="str">
            <v>244525007 SERVICIOS GENERALES(4Y6%) CMO</v>
          </cell>
          <cell r="C822">
            <v>-2820903</v>
          </cell>
        </row>
        <row r="823">
          <cell r="A823" t="str">
            <v>244525011</v>
          </cell>
          <cell r="B823" t="str">
            <v>244525011 * SERVICIOS GENERALES(6%) CMO</v>
          </cell>
          <cell r="C823">
            <v>0</v>
          </cell>
        </row>
        <row r="824">
          <cell r="A824" t="str">
            <v>244525015</v>
          </cell>
          <cell r="B824" t="str">
            <v>244525015 * SERVICIO DE TRASPORTE DE PASAJEROS   3.5%</v>
          </cell>
          <cell r="C824">
            <v>0</v>
          </cell>
        </row>
        <row r="825">
          <cell r="A825" t="str">
            <v/>
          </cell>
          <cell r="B825" t="str">
            <v>Total Servicios</v>
          </cell>
          <cell r="C825">
            <v>-9707392</v>
          </cell>
        </row>
        <row r="826">
          <cell r="A826" t="str">
            <v/>
          </cell>
          <cell r="B826" t="str">
            <v>244530. Arrendamientos</v>
          </cell>
          <cell r="C826">
            <v>0</v>
          </cell>
        </row>
        <row r="827">
          <cell r="A827" t="str">
            <v>244530001</v>
          </cell>
          <cell r="B827" t="str">
            <v>244530001 RETEFUENTE POR ARRENDAMIENTO INMUEB.   3.5%</v>
          </cell>
          <cell r="C827">
            <v>-921158</v>
          </cell>
        </row>
        <row r="828">
          <cell r="A828" t="str">
            <v>244530002</v>
          </cell>
          <cell r="B828" t="str">
            <v>244530002 RETEFUENTE POR ARRENDAMIENTO MUEMB.   4.0%</v>
          </cell>
          <cell r="C828">
            <v>-393067</v>
          </cell>
        </row>
        <row r="829">
          <cell r="A829" t="str">
            <v/>
          </cell>
          <cell r="B829" t="str">
            <v>Total Arrendamientos</v>
          </cell>
          <cell r="C829">
            <v>-1314225</v>
          </cell>
        </row>
        <row r="830">
          <cell r="A830" t="str">
            <v/>
          </cell>
          <cell r="B830" t="str">
            <v>244535. Rendimientos Financieros</v>
          </cell>
          <cell r="C830">
            <v>0</v>
          </cell>
        </row>
        <row r="831">
          <cell r="A831" t="str">
            <v>244535001</v>
          </cell>
          <cell r="B831" t="str">
            <v>244535001 RENDIMIENTOS FINANCIEROS        7.0% AYC</v>
          </cell>
          <cell r="C831">
            <v>-7401109</v>
          </cell>
        </row>
        <row r="832">
          <cell r="A832" t="str">
            <v>244535003</v>
          </cell>
          <cell r="B832" t="str">
            <v>244535003 RENDIMIENTOS FINANCIEROS     CDAT AYC</v>
          </cell>
          <cell r="C832">
            <v>-3026384</v>
          </cell>
        </row>
        <row r="833">
          <cell r="A833" t="str">
            <v/>
          </cell>
          <cell r="B833" t="str">
            <v>Total Rendimientos Financieros</v>
          </cell>
          <cell r="C833">
            <v>-10427493</v>
          </cell>
        </row>
        <row r="834">
          <cell r="A834" t="str">
            <v/>
          </cell>
          <cell r="B834" t="str">
            <v>244540. Compras</v>
          </cell>
          <cell r="C834">
            <v>0</v>
          </cell>
        </row>
        <row r="835">
          <cell r="A835" t="str">
            <v>244540001</v>
          </cell>
          <cell r="B835" t="str">
            <v>244540001 COMPRAS A PROVEEDORES (3.5% Y 1.5%)</v>
          </cell>
          <cell r="C835">
            <v>-245028889</v>
          </cell>
        </row>
        <row r="836">
          <cell r="A836" t="str">
            <v>244540003</v>
          </cell>
          <cell r="B836" t="str">
            <v>244540003 COMPRAS DE COMBUSTIBLES (0.1%)</v>
          </cell>
          <cell r="C836">
            <v>0</v>
          </cell>
        </row>
        <row r="837">
          <cell r="A837" t="str">
            <v>244540004</v>
          </cell>
          <cell r="B837" t="str">
            <v>244540004 COMPRAS Y SUM.S (3.5%)</v>
          </cell>
          <cell r="C837">
            <v>-24797562</v>
          </cell>
        </row>
        <row r="838">
          <cell r="A838" t="str">
            <v>244540013</v>
          </cell>
          <cell r="B838" t="str">
            <v>244540013 * COMPRAS Y SUM.S (3.5%)</v>
          </cell>
          <cell r="C838">
            <v>-621377</v>
          </cell>
        </row>
        <row r="839">
          <cell r="A839" t="str">
            <v/>
          </cell>
          <cell r="B839" t="str">
            <v>Total Compras</v>
          </cell>
          <cell r="C839">
            <v>-270447828</v>
          </cell>
        </row>
        <row r="840">
          <cell r="A840" t="str">
            <v/>
          </cell>
          <cell r="B840" t="str">
            <v>244545. Loterias, rifas y similares</v>
          </cell>
          <cell r="C840">
            <v>0</v>
          </cell>
        </row>
        <row r="841">
          <cell r="A841" t="str">
            <v>244545001</v>
          </cell>
          <cell r="B841" t="str">
            <v>244545001 LOTERIAS, RIFAS Y SIMILARES</v>
          </cell>
          <cell r="C841">
            <v>0</v>
          </cell>
        </row>
        <row r="842">
          <cell r="A842" t="str">
            <v/>
          </cell>
          <cell r="B842" t="str">
            <v>Total loterias, rifas y similares</v>
          </cell>
          <cell r="C842">
            <v>0</v>
          </cell>
        </row>
        <row r="843">
          <cell r="A843" t="str">
            <v/>
          </cell>
          <cell r="B843" t="str">
            <v>244565. Por impuesto de timbre</v>
          </cell>
          <cell r="C843">
            <v>0</v>
          </cell>
        </row>
        <row r="844">
          <cell r="A844" t="str">
            <v>244565001</v>
          </cell>
          <cell r="B844" t="str">
            <v>244565001 TIMBRES Y PAGARES             1.5%   58.500.000</v>
          </cell>
          <cell r="C844">
            <v>0</v>
          </cell>
        </row>
        <row r="845">
          <cell r="A845" t="str">
            <v>244565002</v>
          </cell>
          <cell r="B845" t="str">
            <v>244565002 TIMBRES Y PAGARES             0.75%   60.142..000</v>
          </cell>
          <cell r="C845">
            <v>-1457679</v>
          </cell>
        </row>
        <row r="846">
          <cell r="A846" t="str">
            <v>244565011</v>
          </cell>
          <cell r="B846" t="str">
            <v>244565011 * TIMBRES Y PAGARES             1.5%   58.500.000</v>
          </cell>
          <cell r="C846">
            <v>-4583324</v>
          </cell>
        </row>
        <row r="847">
          <cell r="A847" t="str">
            <v/>
          </cell>
          <cell r="B847" t="str">
            <v>Total Por impuesto de timbre</v>
          </cell>
          <cell r="C847">
            <v>-6041003</v>
          </cell>
        </row>
        <row r="848">
          <cell r="A848" t="str">
            <v/>
          </cell>
          <cell r="B848" t="str">
            <v>244570. Otras Retenciones y patrimonio</v>
          </cell>
          <cell r="C848">
            <v>0</v>
          </cell>
        </row>
        <row r="849">
          <cell r="A849" t="str">
            <v>244570001</v>
          </cell>
          <cell r="B849" t="str">
            <v>244570001 CONTRATOS DE CONSTRUCCION</v>
          </cell>
          <cell r="C849">
            <v>0</v>
          </cell>
        </row>
        <row r="850">
          <cell r="A850" t="str">
            <v>244570002</v>
          </cell>
          <cell r="B850" t="str">
            <v>244570002 HOTEL Y RESTAURANTE  (3.5%)</v>
          </cell>
          <cell r="C850">
            <v>-1891891</v>
          </cell>
        </row>
        <row r="851">
          <cell r="A851" t="str">
            <v>244570003</v>
          </cell>
          <cell r="B851" t="str">
            <v>244570003 OTROS ING.TRIBUTARIOS.        3.5 %</v>
          </cell>
          <cell r="C851">
            <v>0</v>
          </cell>
        </row>
        <row r="852">
          <cell r="A852" t="str">
            <v>244570004</v>
          </cell>
          <cell r="B852" t="str">
            <v>244570004 CANCELACIONES RETENCION EN LA FUENTE</v>
          </cell>
          <cell r="C852">
            <v>0</v>
          </cell>
        </row>
        <row r="853">
          <cell r="A853" t="str">
            <v/>
          </cell>
          <cell r="B853" t="str">
            <v>Total Otras Retenciones y patrimonio</v>
          </cell>
          <cell r="C853">
            <v>-1891891</v>
          </cell>
        </row>
        <row r="854">
          <cell r="A854" t="str">
            <v/>
          </cell>
          <cell r="B854" t="str">
            <v>Total 2445 Retenciones en la Fuente</v>
          </cell>
          <cell r="C854">
            <v>-320866568</v>
          </cell>
        </row>
        <row r="855">
          <cell r="A855" t="str">
            <v/>
          </cell>
          <cell r="B855" t="str">
            <v>2447. Impuesto a las ventas retenido</v>
          </cell>
          <cell r="C855">
            <v>0</v>
          </cell>
        </row>
        <row r="856">
          <cell r="A856" t="str">
            <v/>
          </cell>
          <cell r="B856" t="str">
            <v>244705. Impuesto a las ventas retenido</v>
          </cell>
          <cell r="C856">
            <v>0</v>
          </cell>
        </row>
        <row r="857">
          <cell r="A857" t="str">
            <v>244705001</v>
          </cell>
          <cell r="B857" t="str">
            <v>244705001 IVA A LAS  VENTAS RETENIDA PROVEEDORES</v>
          </cell>
          <cell r="C857">
            <v>-93916908</v>
          </cell>
        </row>
        <row r="858">
          <cell r="A858" t="str">
            <v>244705002</v>
          </cell>
          <cell r="B858" t="str">
            <v>244705002 IVA A LAS VENTAS RETENIDA OTRAS COMPRAS Y SERVICIO</v>
          </cell>
          <cell r="C858">
            <v>-14352395</v>
          </cell>
        </row>
        <row r="859">
          <cell r="A859" t="str">
            <v>244705005</v>
          </cell>
          <cell r="B859" t="str">
            <v>244705005 IVA A LAS  VENTAS RETENIDO HONORARIOS AYC</v>
          </cell>
          <cell r="C859">
            <v>0</v>
          </cell>
        </row>
        <row r="860">
          <cell r="A860" t="str">
            <v>244705007</v>
          </cell>
          <cell r="B860" t="str">
            <v>244705007 IVA RETENIDO SERVIVIOS 16% AYC</v>
          </cell>
          <cell r="C860">
            <v>0</v>
          </cell>
        </row>
        <row r="861">
          <cell r="A861" t="str">
            <v>244705009</v>
          </cell>
          <cell r="B861" t="str">
            <v>244705009 * IVA RETENIDO OTRAS COMPRAS.</v>
          </cell>
          <cell r="C861">
            <v>-1742849</v>
          </cell>
        </row>
        <row r="862">
          <cell r="A862" t="str">
            <v>244705013</v>
          </cell>
          <cell r="B862" t="str">
            <v>244705013 * IVA RETENIDO OTRAS COMPRAS.</v>
          </cell>
          <cell r="C862">
            <v>0</v>
          </cell>
        </row>
        <row r="863">
          <cell r="A863" t="str">
            <v>244705082</v>
          </cell>
          <cell r="B863" t="str">
            <v>244705082 *VA A LAS VENTAS RETENIDA OTRAS COMPRAS Y SERVICIO</v>
          </cell>
          <cell r="C863">
            <v>-105600</v>
          </cell>
        </row>
        <row r="864">
          <cell r="A864" t="str">
            <v/>
          </cell>
          <cell r="B864" t="str">
            <v>Total Impuesto a las ventas retenido</v>
          </cell>
          <cell r="C864">
            <v>-110117752</v>
          </cell>
        </row>
        <row r="865">
          <cell r="A865" t="str">
            <v/>
          </cell>
          <cell r="B865" t="str">
            <v>244710. Impuesto a las ventas ret.R Simplifi</v>
          </cell>
          <cell r="C865">
            <v>0</v>
          </cell>
        </row>
        <row r="866">
          <cell r="A866" t="str">
            <v>244710001</v>
          </cell>
          <cell r="B866" t="str">
            <v>244710001 IVA RETEN. COMPRAS RÉGIMEN SIMPLIFICADO 75%</v>
          </cell>
          <cell r="C866">
            <v>-1154144</v>
          </cell>
        </row>
        <row r="867">
          <cell r="A867" t="str">
            <v>244710002</v>
          </cell>
          <cell r="B867" t="str">
            <v>244710002 IVA RETENIDO SERVICI.REGIMEN SIMPLIFICADO  75%</v>
          </cell>
          <cell r="C867">
            <v>-5002904</v>
          </cell>
        </row>
        <row r="868">
          <cell r="A868" t="str">
            <v>244710003</v>
          </cell>
          <cell r="B868" t="str">
            <v>244710003 CANCELACIONES IVA RETENIDO</v>
          </cell>
          <cell r="C868">
            <v>0</v>
          </cell>
        </row>
        <row r="869">
          <cell r="A869" t="str">
            <v/>
          </cell>
          <cell r="B869" t="str">
            <v>Total  Impuesto a las ventas ret.R Simplifi</v>
          </cell>
          <cell r="C869">
            <v>-6157048</v>
          </cell>
        </row>
        <row r="870">
          <cell r="A870" t="str">
            <v/>
          </cell>
          <cell r="B870" t="str">
            <v>Total 2447 Impuesto a las ventas retenido</v>
          </cell>
          <cell r="C870">
            <v>-116274800</v>
          </cell>
        </row>
        <row r="871">
          <cell r="A871" t="str">
            <v/>
          </cell>
          <cell r="B871" t="str">
            <v>2448. Impuesto de industria y comercio reten.</v>
          </cell>
          <cell r="C871">
            <v>0</v>
          </cell>
        </row>
        <row r="872">
          <cell r="A872" t="str">
            <v/>
          </cell>
          <cell r="B872" t="str">
            <v>244801. Ica renido AYC</v>
          </cell>
          <cell r="C872">
            <v>0</v>
          </cell>
        </row>
        <row r="873">
          <cell r="A873" t="str">
            <v>244801001</v>
          </cell>
          <cell r="B873" t="str">
            <v>244801001 ICA RETENIDO BOGOTA        A y C</v>
          </cell>
          <cell r="C873">
            <v>0</v>
          </cell>
        </row>
        <row r="874">
          <cell r="A874" t="str">
            <v/>
          </cell>
          <cell r="B874" t="str">
            <v>Tota  Ica renido AYC</v>
          </cell>
          <cell r="C874">
            <v>0</v>
          </cell>
        </row>
        <row r="875">
          <cell r="A875" t="str">
            <v/>
          </cell>
          <cell r="B875" t="str">
            <v>244805. Impuesto de industria y cio retenido</v>
          </cell>
          <cell r="C875">
            <v>0</v>
          </cell>
        </row>
        <row r="876">
          <cell r="A876" t="str">
            <v>244805004</v>
          </cell>
          <cell r="B876" t="str">
            <v>244805004 CANCELACIONES ICA RETENIDO</v>
          </cell>
          <cell r="C876">
            <v>0</v>
          </cell>
        </row>
        <row r="877">
          <cell r="A877" t="str">
            <v>244805011</v>
          </cell>
          <cell r="B877" t="str">
            <v>244805011 ICA RETENIDA BOGOTA  4.14/1000</v>
          </cell>
          <cell r="C877">
            <v>-7839248</v>
          </cell>
        </row>
        <row r="878">
          <cell r="A878" t="str">
            <v>244805012</v>
          </cell>
          <cell r="B878" t="str">
            <v>244805012 ICA RETENIDA BOGOTA      6.9/1000</v>
          </cell>
          <cell r="C878">
            <v>-280198</v>
          </cell>
        </row>
        <row r="879">
          <cell r="A879" t="str">
            <v>244805013</v>
          </cell>
          <cell r="B879" t="str">
            <v>244805013 ICA RETENIDA BOGOTA     9.66/1000</v>
          </cell>
          <cell r="C879">
            <v>-2047176</v>
          </cell>
        </row>
        <row r="880">
          <cell r="A880" t="str">
            <v>244805014</v>
          </cell>
          <cell r="B880" t="str">
            <v>244805014 ICA RETENIDA BOGOTA     11.04/1000</v>
          </cell>
          <cell r="C880">
            <v>-19322259</v>
          </cell>
        </row>
        <row r="881">
          <cell r="A881" t="str">
            <v>244805015</v>
          </cell>
          <cell r="B881" t="str">
            <v>244805015 ICA RETENIDA BOGOTA      13.8/1000</v>
          </cell>
          <cell r="C881">
            <v>-67221</v>
          </cell>
        </row>
        <row r="882">
          <cell r="A882" t="str">
            <v>244805021</v>
          </cell>
          <cell r="B882" t="str">
            <v>244805021 ICA RETENIDA PEREIRA</v>
          </cell>
          <cell r="C882">
            <v>-63917</v>
          </cell>
        </row>
        <row r="883">
          <cell r="A883" t="str">
            <v>244805022</v>
          </cell>
          <cell r="B883" t="str">
            <v>244805022 ICA RETENIDA PEREIRA</v>
          </cell>
          <cell r="C883">
            <v>-9192</v>
          </cell>
        </row>
        <row r="884">
          <cell r="A884" t="str">
            <v>244805023</v>
          </cell>
          <cell r="B884" t="str">
            <v>244805023 ICA RETENIDA PEREIRA</v>
          </cell>
          <cell r="C884">
            <v>-181284</v>
          </cell>
        </row>
        <row r="885">
          <cell r="A885" t="str">
            <v>244805031</v>
          </cell>
          <cell r="B885" t="str">
            <v>244805031 ICA RETENIDA BARRANQUILLA    7/1000</v>
          </cell>
          <cell r="C885">
            <v>-633324</v>
          </cell>
        </row>
        <row r="886">
          <cell r="A886" t="str">
            <v>244805033</v>
          </cell>
          <cell r="B886" t="str">
            <v>244805033 ICA RETENIDA BARRANQUILLA     5/1000</v>
          </cell>
          <cell r="C886">
            <v>0</v>
          </cell>
        </row>
        <row r="887">
          <cell r="A887" t="str">
            <v>244805038</v>
          </cell>
          <cell r="B887" t="str">
            <v>244805038 ICA RETENIDA BARRANQUILLA     4.5/1000</v>
          </cell>
          <cell r="C887">
            <v>0</v>
          </cell>
        </row>
        <row r="888">
          <cell r="A888" t="str">
            <v>244805041</v>
          </cell>
          <cell r="B888" t="str">
            <v>244805041 * ICA RETENIDA BOGOTA  4.14/1000</v>
          </cell>
          <cell r="C888">
            <v>-236225</v>
          </cell>
        </row>
        <row r="889">
          <cell r="A889" t="str">
            <v>244805063</v>
          </cell>
          <cell r="B889" t="str">
            <v>244805063 ICA RETENIDA YUMBO 6 POR MIL</v>
          </cell>
          <cell r="C889">
            <v>0</v>
          </cell>
        </row>
        <row r="890">
          <cell r="A890" t="str">
            <v>244805066</v>
          </cell>
          <cell r="B890" t="str">
            <v>244805066 ICA RETENIDA YUMBO 10 POR MIL</v>
          </cell>
          <cell r="C890">
            <v>-27395</v>
          </cell>
        </row>
        <row r="891">
          <cell r="A891" t="str">
            <v/>
          </cell>
          <cell r="B891" t="str">
            <v>Total Impuesto de industria y cio retenido</v>
          </cell>
          <cell r="C891">
            <v>-30707439</v>
          </cell>
        </row>
        <row r="892">
          <cell r="A892" t="str">
            <v/>
          </cell>
          <cell r="B892" t="str">
            <v>Total 2448 Imp de industria y comercio reten.</v>
          </cell>
          <cell r="C892">
            <v>-30707439</v>
          </cell>
        </row>
        <row r="893">
          <cell r="A893" t="str">
            <v/>
          </cell>
          <cell r="B893" t="str">
            <v>2450. Retenciones y aportes de Nomina</v>
          </cell>
          <cell r="C893">
            <v>0</v>
          </cell>
        </row>
        <row r="894">
          <cell r="A894" t="str">
            <v/>
          </cell>
          <cell r="B894" t="str">
            <v>245005. Aport.a bienestar promot.de salud EPS</v>
          </cell>
          <cell r="C894">
            <v>0</v>
          </cell>
        </row>
        <row r="895">
          <cell r="A895" t="str">
            <v>245005001</v>
          </cell>
          <cell r="B895" t="str">
            <v>245005001 PAGOS APORTES SALUD</v>
          </cell>
          <cell r="C895">
            <v>0</v>
          </cell>
        </row>
        <row r="896">
          <cell r="A896" t="str">
            <v>245005002</v>
          </cell>
          <cell r="B896" t="str">
            <v>245005002 CAUSACION APORTES SALUD</v>
          </cell>
          <cell r="C896">
            <v>0</v>
          </cell>
        </row>
        <row r="897">
          <cell r="A897" t="str">
            <v>245005003</v>
          </cell>
          <cell r="B897" t="str">
            <v>245005003 SALUD COMPLEMENTARIA</v>
          </cell>
          <cell r="C897">
            <v>-734413</v>
          </cell>
        </row>
        <row r="898">
          <cell r="A898" t="str">
            <v/>
          </cell>
          <cell r="B898" t="str">
            <v>Total Aport.a bienestar promot.de salud EPS</v>
          </cell>
          <cell r="C898">
            <v>-734413</v>
          </cell>
        </row>
        <row r="899">
          <cell r="A899" t="str">
            <v/>
          </cell>
          <cell r="B899" t="str">
            <v>245010. Aport.a bienestar promot de pension</v>
          </cell>
          <cell r="C899">
            <v>0</v>
          </cell>
        </row>
        <row r="900">
          <cell r="A900" t="str">
            <v>245010001</v>
          </cell>
          <cell r="B900" t="str">
            <v>245010001 PAGOS APORTES PENSIÓN</v>
          </cell>
          <cell r="C900">
            <v>0</v>
          </cell>
        </row>
        <row r="901">
          <cell r="A901" t="str">
            <v>245010002</v>
          </cell>
          <cell r="B901" t="str">
            <v>245010002 CAUSACION APORTES PENSION</v>
          </cell>
          <cell r="C901">
            <v>0</v>
          </cell>
        </row>
        <row r="902">
          <cell r="A902" t="str">
            <v>245010003</v>
          </cell>
          <cell r="B902" t="str">
            <v>245010003 PENSION VOLUNTARIA</v>
          </cell>
          <cell r="C902">
            <v>-4300000</v>
          </cell>
        </row>
        <row r="903">
          <cell r="A903" t="str">
            <v>245010011</v>
          </cell>
          <cell r="B903" t="str">
            <v>245010011 APORTE PENSION  EMPLEADOR AYC</v>
          </cell>
          <cell r="C903">
            <v>0</v>
          </cell>
        </row>
        <row r="904">
          <cell r="A904" t="str">
            <v/>
          </cell>
          <cell r="B904" t="str">
            <v>Total Aport.a bienestar promot de pension</v>
          </cell>
          <cell r="C904">
            <v>-4300000</v>
          </cell>
        </row>
        <row r="905">
          <cell r="A905" t="str">
            <v/>
          </cell>
          <cell r="B905" t="str">
            <v>245015. Aport.a adm.de riesgos profesion.ARP</v>
          </cell>
          <cell r="C905">
            <v>0</v>
          </cell>
        </row>
        <row r="906">
          <cell r="A906" t="str">
            <v>245015001</v>
          </cell>
          <cell r="B906" t="str">
            <v>245015001 PAGOS SEG.SOCIAL A.R.P.</v>
          </cell>
          <cell r="C906">
            <v>0</v>
          </cell>
        </row>
        <row r="907">
          <cell r="A907" t="str">
            <v>245015002</v>
          </cell>
          <cell r="B907" t="str">
            <v>245015002 PAGOS FONDO DE PENSIONES.SEG.SOCIAL</v>
          </cell>
          <cell r="C907">
            <v>0</v>
          </cell>
        </row>
        <row r="908">
          <cell r="A908" t="str">
            <v>245015003</v>
          </cell>
          <cell r="B908" t="str">
            <v>245015003 CAUSACION ARP</v>
          </cell>
          <cell r="C908">
            <v>0</v>
          </cell>
        </row>
        <row r="909">
          <cell r="A909" t="str">
            <v>245015004</v>
          </cell>
          <cell r="B909" t="str">
            <v>245015004 CAUSACION FONDE PENSION Y SEG.SOCIAL 1%</v>
          </cell>
          <cell r="C909">
            <v>0</v>
          </cell>
        </row>
        <row r="910">
          <cell r="A910" t="str">
            <v/>
          </cell>
          <cell r="B910" t="str">
            <v>Total Aport.a adm.de riesgos profesion.ARP</v>
          </cell>
          <cell r="C910">
            <v>0</v>
          </cell>
        </row>
        <row r="911">
          <cell r="A911" t="str">
            <v/>
          </cell>
          <cell r="B911" t="str">
            <v>245020. Aportes al ICBF,SENA y caja de comp.</v>
          </cell>
          <cell r="C911">
            <v>0</v>
          </cell>
        </row>
        <row r="912">
          <cell r="A912" t="str">
            <v>245020001</v>
          </cell>
          <cell r="B912" t="str">
            <v>245020001 PAGOS CAJA DE COMPENSACIÓN</v>
          </cell>
          <cell r="C912">
            <v>0</v>
          </cell>
        </row>
        <row r="913">
          <cell r="A913" t="str">
            <v/>
          </cell>
          <cell r="B913" t="str">
            <v>Total Aportes al ICBF,SENA y caja de comp.</v>
          </cell>
          <cell r="C913">
            <v>0</v>
          </cell>
        </row>
        <row r="914">
          <cell r="A914" t="str">
            <v/>
          </cell>
          <cell r="B914" t="str">
            <v>245030. Embargos Judiciales</v>
          </cell>
          <cell r="C914">
            <v>0</v>
          </cell>
        </row>
        <row r="915">
          <cell r="A915" t="str">
            <v>245030002</v>
          </cell>
          <cell r="B915" t="str">
            <v>245030002 CAUSACION  POR EMBARGOS</v>
          </cell>
          <cell r="C915">
            <v>-78400</v>
          </cell>
        </row>
        <row r="916">
          <cell r="A916" t="str">
            <v/>
          </cell>
          <cell r="B916" t="str">
            <v>Total Embargos Judiciales</v>
          </cell>
          <cell r="C916">
            <v>-78400</v>
          </cell>
        </row>
        <row r="917">
          <cell r="A917" t="str">
            <v/>
          </cell>
          <cell r="B917" t="str">
            <v>245050. Fondo de Empleados</v>
          </cell>
          <cell r="C917">
            <v>0</v>
          </cell>
        </row>
        <row r="918">
          <cell r="A918" t="str">
            <v>245050000</v>
          </cell>
          <cell r="B918" t="str">
            <v>245050000 CAUSACION FONDO DE EMPLEADOS COPIDROGAS</v>
          </cell>
          <cell r="C918">
            <v>-56839980</v>
          </cell>
        </row>
        <row r="919">
          <cell r="A919" t="str">
            <v/>
          </cell>
          <cell r="B919" t="str">
            <v>Total Fondo de Empleados</v>
          </cell>
          <cell r="C919">
            <v>-56839980</v>
          </cell>
        </row>
        <row r="920">
          <cell r="A920" t="str">
            <v/>
          </cell>
          <cell r="B920" t="str">
            <v>Total 2450 Retenciones y aportes de Nomina</v>
          </cell>
          <cell r="C920">
            <v>-61952793</v>
          </cell>
        </row>
        <row r="921">
          <cell r="A921" t="str">
            <v/>
          </cell>
          <cell r="B921" t="str">
            <v>2465. Remanentes Por pagar</v>
          </cell>
          <cell r="C921">
            <v>0</v>
          </cell>
        </row>
        <row r="922">
          <cell r="A922" t="str">
            <v/>
          </cell>
          <cell r="B922" t="str">
            <v>246505. De aportes Exasociados</v>
          </cell>
          <cell r="C922">
            <v>0</v>
          </cell>
        </row>
        <row r="923">
          <cell r="A923" t="str">
            <v>246505002</v>
          </cell>
          <cell r="B923" t="str">
            <v>246505002 SALDOS A FAVOR EX - ASOCIADOS MERCADEO</v>
          </cell>
          <cell r="C923">
            <v>-194254866</v>
          </cell>
        </row>
        <row r="924">
          <cell r="A924" t="str">
            <v/>
          </cell>
          <cell r="B924" t="str">
            <v>Total De aportes Exasociados</v>
          </cell>
          <cell r="C924">
            <v>-194254866</v>
          </cell>
        </row>
        <row r="925">
          <cell r="A925" t="str">
            <v/>
          </cell>
          <cell r="B925" t="str">
            <v>246510. De deposito Exasociado</v>
          </cell>
          <cell r="C925">
            <v>0</v>
          </cell>
        </row>
        <row r="926">
          <cell r="A926" t="str">
            <v>246510001</v>
          </cell>
          <cell r="B926" t="str">
            <v>246510001 EX - ASOCIADOS AYC</v>
          </cell>
          <cell r="C926">
            <v>0</v>
          </cell>
        </row>
        <row r="927">
          <cell r="A927" t="str">
            <v/>
          </cell>
          <cell r="B927" t="str">
            <v>Total De deposito Exasociado</v>
          </cell>
          <cell r="C927">
            <v>0</v>
          </cell>
        </row>
        <row r="928">
          <cell r="A928" t="str">
            <v/>
          </cell>
          <cell r="B928" t="str">
            <v>Total 2465 Remanentes Por pagar</v>
          </cell>
          <cell r="C928">
            <v>-194254866</v>
          </cell>
        </row>
        <row r="929">
          <cell r="A929" t="str">
            <v/>
          </cell>
          <cell r="B929" t="str">
            <v>2495. Diversas</v>
          </cell>
          <cell r="C929">
            <v>0</v>
          </cell>
        </row>
        <row r="930">
          <cell r="A930" t="str">
            <v/>
          </cell>
          <cell r="B930" t="str">
            <v>249510. Nomina</v>
          </cell>
          <cell r="C930">
            <v>0</v>
          </cell>
        </row>
        <row r="931">
          <cell r="A931" t="str">
            <v>249510000</v>
          </cell>
          <cell r="B931" t="str">
            <v>249510000 NOMINA POR PAGAR</v>
          </cell>
          <cell r="C931">
            <v>0</v>
          </cell>
        </row>
        <row r="932">
          <cell r="A932" t="str">
            <v/>
          </cell>
          <cell r="B932" t="str">
            <v>Total Nomina</v>
          </cell>
          <cell r="C932">
            <v>0</v>
          </cell>
        </row>
        <row r="933">
          <cell r="A933" t="str">
            <v/>
          </cell>
          <cell r="B933" t="str">
            <v>249595. Otras</v>
          </cell>
          <cell r="C933">
            <v>0</v>
          </cell>
        </row>
        <row r="934">
          <cell r="A934" t="str">
            <v>249595000</v>
          </cell>
          <cell r="B934" t="str">
            <v>249595000 GASTOS CAUSADOS</v>
          </cell>
          <cell r="C934">
            <v>0</v>
          </cell>
        </row>
        <row r="935">
          <cell r="A935" t="str">
            <v>249595001</v>
          </cell>
          <cell r="B935" t="str">
            <v>249595001 GASTOS CAUSADOS AYC</v>
          </cell>
          <cell r="C935">
            <v>-8526243</v>
          </cell>
        </row>
        <row r="936">
          <cell r="A936" t="str">
            <v>249595002</v>
          </cell>
          <cell r="B936" t="str">
            <v>249595002 CUENTA POR PAGAR CAJA MENOR</v>
          </cell>
          <cell r="C936">
            <v>0</v>
          </cell>
        </row>
        <row r="937">
          <cell r="A937" t="str">
            <v>249595012</v>
          </cell>
          <cell r="B937" t="str">
            <v>249595012 CUENTA POR PAGAR CAJA MENOR</v>
          </cell>
          <cell r="C937">
            <v>4004916</v>
          </cell>
        </row>
        <row r="938">
          <cell r="A938" t="str">
            <v>249595013</v>
          </cell>
          <cell r="B938" t="str">
            <v>249595013 DTO ESPECIAL EN COMPRAS POR PAGAR A ASOCIADOS</v>
          </cell>
          <cell r="C938">
            <v>1</v>
          </cell>
        </row>
        <row r="939">
          <cell r="A939" t="str">
            <v>249595061</v>
          </cell>
          <cell r="B939" t="str">
            <v>249595061 OTROS APORTES DESCONTADOS Y NO TRASLADOS</v>
          </cell>
          <cell r="C939">
            <v>-139524</v>
          </cell>
        </row>
        <row r="940">
          <cell r="A940" t="str">
            <v>249595062</v>
          </cell>
          <cell r="B940" t="str">
            <v>249595062 TRASLADO DE PASIVO ESTIMADOS AL CIERRE DE PERIODO</v>
          </cell>
          <cell r="C940">
            <v>0</v>
          </cell>
        </row>
        <row r="941">
          <cell r="A941" t="str">
            <v/>
          </cell>
          <cell r="B941" t="str">
            <v>Total Otras</v>
          </cell>
          <cell r="C941">
            <v>-4660850</v>
          </cell>
        </row>
        <row r="942">
          <cell r="A942" t="str">
            <v/>
          </cell>
          <cell r="B942" t="str">
            <v>Total 2495 Diversas</v>
          </cell>
          <cell r="C942">
            <v>-4660850</v>
          </cell>
        </row>
        <row r="943">
          <cell r="A943" t="str">
            <v/>
          </cell>
          <cell r="B943" t="str">
            <v>Total 24. Cuentas Por Pagar</v>
          </cell>
          <cell r="C943">
            <v>-53189556894</v>
          </cell>
        </row>
        <row r="944">
          <cell r="A944" t="str">
            <v/>
          </cell>
          <cell r="B944" t="str">
            <v>25. Impuestos,Gravamenes y Tasas</v>
          </cell>
          <cell r="C944">
            <v>0</v>
          </cell>
        </row>
        <row r="945">
          <cell r="A945" t="str">
            <v/>
          </cell>
          <cell r="B945" t="str">
            <v>2510. Impuesto a las ventas por pagar</v>
          </cell>
          <cell r="C945">
            <v>0</v>
          </cell>
        </row>
        <row r="946">
          <cell r="A946" t="str">
            <v/>
          </cell>
          <cell r="B946" t="str">
            <v>Total Impuesto a las ventas generado</v>
          </cell>
          <cell r="C946">
            <v>0</v>
          </cell>
        </row>
        <row r="947">
          <cell r="A947" t="str">
            <v>251001001</v>
          </cell>
          <cell r="B947" t="str">
            <v>251001001 GENERACIÓN-FACTURACIÓN Y OTROS   IVA 10%</v>
          </cell>
          <cell r="C947">
            <v>-15536353</v>
          </cell>
        </row>
        <row r="948">
          <cell r="A948" t="str">
            <v>251001002</v>
          </cell>
          <cell r="B948" t="str">
            <v>251001002 GENERACIÓN-FACTURACIÓN Y OTROS   IVA 16%</v>
          </cell>
          <cell r="C948">
            <v>-1477480089</v>
          </cell>
        </row>
        <row r="949">
          <cell r="A949" t="str">
            <v>251001007</v>
          </cell>
          <cell r="B949" t="str">
            <v>251001007 GENERACIÓN-FACTURACIÓN Y OTROS   IVA 7%</v>
          </cell>
          <cell r="C949">
            <v>0</v>
          </cell>
        </row>
        <row r="950">
          <cell r="A950" t="str">
            <v>251001009</v>
          </cell>
          <cell r="B950" t="str">
            <v>251001009 *GENERACIÓN-FACTURACIÓN Y OTROS   IVA 16%</v>
          </cell>
          <cell r="C950">
            <v>0</v>
          </cell>
        </row>
        <row r="951">
          <cell r="A951" t="str">
            <v>251001012</v>
          </cell>
          <cell r="B951" t="str">
            <v>251001012 GENERACIÓN-FACTURACIÓN Y OTROS   IVA 0%</v>
          </cell>
          <cell r="C951">
            <v>-55941</v>
          </cell>
        </row>
        <row r="952">
          <cell r="A952" t="str">
            <v>251001016</v>
          </cell>
          <cell r="B952" t="str">
            <v>251001016 CUENTA TRANSITORIA DE  IVA AYC</v>
          </cell>
          <cell r="C952">
            <v>0</v>
          </cell>
        </row>
        <row r="953">
          <cell r="A953" t="str">
            <v/>
          </cell>
          <cell r="B953" t="str">
            <v>Total Impuesto a las ventas generado</v>
          </cell>
          <cell r="C953">
            <v>-1493072383</v>
          </cell>
        </row>
        <row r="954">
          <cell r="A954" t="str">
            <v/>
          </cell>
          <cell r="B954" t="str">
            <v>Total Impuesto a las ventas descontables</v>
          </cell>
          <cell r="C954">
            <v>0</v>
          </cell>
        </row>
        <row r="955">
          <cell r="A955" t="str">
            <v>251001051</v>
          </cell>
          <cell r="B955" t="str">
            <v>251001051 DESCONTABLE COMPRAS NACIONALES  IVA 10%</v>
          </cell>
          <cell r="C955">
            <v>16083987</v>
          </cell>
        </row>
        <row r="956">
          <cell r="A956" t="str">
            <v>251001052</v>
          </cell>
          <cell r="B956" t="str">
            <v>251001052 DESCONTABLE COMPRAS NACIONALES   IVA 16%</v>
          </cell>
          <cell r="C956">
            <v>1563011906</v>
          </cell>
        </row>
        <row r="957">
          <cell r="A957" t="str">
            <v>251001053</v>
          </cell>
          <cell r="B957" t="str">
            <v>251001053 DESCONTABLE COMPRAS NACIONALES  IVA  20%</v>
          </cell>
          <cell r="C957">
            <v>45451</v>
          </cell>
        </row>
        <row r="958">
          <cell r="A958" t="str">
            <v>251001056</v>
          </cell>
          <cell r="B958" t="str">
            <v>251001056 DESCONTABLE COMPRAS NACIONALES   IVA 7%</v>
          </cell>
          <cell r="C958">
            <v>0</v>
          </cell>
        </row>
        <row r="959">
          <cell r="A959" t="str">
            <v>251001057</v>
          </cell>
          <cell r="B959" t="str">
            <v>251001057 IMPUESTO DESCONTABLE IVA RETENIDO</v>
          </cell>
          <cell r="C959">
            <v>4569839</v>
          </cell>
        </row>
        <row r="960">
          <cell r="A960" t="str">
            <v>251001060</v>
          </cell>
          <cell r="B960" t="str">
            <v>251001060 CUENTA TRANSITORIA IVA</v>
          </cell>
          <cell r="C960">
            <v>71361506</v>
          </cell>
        </row>
        <row r="961">
          <cell r="A961" t="str">
            <v>251001070</v>
          </cell>
          <cell r="B961" t="str">
            <v>251001070 * CUENTA TRANSITORIA IVA</v>
          </cell>
          <cell r="C961">
            <v>4947741</v>
          </cell>
        </row>
        <row r="962">
          <cell r="A962" t="str">
            <v>251001072</v>
          </cell>
          <cell r="B962" t="str">
            <v>251001072 * GENERACIÓN-FACTURACIÓN Y OTROS   IVA 16%</v>
          </cell>
          <cell r="C962">
            <v>-213321</v>
          </cell>
        </row>
        <row r="963">
          <cell r="A963" t="str">
            <v>251001082</v>
          </cell>
          <cell r="B963" t="str">
            <v>251001082 * DESCONTABLE COMPRAS NACIONALES   IVA 16%</v>
          </cell>
          <cell r="C963">
            <v>0</v>
          </cell>
        </row>
        <row r="964">
          <cell r="A964" t="str">
            <v>251001098</v>
          </cell>
          <cell r="B964" t="str">
            <v>251001098 CANCELACIÓN  DE IVA</v>
          </cell>
          <cell r="C964">
            <v>257635674</v>
          </cell>
        </row>
        <row r="965">
          <cell r="A965" t="str">
            <v/>
          </cell>
          <cell r="B965" t="str">
            <v>Total Impuesto a las ventas descontables</v>
          </cell>
          <cell r="C965">
            <v>1917442783</v>
          </cell>
        </row>
        <row r="966">
          <cell r="A966" t="str">
            <v/>
          </cell>
          <cell r="B966" t="str">
            <v>Total 2510 Impuesto a las ventas por pagar</v>
          </cell>
          <cell r="C966">
            <v>424370400</v>
          </cell>
        </row>
        <row r="967">
          <cell r="A967" t="str">
            <v/>
          </cell>
          <cell r="B967" t="str">
            <v>Total 25. Impuestos,Gravamenes y Tasas</v>
          </cell>
          <cell r="C967">
            <v>424370400</v>
          </cell>
        </row>
        <row r="968">
          <cell r="A968" t="str">
            <v/>
          </cell>
          <cell r="B968" t="str">
            <v>26. Fondos Sociales, Mutuales y otros</v>
          </cell>
          <cell r="C968">
            <v>0</v>
          </cell>
        </row>
        <row r="969">
          <cell r="A969" t="str">
            <v/>
          </cell>
          <cell r="B969" t="str">
            <v>2605. Fondo social de educacion</v>
          </cell>
          <cell r="C969">
            <v>0</v>
          </cell>
        </row>
        <row r="970">
          <cell r="A970" t="str">
            <v/>
          </cell>
          <cell r="B970" t="str">
            <v>260505. Fondo Social de Educacion</v>
          </cell>
          <cell r="C970">
            <v>0</v>
          </cell>
        </row>
        <row r="971">
          <cell r="A971" t="str">
            <v>260505001</v>
          </cell>
          <cell r="B971" t="str">
            <v>260505001 FONDOS PARA EDUCACIÓN</v>
          </cell>
          <cell r="C971">
            <v>-466769035</v>
          </cell>
        </row>
        <row r="972">
          <cell r="A972" t="str">
            <v/>
          </cell>
          <cell r="B972" t="str">
            <v>Total Fondo Social de Educacion</v>
          </cell>
          <cell r="C972">
            <v>-466769035</v>
          </cell>
        </row>
        <row r="973">
          <cell r="A973" t="str">
            <v/>
          </cell>
          <cell r="B973" t="str">
            <v>Total 2605 Fondo social de educacion</v>
          </cell>
          <cell r="C973">
            <v>-466769035</v>
          </cell>
        </row>
        <row r="974">
          <cell r="A974" t="str">
            <v/>
          </cell>
          <cell r="B974" t="str">
            <v>2610. Fondo social de solidaridad</v>
          </cell>
          <cell r="C974">
            <v>0</v>
          </cell>
        </row>
        <row r="975">
          <cell r="A975" t="str">
            <v/>
          </cell>
          <cell r="B975" t="str">
            <v>261005. Fondo Social de solidaridad</v>
          </cell>
          <cell r="C975">
            <v>0</v>
          </cell>
        </row>
        <row r="976">
          <cell r="A976" t="str">
            <v>261005001</v>
          </cell>
          <cell r="B976" t="str">
            <v>261005001 FONDO PARA SOLIDARIDAD</v>
          </cell>
          <cell r="C976">
            <v>-149284053</v>
          </cell>
        </row>
        <row r="977">
          <cell r="A977" t="str">
            <v/>
          </cell>
          <cell r="B977" t="str">
            <v>Total  Fondo Social de solidaridad</v>
          </cell>
          <cell r="C977">
            <v>-149284053</v>
          </cell>
        </row>
        <row r="978">
          <cell r="A978" t="str">
            <v/>
          </cell>
          <cell r="B978" t="str">
            <v>Total 2610 Fondo social de solidaridad</v>
          </cell>
          <cell r="C978">
            <v>-149284053</v>
          </cell>
        </row>
        <row r="979">
          <cell r="A979" t="str">
            <v/>
          </cell>
          <cell r="B979" t="str">
            <v>2648. Fondo social para otros fines</v>
          </cell>
          <cell r="C979">
            <v>0</v>
          </cell>
        </row>
        <row r="980">
          <cell r="A980" t="str">
            <v/>
          </cell>
          <cell r="B980" t="str">
            <v>264805. Fondo Social para otros fines</v>
          </cell>
          <cell r="C980">
            <v>0</v>
          </cell>
        </row>
        <row r="981">
          <cell r="A981" t="str">
            <v>264805001</v>
          </cell>
          <cell r="B981" t="str">
            <v>264805001 FONDO PARA ASISTENCIA TECNICA Y FOMENTO EMPRESARIA</v>
          </cell>
          <cell r="C981">
            <v>-59595088</v>
          </cell>
        </row>
        <row r="982">
          <cell r="A982" t="str">
            <v>264805002</v>
          </cell>
          <cell r="B982" t="str">
            <v>264805002 FONDO PARA ACTIVIDADES DE CAPACITACION</v>
          </cell>
          <cell r="C982">
            <v>-99892165</v>
          </cell>
        </row>
        <row r="983">
          <cell r="A983" t="str">
            <v/>
          </cell>
          <cell r="B983" t="str">
            <v>Total  Fondo  Social para otros fines</v>
          </cell>
          <cell r="C983">
            <v>-159487253</v>
          </cell>
        </row>
        <row r="984">
          <cell r="A984" t="str">
            <v/>
          </cell>
          <cell r="B984" t="str">
            <v>Total .2648 Fondo social para otros fines</v>
          </cell>
          <cell r="C984">
            <v>-159487253</v>
          </cell>
        </row>
        <row r="985">
          <cell r="A985" t="str">
            <v/>
          </cell>
          <cell r="B985" t="str">
            <v>Total 26. Fondos Sociales, Mutuales y otros</v>
          </cell>
          <cell r="C985">
            <v>-775540341</v>
          </cell>
        </row>
        <row r="986">
          <cell r="A986" t="str">
            <v/>
          </cell>
          <cell r="B986" t="str">
            <v>27. Otros Pasivos</v>
          </cell>
          <cell r="C986">
            <v>0</v>
          </cell>
        </row>
        <row r="987">
          <cell r="A987" t="str">
            <v/>
          </cell>
          <cell r="B987" t="str">
            <v>2710. Obligaciones laborales</v>
          </cell>
          <cell r="C987">
            <v>0</v>
          </cell>
        </row>
        <row r="988">
          <cell r="A988" t="str">
            <v/>
          </cell>
          <cell r="B988" t="str">
            <v>271010. Cesantias consolidadas</v>
          </cell>
          <cell r="C988">
            <v>0</v>
          </cell>
        </row>
        <row r="989">
          <cell r="A989" t="str">
            <v>271010002</v>
          </cell>
          <cell r="B989" t="str">
            <v>271010002 CESANTIAS CONSOLIDADAS</v>
          </cell>
          <cell r="C989">
            <v>0</v>
          </cell>
        </row>
        <row r="990">
          <cell r="A990" t="str">
            <v/>
          </cell>
          <cell r="B990" t="str">
            <v>Total Cesantias consolidadas</v>
          </cell>
          <cell r="C990">
            <v>0</v>
          </cell>
        </row>
        <row r="991">
          <cell r="A991" t="str">
            <v/>
          </cell>
          <cell r="B991" t="str">
            <v>271015. Intereses sobre Cesantias</v>
          </cell>
          <cell r="C991">
            <v>0</v>
          </cell>
        </row>
        <row r="992">
          <cell r="A992" t="str">
            <v>271015002</v>
          </cell>
          <cell r="B992" t="str">
            <v>271015002 INT/CESANTIAS CONSOLIDADAS</v>
          </cell>
          <cell r="C992">
            <v>0</v>
          </cell>
        </row>
        <row r="993">
          <cell r="A993" t="str">
            <v/>
          </cell>
          <cell r="B993" t="str">
            <v>Total Intereses sobre Cesantias</v>
          </cell>
          <cell r="C993">
            <v>0</v>
          </cell>
        </row>
        <row r="994">
          <cell r="A994" t="str">
            <v/>
          </cell>
          <cell r="B994" t="str">
            <v>271025. Vacaciones Consolidadas</v>
          </cell>
          <cell r="C994">
            <v>0</v>
          </cell>
        </row>
        <row r="995">
          <cell r="A995" t="str">
            <v>271025002</v>
          </cell>
          <cell r="B995" t="str">
            <v>271025002 VACACIONES CONSOLIDADAS</v>
          </cell>
          <cell r="C995">
            <v>-210227663</v>
          </cell>
        </row>
        <row r="996">
          <cell r="A996" t="str">
            <v/>
          </cell>
          <cell r="B996" t="str">
            <v>Total Vacaciones Consolidadas</v>
          </cell>
          <cell r="C996">
            <v>-210227663</v>
          </cell>
        </row>
        <row r="997">
          <cell r="A997" t="str">
            <v/>
          </cell>
          <cell r="B997" t="str">
            <v>271095. Otras Prestaciones sociales</v>
          </cell>
          <cell r="C997">
            <v>0</v>
          </cell>
        </row>
        <row r="998">
          <cell r="A998" t="str">
            <v>271095002</v>
          </cell>
          <cell r="B998" t="str">
            <v>271095002 AUXILIO DE VACACIONES</v>
          </cell>
          <cell r="C998">
            <v>-89186396</v>
          </cell>
        </row>
        <row r="999">
          <cell r="A999" t="str">
            <v/>
          </cell>
          <cell r="B999" t="str">
            <v>Total Otras Prestaciones sociales</v>
          </cell>
          <cell r="C999">
            <v>-89186396</v>
          </cell>
        </row>
        <row r="1000">
          <cell r="A1000" t="str">
            <v/>
          </cell>
          <cell r="B1000" t="str">
            <v>Total 2710 Obligaciones laborales</v>
          </cell>
          <cell r="C1000">
            <v>-299414059</v>
          </cell>
        </row>
        <row r="1001">
          <cell r="A1001" t="str">
            <v/>
          </cell>
          <cell r="B1001" t="str">
            <v>2725. Ingresos Anticipados</v>
          </cell>
          <cell r="C1001">
            <v>0</v>
          </cell>
        </row>
        <row r="1002">
          <cell r="A1002" t="str">
            <v/>
          </cell>
          <cell r="B1002" t="str">
            <v>272505. Intereses</v>
          </cell>
          <cell r="C1002">
            <v>0</v>
          </cell>
        </row>
        <row r="1003">
          <cell r="A1003" t="str">
            <v>272505001</v>
          </cell>
          <cell r="B1003" t="str">
            <v>272505001 INT. SOBRE PRESTAMOS LÍNEA DORADA            A y C</v>
          </cell>
          <cell r="C1003">
            <v>0</v>
          </cell>
        </row>
        <row r="1004">
          <cell r="A1004" t="str">
            <v/>
          </cell>
          <cell r="B1004" t="str">
            <v>Total Intereses</v>
          </cell>
          <cell r="C1004">
            <v>0</v>
          </cell>
        </row>
        <row r="1005">
          <cell r="A1005" t="str">
            <v/>
          </cell>
          <cell r="B1005" t="str">
            <v>272595. Otros</v>
          </cell>
          <cell r="C1005">
            <v>0</v>
          </cell>
        </row>
        <row r="1006">
          <cell r="A1006" t="str">
            <v>272595001</v>
          </cell>
          <cell r="B1006" t="str">
            <v>272595001 INGRESOS RECIBIDOS X ANTICIPADO PROVEEDORES</v>
          </cell>
          <cell r="C1006">
            <v>-65484594</v>
          </cell>
        </row>
        <row r="1007">
          <cell r="A1007" t="str">
            <v/>
          </cell>
          <cell r="B1007" t="str">
            <v>Total Otros</v>
          </cell>
          <cell r="C1007">
            <v>-65484594</v>
          </cell>
        </row>
        <row r="1008">
          <cell r="A1008" t="str">
            <v/>
          </cell>
          <cell r="B1008" t="str">
            <v>Total 2725 Ingresos Anticipados</v>
          </cell>
          <cell r="C1008">
            <v>-65484594</v>
          </cell>
        </row>
        <row r="1009">
          <cell r="A1009" t="str">
            <v/>
          </cell>
          <cell r="B1009" t="str">
            <v>Total 27. Otros Pasivos</v>
          </cell>
          <cell r="C1009">
            <v>-364898653</v>
          </cell>
        </row>
        <row r="1010">
          <cell r="A1010" t="str">
            <v/>
          </cell>
          <cell r="B1010" t="str">
            <v>28. Pasivos Estimados Y Provisiones</v>
          </cell>
          <cell r="C1010">
            <v>0</v>
          </cell>
        </row>
        <row r="1011">
          <cell r="A1011" t="str">
            <v/>
          </cell>
          <cell r="B1011" t="str">
            <v>2810. Para Costos y gastos</v>
          </cell>
          <cell r="C1011">
            <v>0</v>
          </cell>
        </row>
        <row r="1012">
          <cell r="A1012" t="str">
            <v/>
          </cell>
          <cell r="B1012" t="str">
            <v>281025. Trasportes,fletes y acarreos</v>
          </cell>
          <cell r="C1012">
            <v>0</v>
          </cell>
        </row>
        <row r="1013">
          <cell r="A1013" t="str">
            <v>281025000</v>
          </cell>
          <cell r="B1013" t="str">
            <v>281025000 GTOS ESTIMADOS TRANSPORTE FLETES Y ACARREOS</v>
          </cell>
          <cell r="C1013">
            <v>-191485449</v>
          </cell>
        </row>
        <row r="1014">
          <cell r="A1014" t="str">
            <v>281025001</v>
          </cell>
          <cell r="B1014" t="str">
            <v>281025001 GTOS ESTIMADOS TRANSP.FLETES Y ACARREOS AYC</v>
          </cell>
          <cell r="C1014">
            <v>-2370610</v>
          </cell>
        </row>
        <row r="1015">
          <cell r="A1015" t="str">
            <v/>
          </cell>
          <cell r="B1015" t="str">
            <v>Total Trasportes,fletes y acarreos</v>
          </cell>
          <cell r="C1015">
            <v>-193856059</v>
          </cell>
        </row>
        <row r="1016">
          <cell r="A1016" t="str">
            <v/>
          </cell>
          <cell r="B1016" t="str">
            <v>281035. Servicios publicos</v>
          </cell>
          <cell r="C1016">
            <v>0</v>
          </cell>
        </row>
        <row r="1017">
          <cell r="A1017" t="str">
            <v>281035000</v>
          </cell>
          <cell r="B1017" t="str">
            <v>281035000 GTOS ESTIMADOS SERVICIOS PUBLICOS</v>
          </cell>
          <cell r="C1017">
            <v>-177902537</v>
          </cell>
        </row>
        <row r="1018">
          <cell r="A1018" t="str">
            <v/>
          </cell>
          <cell r="B1018" t="str">
            <v>Total Servicios publicos</v>
          </cell>
          <cell r="C1018">
            <v>-177902537</v>
          </cell>
        </row>
        <row r="1019">
          <cell r="A1019" t="str">
            <v/>
          </cell>
          <cell r="B1019" t="str">
            <v>281055. Arrendamientos</v>
          </cell>
          <cell r="C1019">
            <v>0</v>
          </cell>
        </row>
        <row r="1020">
          <cell r="A1020" t="str">
            <v>281055000</v>
          </cell>
          <cell r="B1020" t="str">
            <v>281055000 GTOS ESTIMADOS POR ARRENDAMIENTOS</v>
          </cell>
          <cell r="C1020">
            <v>0</v>
          </cell>
        </row>
        <row r="1021">
          <cell r="A1021" t="str">
            <v/>
          </cell>
          <cell r="B1021" t="str">
            <v>Total Arrendamientos</v>
          </cell>
          <cell r="C1021">
            <v>0</v>
          </cell>
        </row>
        <row r="1022">
          <cell r="A1022" t="str">
            <v/>
          </cell>
          <cell r="B1022" t="str">
            <v>281060. Contribuciones y Afiliaciones</v>
          </cell>
          <cell r="C1022">
            <v>0</v>
          </cell>
        </row>
        <row r="1023">
          <cell r="A1023" t="str">
            <v>281060000</v>
          </cell>
          <cell r="B1023" t="str">
            <v>281060000 GTOS ESTIMADOS POR CONTRIBUCIONES Y AFILIACIONES</v>
          </cell>
          <cell r="C1023">
            <v>0</v>
          </cell>
        </row>
        <row r="1024">
          <cell r="A1024" t="str">
            <v/>
          </cell>
          <cell r="B1024" t="str">
            <v>Total Contribuciones y Afiliaciones</v>
          </cell>
          <cell r="C1024">
            <v>0</v>
          </cell>
        </row>
        <row r="1025">
          <cell r="A1025" t="str">
            <v/>
          </cell>
          <cell r="B1025" t="str">
            <v>281065. Servicios varios</v>
          </cell>
          <cell r="C1025">
            <v>0</v>
          </cell>
        </row>
        <row r="1026">
          <cell r="A1026" t="str">
            <v>281065000</v>
          </cell>
          <cell r="B1026" t="str">
            <v>281065000 GTOS ESTIMADOS POR SERVICIOS VARIOS</v>
          </cell>
          <cell r="C1026">
            <v>-146588328</v>
          </cell>
        </row>
        <row r="1027">
          <cell r="A1027" t="str">
            <v/>
          </cell>
          <cell r="B1027" t="str">
            <v>Total Servicios varios</v>
          </cell>
          <cell r="C1027">
            <v>-146588328</v>
          </cell>
        </row>
        <row r="1028">
          <cell r="A1028" t="str">
            <v/>
          </cell>
          <cell r="B1028" t="str">
            <v>281095. Otros</v>
          </cell>
          <cell r="C1028">
            <v>0</v>
          </cell>
        </row>
        <row r="1029">
          <cell r="A1029" t="str">
            <v>281095011</v>
          </cell>
          <cell r="B1029" t="str">
            <v>281095011 OTROS GASTOS ESTIMADOS</v>
          </cell>
          <cell r="C1029">
            <v>-15142179</v>
          </cell>
        </row>
        <row r="1030">
          <cell r="A1030" t="str">
            <v>281095012</v>
          </cell>
          <cell r="B1030" t="str">
            <v>281095012 OTROS ESTIMADOS DESCUENTO ESPECIAL EN COMPRAS</v>
          </cell>
          <cell r="C1030">
            <v>-4890386000</v>
          </cell>
        </row>
        <row r="1031">
          <cell r="A1031" t="str">
            <v>281095013</v>
          </cell>
          <cell r="B1031" t="str">
            <v>281095013 OTROS ESTIMADOS ALTO COSTO</v>
          </cell>
          <cell r="C1031">
            <v>-165401008</v>
          </cell>
        </row>
        <row r="1032">
          <cell r="A1032" t="str">
            <v>281095017</v>
          </cell>
          <cell r="B1032" t="str">
            <v>281095017 OTROS ESTIMADOS FIDELIDAD</v>
          </cell>
          <cell r="C1032">
            <v>0</v>
          </cell>
        </row>
        <row r="1033">
          <cell r="A1033" t="str">
            <v>281095018</v>
          </cell>
          <cell r="B1033" t="str">
            <v>281095018 OTROS ESTIMADOS PLANES COMERCIALES</v>
          </cell>
          <cell r="C1033">
            <v>-820043039</v>
          </cell>
        </row>
        <row r="1034">
          <cell r="A1034" t="str">
            <v>281095019</v>
          </cell>
          <cell r="B1034" t="str">
            <v>281095019 OTROS ESTIMADOS EVENTOS PLANES PROMOCIONALES</v>
          </cell>
          <cell r="C1034">
            <v>-793252913</v>
          </cell>
        </row>
        <row r="1035">
          <cell r="A1035" t="str">
            <v>281095020</v>
          </cell>
          <cell r="B1035" t="str">
            <v>281095020 OTROS ESTIMADOS ESCICION AYC</v>
          </cell>
          <cell r="C1035">
            <v>-405427494</v>
          </cell>
        </row>
        <row r="1036">
          <cell r="A1036" t="str">
            <v>281095050</v>
          </cell>
          <cell r="B1036" t="str">
            <v>281095050 OTROS ESTIMADOS GASTOS BANCARIOS</v>
          </cell>
          <cell r="C1036">
            <v>-42358179</v>
          </cell>
        </row>
        <row r="1037">
          <cell r="A1037" t="str">
            <v/>
          </cell>
          <cell r="B1037" t="str">
            <v>Total Otros</v>
          </cell>
          <cell r="C1037">
            <v>-7132010812</v>
          </cell>
        </row>
        <row r="1038">
          <cell r="A1038" t="str">
            <v/>
          </cell>
          <cell r="B1038" t="str">
            <v>Total 2810 Para Costos y gastos</v>
          </cell>
          <cell r="C1038">
            <v>-7650357736</v>
          </cell>
        </row>
        <row r="1039">
          <cell r="A1039" t="str">
            <v/>
          </cell>
          <cell r="B1039" t="str">
            <v>2820. Para Mantenimiento y reparaciones</v>
          </cell>
          <cell r="C1039">
            <v>0</v>
          </cell>
        </row>
        <row r="1040">
          <cell r="A1040" t="str">
            <v/>
          </cell>
          <cell r="B1040" t="str">
            <v>282025. Equipo de computacion y comunicacion</v>
          </cell>
          <cell r="C1040">
            <v>0</v>
          </cell>
        </row>
        <row r="1041">
          <cell r="A1041" t="str">
            <v>282025001</v>
          </cell>
          <cell r="B1041" t="str">
            <v>282025001 GTOS ESTIMADOS EQ. COMPUTO Y COMUNICACION</v>
          </cell>
          <cell r="C1041">
            <v>-12129999</v>
          </cell>
        </row>
        <row r="1042">
          <cell r="A1042" t="str">
            <v/>
          </cell>
          <cell r="B1042" t="str">
            <v>Total Equipo de computacion y comunicaciones</v>
          </cell>
          <cell r="C1042">
            <v>-12129999</v>
          </cell>
        </row>
        <row r="1043">
          <cell r="A1043" t="str">
            <v/>
          </cell>
          <cell r="B1043" t="str">
            <v>Total 2820 Para Mantenimiento y reparaciones</v>
          </cell>
          <cell r="C1043">
            <v>-12129999</v>
          </cell>
        </row>
        <row r="1044">
          <cell r="A1044" t="str">
            <v/>
          </cell>
          <cell r="B1044" t="str">
            <v>2825. Obligaciones laborales</v>
          </cell>
          <cell r="C1044">
            <v>0</v>
          </cell>
        </row>
        <row r="1045">
          <cell r="A1045" t="str">
            <v/>
          </cell>
          <cell r="B1045" t="str">
            <v>282505. Cesantias</v>
          </cell>
          <cell r="C1045">
            <v>0</v>
          </cell>
        </row>
        <row r="1046">
          <cell r="A1046" t="str">
            <v>282505001</v>
          </cell>
          <cell r="B1046" t="str">
            <v>282505001 CESANTIAS     AYC</v>
          </cell>
          <cell r="C1046">
            <v>0</v>
          </cell>
        </row>
        <row r="1047">
          <cell r="A1047" t="str">
            <v>282505002</v>
          </cell>
          <cell r="B1047" t="str">
            <v>282505002 CESANTIAS</v>
          </cell>
          <cell r="C1047">
            <v>-320792124</v>
          </cell>
        </row>
        <row r="1048">
          <cell r="A1048" t="str">
            <v/>
          </cell>
          <cell r="B1048" t="str">
            <v>Total Cesantias</v>
          </cell>
          <cell r="C1048">
            <v>-320792124</v>
          </cell>
        </row>
        <row r="1049">
          <cell r="A1049" t="str">
            <v/>
          </cell>
          <cell r="B1049" t="str">
            <v>282510. Intereses sobre cesantias</v>
          </cell>
          <cell r="C1049">
            <v>0</v>
          </cell>
        </row>
        <row r="1050">
          <cell r="A1050" t="str">
            <v>282510001</v>
          </cell>
          <cell r="B1050" t="str">
            <v>282510001 INTERESES SOBRE CESANTIAS AYC</v>
          </cell>
          <cell r="C1050">
            <v>0</v>
          </cell>
        </row>
        <row r="1051">
          <cell r="A1051" t="str">
            <v>282510002</v>
          </cell>
          <cell r="B1051" t="str">
            <v>282510002 INTERESES SOBRE CESANTIAS</v>
          </cell>
          <cell r="C1051">
            <v>-26447726</v>
          </cell>
        </row>
        <row r="1052">
          <cell r="A1052" t="str">
            <v/>
          </cell>
          <cell r="B1052" t="str">
            <v>Total Intereses sobre cesantias</v>
          </cell>
          <cell r="C1052">
            <v>-26447726</v>
          </cell>
        </row>
        <row r="1053">
          <cell r="A1053" t="str">
            <v/>
          </cell>
          <cell r="B1053" t="str">
            <v>282515. Vacaciones</v>
          </cell>
          <cell r="C1053">
            <v>0</v>
          </cell>
        </row>
        <row r="1054">
          <cell r="A1054" t="str">
            <v>282515002</v>
          </cell>
          <cell r="B1054" t="str">
            <v>282515002 VACACIONES</v>
          </cell>
          <cell r="C1054">
            <v>-125514234</v>
          </cell>
        </row>
        <row r="1055">
          <cell r="A1055" t="str">
            <v/>
          </cell>
          <cell r="B1055" t="str">
            <v>Total Vacaciones</v>
          </cell>
          <cell r="C1055">
            <v>-125514234</v>
          </cell>
        </row>
        <row r="1056">
          <cell r="A1056" t="str">
            <v/>
          </cell>
          <cell r="B1056" t="str">
            <v>282520. Prima Legal</v>
          </cell>
          <cell r="C1056">
            <v>0</v>
          </cell>
        </row>
        <row r="1057">
          <cell r="A1057" t="str">
            <v>282520002</v>
          </cell>
          <cell r="B1057" t="str">
            <v>282520002 PRIMA LEGAL</v>
          </cell>
          <cell r="C1057">
            <v>-127885115</v>
          </cell>
        </row>
        <row r="1058">
          <cell r="A1058" t="str">
            <v/>
          </cell>
          <cell r="B1058" t="str">
            <v>Total Prima Legal</v>
          </cell>
          <cell r="C1058">
            <v>-127885115</v>
          </cell>
        </row>
        <row r="1059">
          <cell r="A1059" t="str">
            <v/>
          </cell>
          <cell r="B1059" t="str">
            <v>282595. Otras prestaciones</v>
          </cell>
          <cell r="C1059">
            <v>0</v>
          </cell>
        </row>
        <row r="1060">
          <cell r="A1060" t="str">
            <v>282595008</v>
          </cell>
          <cell r="B1060" t="str">
            <v>282595008 ATENCION Y ESTIMULOS AYC</v>
          </cell>
          <cell r="C1060">
            <v>0</v>
          </cell>
        </row>
        <row r="1061">
          <cell r="A1061" t="str">
            <v>282595021</v>
          </cell>
          <cell r="B1061" t="str">
            <v>282595021 AUXILIO DE VACACIONES</v>
          </cell>
          <cell r="C1061">
            <v>-63306145</v>
          </cell>
        </row>
        <row r="1062">
          <cell r="A1062" t="str">
            <v>282595024</v>
          </cell>
          <cell r="B1062" t="str">
            <v>282595024 SERVICIO MEDICO</v>
          </cell>
          <cell r="C1062">
            <v>0</v>
          </cell>
        </row>
        <row r="1063">
          <cell r="A1063" t="str">
            <v>282595025</v>
          </cell>
          <cell r="B1063" t="str">
            <v>282595025 ATENCION Y ESTIMULOS Y DE INTEGRACION(PERSONAL)</v>
          </cell>
          <cell r="C1063">
            <v>-32580000</v>
          </cell>
        </row>
        <row r="1064">
          <cell r="A1064" t="str">
            <v>282595027</v>
          </cell>
          <cell r="B1064" t="str">
            <v>282595027 BONIFICACION DE NAVIDAD</v>
          </cell>
          <cell r="C1064">
            <v>-328218497</v>
          </cell>
        </row>
        <row r="1065">
          <cell r="A1065" t="str">
            <v>282595028</v>
          </cell>
          <cell r="B1065" t="str">
            <v>282595028 INDEMNIZACIONES</v>
          </cell>
          <cell r="C1065">
            <v>0</v>
          </cell>
        </row>
        <row r="1066">
          <cell r="A1066" t="str">
            <v/>
          </cell>
          <cell r="B1066" t="str">
            <v>Total Otras prestaciones</v>
          </cell>
          <cell r="C1066">
            <v>-424104642</v>
          </cell>
        </row>
        <row r="1067">
          <cell r="A1067" t="str">
            <v/>
          </cell>
          <cell r="B1067" t="str">
            <v>Total 2825 Obligaciones laborales</v>
          </cell>
          <cell r="C1067">
            <v>-1024743841</v>
          </cell>
        </row>
        <row r="1068">
          <cell r="A1068" t="str">
            <v/>
          </cell>
          <cell r="B1068" t="str">
            <v>2830. Impuestos</v>
          </cell>
          <cell r="C1068">
            <v>0</v>
          </cell>
        </row>
        <row r="1069">
          <cell r="A1069" t="str">
            <v/>
          </cell>
          <cell r="B1069" t="str">
            <v>283005. Renta Y Complementarios</v>
          </cell>
          <cell r="C1069">
            <v>0</v>
          </cell>
        </row>
        <row r="1070">
          <cell r="A1070" t="str">
            <v>283005000</v>
          </cell>
          <cell r="B1070" t="str">
            <v>283005000 IMPUESTO DE RENTA</v>
          </cell>
          <cell r="C1070">
            <v>0</v>
          </cell>
        </row>
        <row r="1071">
          <cell r="A1071" t="str">
            <v/>
          </cell>
          <cell r="B1071" t="str">
            <v>Total Renta Y Complementarios</v>
          </cell>
          <cell r="C1071">
            <v>0</v>
          </cell>
        </row>
        <row r="1072">
          <cell r="A1072" t="str">
            <v/>
          </cell>
          <cell r="B1072" t="str">
            <v>283010. Industria Comercio</v>
          </cell>
          <cell r="C1072">
            <v>0</v>
          </cell>
        </row>
        <row r="1073">
          <cell r="A1073" t="str">
            <v>283010001</v>
          </cell>
          <cell r="B1073" t="str">
            <v>283010001 INDUSTRIA Y COMERCIO BOGOTA</v>
          </cell>
          <cell r="C1073">
            <v>-186381410</v>
          </cell>
        </row>
        <row r="1074">
          <cell r="A1074" t="str">
            <v>283010002</v>
          </cell>
          <cell r="B1074" t="str">
            <v>283010002 INDUSTRIA Y COMERCIO BARRANQUILLA</v>
          </cell>
          <cell r="C1074">
            <v>-26763422</v>
          </cell>
        </row>
        <row r="1075">
          <cell r="A1075" t="str">
            <v>283010003</v>
          </cell>
          <cell r="B1075" t="str">
            <v>283010003 INDUSTRIA Y COMERCIO YUMBO</v>
          </cell>
          <cell r="C1075">
            <v>-3197249</v>
          </cell>
        </row>
        <row r="1076">
          <cell r="A1076" t="str">
            <v>283010004</v>
          </cell>
          <cell r="B1076" t="str">
            <v>283010004 INDUSTRIA Y COMERCIO LETICIA</v>
          </cell>
          <cell r="C1076">
            <v>-9801316</v>
          </cell>
        </row>
        <row r="1077">
          <cell r="A1077" t="str">
            <v/>
          </cell>
          <cell r="B1077" t="str">
            <v>Total Industria Comercio</v>
          </cell>
          <cell r="C1077">
            <v>-226143397</v>
          </cell>
        </row>
        <row r="1078">
          <cell r="A1078" t="str">
            <v/>
          </cell>
          <cell r="B1078" t="str">
            <v>283015. Predial</v>
          </cell>
          <cell r="C1078">
            <v>0</v>
          </cell>
        </row>
        <row r="1079">
          <cell r="A1079" t="str">
            <v>283015001</v>
          </cell>
          <cell r="B1079" t="str">
            <v>283015001 IMPUESTO PREDIAL BOGOTA</v>
          </cell>
          <cell r="C1079">
            <v>0</v>
          </cell>
        </row>
        <row r="1080">
          <cell r="A1080" t="str">
            <v>283015002</v>
          </cell>
          <cell r="B1080" t="str">
            <v>283015002 PREDIAL BARRANQUILLA</v>
          </cell>
          <cell r="C1080">
            <v>0</v>
          </cell>
        </row>
        <row r="1081">
          <cell r="A1081" t="str">
            <v/>
          </cell>
          <cell r="B1081" t="str">
            <v>Total Predial</v>
          </cell>
          <cell r="C1081">
            <v>0</v>
          </cell>
        </row>
        <row r="1082">
          <cell r="A1082" t="str">
            <v/>
          </cell>
          <cell r="B1082" t="str">
            <v>283095. Otros impuestos</v>
          </cell>
          <cell r="C1082">
            <v>0</v>
          </cell>
        </row>
        <row r="1083">
          <cell r="A1083" t="str">
            <v>283095001</v>
          </cell>
          <cell r="B1083" t="str">
            <v>283095001 OTROS  IMPUESTOS</v>
          </cell>
          <cell r="C1083">
            <v>-13850822</v>
          </cell>
        </row>
        <row r="1084">
          <cell r="A1084" t="str">
            <v>283095002</v>
          </cell>
          <cell r="B1084" t="str">
            <v>283095002 OTROS IMPUESTO AL PATRIMONIO</v>
          </cell>
          <cell r="C1084">
            <v>0</v>
          </cell>
        </row>
        <row r="1085">
          <cell r="A1085" t="str">
            <v/>
          </cell>
          <cell r="B1085" t="str">
            <v>Total Otros impuestos</v>
          </cell>
          <cell r="C1085">
            <v>-13850822</v>
          </cell>
        </row>
        <row r="1086">
          <cell r="A1086" t="str">
            <v/>
          </cell>
          <cell r="B1086" t="str">
            <v>Total 2830 Impuestos</v>
          </cell>
          <cell r="C1086">
            <v>-239994219</v>
          </cell>
        </row>
        <row r="1087">
          <cell r="A1087" t="str">
            <v/>
          </cell>
          <cell r="B1087" t="str">
            <v>2835. Contribuciones y afiliaciones</v>
          </cell>
          <cell r="C1087">
            <v>0</v>
          </cell>
        </row>
        <row r="1088">
          <cell r="A1088" t="str">
            <v/>
          </cell>
          <cell r="B1088" t="str">
            <v>283520. Fondo de garantias de entidades coop.</v>
          </cell>
          <cell r="C1088">
            <v>0</v>
          </cell>
        </row>
        <row r="1089">
          <cell r="A1089" t="str">
            <v>283520001</v>
          </cell>
          <cell r="B1089" t="str">
            <v>283520001 CONTRIBUCCION FOGACOOP</v>
          </cell>
          <cell r="C1089">
            <v>0</v>
          </cell>
        </row>
        <row r="1090">
          <cell r="A1090" t="str">
            <v/>
          </cell>
          <cell r="B1090" t="str">
            <v>Total Fondo de garantias de entidades coop.</v>
          </cell>
          <cell r="C1090">
            <v>0</v>
          </cell>
        </row>
        <row r="1091">
          <cell r="A1091" t="str">
            <v/>
          </cell>
          <cell r="B1091" t="str">
            <v>Total 2835 Contribuciones y afiliaciones</v>
          </cell>
          <cell r="C1091">
            <v>0</v>
          </cell>
        </row>
        <row r="1092">
          <cell r="A1092" t="str">
            <v/>
          </cell>
          <cell r="B1092" t="str">
            <v>2845. Multas y sanciones,litigios,indem.y dem</v>
          </cell>
          <cell r="C1092">
            <v>0</v>
          </cell>
        </row>
        <row r="1093">
          <cell r="A1093" t="str">
            <v/>
          </cell>
          <cell r="B1093" t="str">
            <v>284525. Demandas Laborales</v>
          </cell>
          <cell r="C1093">
            <v>0</v>
          </cell>
        </row>
        <row r="1094">
          <cell r="A1094" t="str">
            <v>284525000</v>
          </cell>
          <cell r="B1094" t="str">
            <v>284525000 DEMANDAS LABORALES</v>
          </cell>
          <cell r="C1094">
            <v>-35000000</v>
          </cell>
        </row>
        <row r="1095">
          <cell r="A1095" t="str">
            <v/>
          </cell>
          <cell r="B1095" t="str">
            <v>Total. Demandas Laborales</v>
          </cell>
          <cell r="C1095">
            <v>-35000000</v>
          </cell>
        </row>
        <row r="1096">
          <cell r="A1096" t="str">
            <v/>
          </cell>
          <cell r="B1096" t="str">
            <v>Total 2845 Multas y sanci,litigios,indem.dem</v>
          </cell>
          <cell r="C1096">
            <v>-35000000</v>
          </cell>
        </row>
        <row r="1097">
          <cell r="A1097" t="str">
            <v/>
          </cell>
          <cell r="B1097" t="str">
            <v>Total 28. Pasivos Estimados Y Provisiones</v>
          </cell>
          <cell r="C1097">
            <v>-8962225795</v>
          </cell>
        </row>
        <row r="1098">
          <cell r="A1098" t="str">
            <v/>
          </cell>
          <cell r="B1098" t="str">
            <v>Total 2 Pasivo</v>
          </cell>
          <cell r="C1098">
            <v>-85856203373</v>
          </cell>
        </row>
        <row r="1099">
          <cell r="A1099" t="str">
            <v/>
          </cell>
          <cell r="B1099" t="str">
            <v>3. Patrimonio</v>
          </cell>
          <cell r="C1099">
            <v>0</v>
          </cell>
        </row>
        <row r="1100">
          <cell r="A1100" t="str">
            <v/>
          </cell>
          <cell r="B1100" t="str">
            <v>31. Capital Social</v>
          </cell>
          <cell r="C1100">
            <v>0</v>
          </cell>
        </row>
        <row r="1101">
          <cell r="A1101" t="str">
            <v/>
          </cell>
          <cell r="B1101" t="str">
            <v>3105. Aportes Sociales</v>
          </cell>
          <cell r="C1101">
            <v>0</v>
          </cell>
        </row>
        <row r="1102">
          <cell r="A1102" t="str">
            <v/>
          </cell>
          <cell r="B1102" t="str">
            <v>310505. Aportes ordinarios</v>
          </cell>
          <cell r="C1102">
            <v>0</v>
          </cell>
        </row>
        <row r="1103">
          <cell r="A1103" t="str">
            <v>310505002</v>
          </cell>
          <cell r="B1103" t="str">
            <v>310505002 RETORNO COOPERATIVO</v>
          </cell>
          <cell r="C1103">
            <v>-546349312</v>
          </cell>
        </row>
        <row r="1104">
          <cell r="A1104" t="str">
            <v>310505003</v>
          </cell>
          <cell r="B1104" t="str">
            <v>310505003 CAPITAL POR DESCUENTO ESP.EN COMPRAS</v>
          </cell>
          <cell r="C1104">
            <v>-13520168814</v>
          </cell>
        </row>
        <row r="1105">
          <cell r="A1105" t="str">
            <v>310505004</v>
          </cell>
          <cell r="B1105" t="str">
            <v>310505004 APORTES A CAPITAL DEL 1%</v>
          </cell>
          <cell r="C1105">
            <v>-5366805112</v>
          </cell>
        </row>
        <row r="1106">
          <cell r="A1106" t="str">
            <v>310505005</v>
          </cell>
          <cell r="B1106" t="str">
            <v>310505005 APORTES ORDINARIOS</v>
          </cell>
          <cell r="C1106">
            <v>-33526805525</v>
          </cell>
        </row>
        <row r="1107">
          <cell r="A1107" t="str">
            <v>310505051</v>
          </cell>
          <cell r="B1107" t="str">
            <v>310505051 CAPITAL PAGADO SECCION AHORRO Y CREDITO</v>
          </cell>
          <cell r="C1107">
            <v>0</v>
          </cell>
        </row>
        <row r="1108">
          <cell r="A1108" t="str">
            <v>310505099</v>
          </cell>
          <cell r="B1108" t="str">
            <v>310505099 CAPITALIZACIÓN POR REVALORIZACION</v>
          </cell>
          <cell r="C1108">
            <v>-4260117324</v>
          </cell>
        </row>
        <row r="1109">
          <cell r="A1109" t="str">
            <v/>
          </cell>
          <cell r="B1109" t="str">
            <v>Total Aportes ordinarios</v>
          </cell>
          <cell r="C1109">
            <v>-57220246087</v>
          </cell>
        </row>
        <row r="1110">
          <cell r="A1110" t="str">
            <v/>
          </cell>
          <cell r="B1110" t="str">
            <v>Total 3105 Aportes Sociales</v>
          </cell>
          <cell r="C1110">
            <v>-57220246087</v>
          </cell>
        </row>
        <row r="1111">
          <cell r="A1111" t="str">
            <v/>
          </cell>
          <cell r="B1111" t="str">
            <v>Total 31. Capital Social</v>
          </cell>
          <cell r="C1111">
            <v>-57220246087</v>
          </cell>
        </row>
        <row r="1112">
          <cell r="A1112" t="str">
            <v/>
          </cell>
          <cell r="B1112" t="str">
            <v>32. Reservas</v>
          </cell>
          <cell r="C1112">
            <v>0</v>
          </cell>
        </row>
        <row r="1113">
          <cell r="A1113" t="str">
            <v/>
          </cell>
          <cell r="B1113" t="str">
            <v>3205. Reserva proteccion de aportes</v>
          </cell>
          <cell r="C1113">
            <v>0</v>
          </cell>
        </row>
        <row r="1114">
          <cell r="A1114" t="str">
            <v/>
          </cell>
          <cell r="B1114" t="str">
            <v>320505. Reserva Proteccion de Aportes</v>
          </cell>
          <cell r="C1114">
            <v>0</v>
          </cell>
        </row>
        <row r="1115">
          <cell r="A1115" t="str">
            <v>320505000</v>
          </cell>
          <cell r="B1115" t="str">
            <v>320505000 PROTECCIÓN DE APORTES SOCIALES</v>
          </cell>
          <cell r="C1115">
            <v>-3112865684</v>
          </cell>
        </row>
        <row r="1116">
          <cell r="A1116" t="str">
            <v/>
          </cell>
          <cell r="B1116" t="str">
            <v>Total Reserva Proteccion de Aportes</v>
          </cell>
          <cell r="C1116">
            <v>-3112865684</v>
          </cell>
        </row>
        <row r="1117">
          <cell r="A1117" t="str">
            <v/>
          </cell>
          <cell r="B1117" t="str">
            <v>Total 3205 Reserva proteccion de aportes</v>
          </cell>
          <cell r="C1117">
            <v>-3112865684</v>
          </cell>
        </row>
        <row r="1118">
          <cell r="A1118" t="str">
            <v/>
          </cell>
          <cell r="B1118" t="str">
            <v>3215. Reserva de Asamblea</v>
          </cell>
          <cell r="C1118">
            <v>0</v>
          </cell>
        </row>
        <row r="1119">
          <cell r="A1119" t="str">
            <v/>
          </cell>
          <cell r="B1119" t="str">
            <v>321505. Reservas de Asamblea</v>
          </cell>
          <cell r="C1119">
            <v>0</v>
          </cell>
        </row>
        <row r="1120">
          <cell r="A1120" t="str">
            <v>321505000</v>
          </cell>
          <cell r="B1120" t="str">
            <v>321505000 RESERVAS DE ASAMBLEA</v>
          </cell>
          <cell r="C1120">
            <v>-850000</v>
          </cell>
        </row>
        <row r="1121">
          <cell r="A1121" t="str">
            <v/>
          </cell>
          <cell r="B1121" t="str">
            <v>Total Reservas de Asamblea</v>
          </cell>
          <cell r="C1121">
            <v>-850000</v>
          </cell>
        </row>
        <row r="1122">
          <cell r="A1122" t="str">
            <v/>
          </cell>
          <cell r="B1122" t="str">
            <v>321510. Reservas especiales</v>
          </cell>
          <cell r="C1122">
            <v>0</v>
          </cell>
        </row>
        <row r="1123">
          <cell r="A1123" t="str">
            <v>321510001</v>
          </cell>
          <cell r="B1123" t="str">
            <v>321510001 RESERVAS ESPECIALES</v>
          </cell>
          <cell r="C1123">
            <v>-240620067</v>
          </cell>
        </row>
        <row r="1124">
          <cell r="A1124" t="str">
            <v/>
          </cell>
          <cell r="B1124" t="str">
            <v>Total Reservas especiales</v>
          </cell>
          <cell r="C1124">
            <v>-240620067</v>
          </cell>
        </row>
        <row r="1125">
          <cell r="A1125" t="str">
            <v/>
          </cell>
          <cell r="B1125" t="str">
            <v>321520. Reserva por exp.a la inflacion.</v>
          </cell>
          <cell r="C1125">
            <v>0</v>
          </cell>
        </row>
        <row r="1126">
          <cell r="A1126" t="str">
            <v>321520000</v>
          </cell>
          <cell r="B1126" t="str">
            <v>321520000 RESERVA POR EXPOSICIÓN A LA INFLACIÓN</v>
          </cell>
          <cell r="C1126">
            <v>-7209574</v>
          </cell>
        </row>
        <row r="1127">
          <cell r="A1127" t="str">
            <v/>
          </cell>
          <cell r="B1127" t="str">
            <v>Total Reserva por exp.a la inflacion.</v>
          </cell>
          <cell r="C1127">
            <v>-7209574</v>
          </cell>
        </row>
        <row r="1128">
          <cell r="A1128" t="str">
            <v/>
          </cell>
          <cell r="B1128" t="str">
            <v>Total 3215 Reserva de Asamblea</v>
          </cell>
          <cell r="C1128">
            <v>-248679641</v>
          </cell>
        </row>
        <row r="1129">
          <cell r="A1129" t="str">
            <v/>
          </cell>
          <cell r="B1129" t="str">
            <v>Total 32. Reservas</v>
          </cell>
          <cell r="C1129">
            <v>-3361545325</v>
          </cell>
        </row>
        <row r="1130">
          <cell r="A1130" t="str">
            <v/>
          </cell>
          <cell r="B1130" t="str">
            <v>33. Fondos de Destinacion especifica</v>
          </cell>
          <cell r="C1130">
            <v>0</v>
          </cell>
        </row>
        <row r="1131">
          <cell r="A1131" t="str">
            <v/>
          </cell>
          <cell r="B1131" t="str">
            <v>3310. Fondo para revalorizacion de aportes</v>
          </cell>
          <cell r="C1131">
            <v>0</v>
          </cell>
        </row>
        <row r="1132">
          <cell r="A1132" t="str">
            <v/>
          </cell>
          <cell r="B1132" t="str">
            <v>331005. Fondo Para revalorizacion de Aportes</v>
          </cell>
          <cell r="C1132">
            <v>0</v>
          </cell>
        </row>
        <row r="1133">
          <cell r="A1133" t="str">
            <v>331005001</v>
          </cell>
          <cell r="B1133" t="str">
            <v>331005001 FONDO REVALORIZACION DE APORTES</v>
          </cell>
          <cell r="C1133">
            <v>-14880353</v>
          </cell>
        </row>
        <row r="1134">
          <cell r="A1134" t="str">
            <v/>
          </cell>
          <cell r="B1134" t="str">
            <v>Total Fondo Para revalorizacion de Aportes</v>
          </cell>
          <cell r="C1134">
            <v>-14880353</v>
          </cell>
        </row>
        <row r="1135">
          <cell r="A1135" t="str">
            <v/>
          </cell>
          <cell r="B1135" t="str">
            <v>Total 3310 Fdo para revalorizacion de aportes</v>
          </cell>
          <cell r="C1135">
            <v>-14880353</v>
          </cell>
        </row>
        <row r="1136">
          <cell r="A1136" t="str">
            <v/>
          </cell>
          <cell r="B1136" t="str">
            <v>3325. Fondo especial</v>
          </cell>
          <cell r="C1136">
            <v>0</v>
          </cell>
        </row>
        <row r="1137">
          <cell r="A1137" t="str">
            <v/>
          </cell>
          <cell r="B1137" t="str">
            <v>332505. Fondo Especial</v>
          </cell>
          <cell r="C1137">
            <v>0</v>
          </cell>
        </row>
        <row r="1138">
          <cell r="A1138" t="str">
            <v>332505000</v>
          </cell>
          <cell r="B1138" t="str">
            <v>332505000 FONDO ESPECIAL</v>
          </cell>
          <cell r="C1138">
            <v>-3108724536</v>
          </cell>
        </row>
        <row r="1139">
          <cell r="A1139" t="str">
            <v/>
          </cell>
          <cell r="B1139" t="str">
            <v>Total Fondo Especial</v>
          </cell>
          <cell r="C1139">
            <v>-3108724536</v>
          </cell>
        </row>
        <row r="1140">
          <cell r="A1140" t="str">
            <v/>
          </cell>
          <cell r="B1140" t="str">
            <v>Total 3325 Fondo especial</v>
          </cell>
          <cell r="C1140">
            <v>-3108724536</v>
          </cell>
        </row>
        <row r="1141">
          <cell r="A1141" t="str">
            <v/>
          </cell>
          <cell r="B1141" t="str">
            <v>3335. Fondos de inversion</v>
          </cell>
          <cell r="C1141">
            <v>0</v>
          </cell>
        </row>
        <row r="1142">
          <cell r="A1142" t="str">
            <v/>
          </cell>
          <cell r="B1142" t="str">
            <v>333505. Fondos de inversion</v>
          </cell>
          <cell r="C1142">
            <v>0</v>
          </cell>
        </row>
        <row r="1143">
          <cell r="A1143" t="str">
            <v>333505000</v>
          </cell>
          <cell r="B1143" t="str">
            <v>333505000 FONDOS DE INVERSIÓN</v>
          </cell>
          <cell r="C1143">
            <v>-57447547</v>
          </cell>
        </row>
        <row r="1144">
          <cell r="A1144" t="str">
            <v/>
          </cell>
          <cell r="B1144" t="str">
            <v>Total Fondos de inversion</v>
          </cell>
          <cell r="C1144">
            <v>-57447547</v>
          </cell>
        </row>
        <row r="1145">
          <cell r="A1145" t="str">
            <v/>
          </cell>
          <cell r="B1145" t="str">
            <v>Total 3335 Fondos de inversion</v>
          </cell>
          <cell r="C1145">
            <v>-57447547</v>
          </cell>
        </row>
        <row r="1146">
          <cell r="A1146" t="str">
            <v/>
          </cell>
          <cell r="B1146" t="str">
            <v>3340. Otros fondos</v>
          </cell>
          <cell r="C1146">
            <v>0</v>
          </cell>
        </row>
        <row r="1147">
          <cell r="A1147" t="str">
            <v/>
          </cell>
          <cell r="B1147" t="str">
            <v>334005. Otros Fondos</v>
          </cell>
          <cell r="C1147">
            <v>0</v>
          </cell>
        </row>
        <row r="1148">
          <cell r="A1148" t="str">
            <v>334005002</v>
          </cell>
          <cell r="B1148" t="str">
            <v>334005002 OTROS FONDOS DE INVERSIÓN</v>
          </cell>
          <cell r="C1148">
            <v>-50017116</v>
          </cell>
        </row>
        <row r="1149">
          <cell r="A1149" t="str">
            <v>334005003</v>
          </cell>
          <cell r="B1149" t="str">
            <v>334005003 FONDO ESPECIAL PUC RES.1017</v>
          </cell>
          <cell r="C1149">
            <v>-49334496</v>
          </cell>
        </row>
        <row r="1150">
          <cell r="A1150" t="str">
            <v/>
          </cell>
          <cell r="B1150" t="str">
            <v>Total Otros Fondos</v>
          </cell>
          <cell r="C1150">
            <v>-99351612</v>
          </cell>
        </row>
        <row r="1151">
          <cell r="A1151" t="str">
            <v/>
          </cell>
          <cell r="B1151" t="str">
            <v>Total 3340 Otros fondos</v>
          </cell>
          <cell r="C1151">
            <v>-99351612</v>
          </cell>
        </row>
        <row r="1152">
          <cell r="A1152" t="str">
            <v/>
          </cell>
          <cell r="B1152" t="str">
            <v>Total 33. Fondos de Destinacion especifica</v>
          </cell>
          <cell r="C1152">
            <v>-3280404048</v>
          </cell>
        </row>
        <row r="1153">
          <cell r="A1153" t="str">
            <v/>
          </cell>
          <cell r="B1153" t="str">
            <v>34. Superavit</v>
          </cell>
          <cell r="C1153">
            <v>0</v>
          </cell>
        </row>
        <row r="1154">
          <cell r="A1154" t="str">
            <v/>
          </cell>
          <cell r="B1154" t="str">
            <v>3405. Auxilios y donaciones</v>
          </cell>
          <cell r="C1154">
            <v>0</v>
          </cell>
        </row>
        <row r="1155">
          <cell r="A1155" t="str">
            <v/>
          </cell>
          <cell r="B1155" t="str">
            <v>340505. Entidades Particulares</v>
          </cell>
          <cell r="C1155">
            <v>0</v>
          </cell>
        </row>
        <row r="1156">
          <cell r="A1156" t="str">
            <v>340505001</v>
          </cell>
          <cell r="B1156" t="str">
            <v>340505001 AUXILIOS Y DONACIONES PERSONALES</v>
          </cell>
          <cell r="C1156">
            <v>-297400</v>
          </cell>
        </row>
        <row r="1157">
          <cell r="A1157" t="str">
            <v/>
          </cell>
          <cell r="B1157" t="str">
            <v>Total Entidades Particulares</v>
          </cell>
          <cell r="C1157">
            <v>-297400</v>
          </cell>
        </row>
        <row r="1158">
          <cell r="A1158" t="str">
            <v/>
          </cell>
          <cell r="B1158" t="str">
            <v>Total 3405 Auxilios y donaciones</v>
          </cell>
          <cell r="C1158">
            <v>-297400</v>
          </cell>
        </row>
        <row r="1159">
          <cell r="A1159" t="str">
            <v/>
          </cell>
          <cell r="B1159" t="str">
            <v>3415. Valorizaciones</v>
          </cell>
          <cell r="C1159">
            <v>0</v>
          </cell>
        </row>
        <row r="1160">
          <cell r="A1160" t="str">
            <v/>
          </cell>
          <cell r="B1160" t="str">
            <v>341510. Propiedades,Planta Y equipo</v>
          </cell>
          <cell r="C1160">
            <v>0</v>
          </cell>
        </row>
        <row r="1161">
          <cell r="A1161" t="str">
            <v>341510001</v>
          </cell>
          <cell r="B1161" t="str">
            <v>341510001 VALORIZACIÓN PROP. PLANTAY EQUIPO</v>
          </cell>
          <cell r="C1161">
            <v>-5954749187</v>
          </cell>
        </row>
        <row r="1162">
          <cell r="A1162" t="str">
            <v/>
          </cell>
          <cell r="B1162" t="str">
            <v>Total Propiedades,Planta Y equipo</v>
          </cell>
          <cell r="C1162">
            <v>-5954749187</v>
          </cell>
        </row>
        <row r="1163">
          <cell r="A1163" t="str">
            <v/>
          </cell>
          <cell r="B1163" t="str">
            <v>Total 3415 Valorizaciones</v>
          </cell>
          <cell r="C1163">
            <v>-5954749187</v>
          </cell>
        </row>
        <row r="1164">
          <cell r="A1164" t="str">
            <v/>
          </cell>
          <cell r="B1164" t="str">
            <v>Total 34. Superavit</v>
          </cell>
          <cell r="C1164">
            <v>-5955046587</v>
          </cell>
        </row>
        <row r="1165">
          <cell r="A1165" t="str">
            <v/>
          </cell>
          <cell r="B1165" t="str">
            <v>35. Resultados del Ejercicio</v>
          </cell>
          <cell r="C1165">
            <v>0</v>
          </cell>
        </row>
        <row r="1166">
          <cell r="A1166" t="str">
            <v/>
          </cell>
          <cell r="B1166" t="str">
            <v>3505. Excedentes y/o perdidas</v>
          </cell>
          <cell r="C1166">
            <v>0</v>
          </cell>
        </row>
        <row r="1167">
          <cell r="A1167" t="str">
            <v/>
          </cell>
          <cell r="B1167" t="str">
            <v>350505. Excedentes</v>
          </cell>
          <cell r="C1167">
            <v>0</v>
          </cell>
        </row>
        <row r="1168">
          <cell r="A1168" t="str">
            <v>350505000</v>
          </cell>
          <cell r="B1168" t="str">
            <v>350505000 EXCEDENTES</v>
          </cell>
          <cell r="C1168">
            <v>0</v>
          </cell>
        </row>
        <row r="1169">
          <cell r="A1169" t="str">
            <v>350505001</v>
          </cell>
          <cell r="B1169" t="str">
            <v>350505001 EXCEDENTES AYC</v>
          </cell>
          <cell r="C1169">
            <v>0</v>
          </cell>
        </row>
        <row r="1170">
          <cell r="A1170" t="str">
            <v/>
          </cell>
          <cell r="B1170" t="str">
            <v>Total Excedentes</v>
          </cell>
          <cell r="C1170">
            <v>0</v>
          </cell>
        </row>
        <row r="1171">
          <cell r="A1171" t="str">
            <v/>
          </cell>
          <cell r="B1171" t="str">
            <v>Total 3505 Excedentes y/o perdidas</v>
          </cell>
          <cell r="C1171">
            <v>0</v>
          </cell>
        </row>
        <row r="1172">
          <cell r="A1172" t="str">
            <v/>
          </cell>
          <cell r="B1172" t="str">
            <v>Total 35. Resultados del Ejercicio</v>
          </cell>
          <cell r="C1172">
            <v>0</v>
          </cell>
        </row>
        <row r="1173">
          <cell r="A1173" t="str">
            <v/>
          </cell>
          <cell r="B1173" t="str">
            <v>36. Resultados de ejercicios anteriores</v>
          </cell>
          <cell r="C1173">
            <v>0</v>
          </cell>
        </row>
        <row r="1174">
          <cell r="A1174" t="str">
            <v/>
          </cell>
          <cell r="B1174" t="str">
            <v>3605. Excedentes y/o perdidas</v>
          </cell>
          <cell r="C1174">
            <v>0</v>
          </cell>
        </row>
        <row r="1175">
          <cell r="A1175" t="str">
            <v/>
          </cell>
          <cell r="B1175" t="str">
            <v>360505. Excedentes</v>
          </cell>
          <cell r="C1175">
            <v>0</v>
          </cell>
        </row>
        <row r="1176">
          <cell r="A1176" t="str">
            <v>360505000</v>
          </cell>
          <cell r="B1176" t="str">
            <v>360505000 EXCEDENTES</v>
          </cell>
          <cell r="C1176">
            <v>0</v>
          </cell>
        </row>
        <row r="1177">
          <cell r="A1177" t="str">
            <v/>
          </cell>
          <cell r="B1177" t="str">
            <v>Total Excedentes</v>
          </cell>
          <cell r="C1177">
            <v>0</v>
          </cell>
        </row>
        <row r="1178">
          <cell r="A1178" t="str">
            <v/>
          </cell>
          <cell r="B1178" t="str">
            <v>Total 3605 Excedentes y/o perdidas</v>
          </cell>
          <cell r="C1178">
            <v>0</v>
          </cell>
        </row>
        <row r="1179">
          <cell r="A1179" t="str">
            <v/>
          </cell>
          <cell r="B1179" t="str">
            <v>Total 36. Resultados de ejercicios anteriores</v>
          </cell>
          <cell r="C1179">
            <v>0</v>
          </cell>
        </row>
        <row r="1180">
          <cell r="A1180" t="str">
            <v/>
          </cell>
          <cell r="B1180" t="str">
            <v>Total 3 Patrimonio</v>
          </cell>
          <cell r="C1180">
            <v>-69817242047</v>
          </cell>
        </row>
        <row r="1181">
          <cell r="A1181" t="str">
            <v/>
          </cell>
          <cell r="B1181" t="str">
            <v>Total Pasivo y Patrimonio</v>
          </cell>
          <cell r="C1181">
            <v>-155673445420</v>
          </cell>
        </row>
        <row r="1182">
          <cell r="A1182" t="str">
            <v/>
          </cell>
          <cell r="B1182" t="str">
            <v>Resultado del balance gananacias</v>
          </cell>
          <cell r="C1182">
            <v>0</v>
          </cell>
        </row>
        <row r="1183">
          <cell r="A1183" t="str">
            <v/>
          </cell>
          <cell r="B1183" t="str">
            <v>Resultado del balance gananacias</v>
          </cell>
          <cell r="C1183">
            <v>-2660673402</v>
          </cell>
        </row>
        <row r="1184">
          <cell r="A1184" t="str">
            <v/>
          </cell>
          <cell r="B1184" t="str">
            <v>4. Ingresos</v>
          </cell>
          <cell r="C1184">
            <v>0</v>
          </cell>
        </row>
        <row r="1185">
          <cell r="A1185" t="str">
            <v/>
          </cell>
          <cell r="B1185" t="str">
            <v>41. Operacionales</v>
          </cell>
          <cell r="C1185">
            <v>0</v>
          </cell>
        </row>
        <row r="1186">
          <cell r="A1186" t="str">
            <v/>
          </cell>
          <cell r="B1186" t="str">
            <v>4135. Comercio al Por mayor y al por menor</v>
          </cell>
          <cell r="C1186">
            <v>0</v>
          </cell>
        </row>
        <row r="1187">
          <cell r="A1187" t="str">
            <v/>
          </cell>
          <cell r="B1187" t="str">
            <v>413538. Venta,product.aseo,farmaceut.medic.to</v>
          </cell>
          <cell r="C1187">
            <v>0</v>
          </cell>
        </row>
        <row r="1188">
          <cell r="A1188" t="str">
            <v>413538001</v>
          </cell>
          <cell r="B1188" t="str">
            <v>413538001 VENTAS MERCANCÍA  EXCLUIDO  ETICOS ASOCIADOS</v>
          </cell>
          <cell r="C1188">
            <v>-284966234581</v>
          </cell>
        </row>
        <row r="1189">
          <cell r="A1189" t="str">
            <v>413538002</v>
          </cell>
          <cell r="B1189" t="str">
            <v>413538002 VENTAS MERCANCÍA  EXCLUIDO POPULARES ASOCIADOS</v>
          </cell>
          <cell r="C1189">
            <v>-41997665071</v>
          </cell>
        </row>
        <row r="1190">
          <cell r="A1190" t="str">
            <v>413538004</v>
          </cell>
          <cell r="B1190" t="str">
            <v>413538004 VENTAS MERCANCÍA  GRAVADA ETICOS ASOCIADOS</v>
          </cell>
          <cell r="C1190">
            <v>-3341891954</v>
          </cell>
        </row>
        <row r="1191">
          <cell r="A1191" t="str">
            <v>413538005</v>
          </cell>
          <cell r="B1191" t="str">
            <v>413538005 VENTAS MERCANCÍA  GRAVADAS POPULARES ASOCIADOS</v>
          </cell>
          <cell r="C1191">
            <v>-125047854411</v>
          </cell>
        </row>
        <row r="1192">
          <cell r="A1192" t="str">
            <v>413538006</v>
          </cell>
          <cell r="B1192" t="str">
            <v>413538006 VENTAS MERCANCÍA  GRAVADAS  CONVENIOS</v>
          </cell>
          <cell r="C1192">
            <v>-1903087884</v>
          </cell>
        </row>
        <row r="1193">
          <cell r="A1193" t="str">
            <v>413538014</v>
          </cell>
          <cell r="B1193" t="str">
            <v>413538014 VENTAS MERCANCÍA  GRAVADAS POPULARES EPS</v>
          </cell>
          <cell r="C1193">
            <v>-248735</v>
          </cell>
        </row>
        <row r="1194">
          <cell r="A1194" t="str">
            <v>413538031</v>
          </cell>
          <cell r="B1194" t="str">
            <v>413538031 VENTAS MERCANCÍA  EXCLUIDA  ETICOS TERCEROS</v>
          </cell>
          <cell r="C1194">
            <v>-310579303</v>
          </cell>
        </row>
        <row r="1195">
          <cell r="A1195" t="str">
            <v>413538032</v>
          </cell>
          <cell r="B1195" t="str">
            <v>413538032 VENTAS MERCANCÍA  EXCLUIDA POPULARES TERCEROS</v>
          </cell>
          <cell r="C1195">
            <v>-48542934</v>
          </cell>
        </row>
        <row r="1196">
          <cell r="A1196" t="str">
            <v>413538034</v>
          </cell>
          <cell r="B1196" t="str">
            <v>413538034 VENTAS MERCANCÍA  GRAVADA ETICOS TERCEROS</v>
          </cell>
          <cell r="C1196">
            <v>-1433736</v>
          </cell>
        </row>
        <row r="1197">
          <cell r="A1197" t="str">
            <v>413538035</v>
          </cell>
          <cell r="B1197" t="str">
            <v>413538035 VENTAS MERCANCÍA  GRAVADA POPULARES TERCEROS</v>
          </cell>
          <cell r="C1197">
            <v>-154259318</v>
          </cell>
        </row>
        <row r="1198">
          <cell r="A1198" t="str">
            <v>413538071</v>
          </cell>
          <cell r="B1198" t="str">
            <v>413538071 DIFERENCIAS EN PRECIOS MERCANCIA EXENTA</v>
          </cell>
          <cell r="C1198">
            <v>16563230</v>
          </cell>
        </row>
        <row r="1199">
          <cell r="A1199" t="str">
            <v>413538072</v>
          </cell>
          <cell r="B1199" t="str">
            <v>413538072 DIFERENCIAS EN PRECIOS MERCANCIA GRAVADA</v>
          </cell>
          <cell r="C1199">
            <v>1442934</v>
          </cell>
        </row>
        <row r="1200">
          <cell r="A1200" t="str">
            <v/>
          </cell>
          <cell r="B1200" t="str">
            <v>Total Venta,product.aseo,farmaceut.medic.toca</v>
          </cell>
          <cell r="C1200">
            <v>-457753791763</v>
          </cell>
        </row>
        <row r="1201">
          <cell r="A1201" t="str">
            <v/>
          </cell>
          <cell r="B1201" t="str">
            <v>Total 4135 Comerc al Por mayor y al por menor</v>
          </cell>
          <cell r="C1201">
            <v>-457753791763</v>
          </cell>
        </row>
        <row r="1202">
          <cell r="A1202" t="str">
            <v/>
          </cell>
          <cell r="B1202" t="str">
            <v>4150. Actividad Financiera</v>
          </cell>
          <cell r="C1202">
            <v>0</v>
          </cell>
        </row>
        <row r="1203">
          <cell r="A1203" t="str">
            <v/>
          </cell>
          <cell r="B1203" t="str">
            <v>415005. Intereses creditos comercial</v>
          </cell>
          <cell r="C1203">
            <v>0</v>
          </cell>
        </row>
        <row r="1204">
          <cell r="A1204" t="str">
            <v>415005001</v>
          </cell>
          <cell r="B1204" t="str">
            <v>415005001 INTER CORRIENTES CREDITOS COMERCIALES AYC</v>
          </cell>
          <cell r="C1204">
            <v>-550676388</v>
          </cell>
        </row>
        <row r="1205">
          <cell r="A1205" t="str">
            <v>415005002</v>
          </cell>
          <cell r="B1205" t="str">
            <v>415005002 INTER MORA CREDITOS COMERCIALES AYC</v>
          </cell>
          <cell r="C1205">
            <v>-2525489</v>
          </cell>
        </row>
        <row r="1206">
          <cell r="A1206" t="str">
            <v/>
          </cell>
          <cell r="B1206" t="str">
            <v>Total Intereses creditos comercial</v>
          </cell>
          <cell r="C1206">
            <v>-553201877</v>
          </cell>
        </row>
        <row r="1207">
          <cell r="A1207" t="str">
            <v/>
          </cell>
          <cell r="B1207" t="str">
            <v>415010. Intereses creditos consumo.</v>
          </cell>
          <cell r="C1207">
            <v>0</v>
          </cell>
        </row>
        <row r="1208">
          <cell r="A1208" t="str">
            <v>415010001</v>
          </cell>
          <cell r="B1208" t="str">
            <v>415010001 INTER CORRIENTES CREDITOS CONSUMO AYC</v>
          </cell>
          <cell r="C1208">
            <v>-2150346631</v>
          </cell>
        </row>
        <row r="1209">
          <cell r="A1209" t="str">
            <v>415010002</v>
          </cell>
          <cell r="B1209" t="str">
            <v>415010002 INTER MORA CREDITOS CONSUMO AYC</v>
          </cell>
          <cell r="C1209">
            <v>-24398435</v>
          </cell>
        </row>
        <row r="1210">
          <cell r="A1210" t="str">
            <v/>
          </cell>
          <cell r="B1210" t="str">
            <v>Total Intereses creditos consumo.</v>
          </cell>
          <cell r="C1210">
            <v>-2174745066</v>
          </cell>
        </row>
        <row r="1211">
          <cell r="A1211" t="str">
            <v/>
          </cell>
          <cell r="B1211" t="str">
            <v>415046. Intereses fondo de liquidez</v>
          </cell>
          <cell r="C1211">
            <v>0</v>
          </cell>
        </row>
        <row r="1212">
          <cell r="A1212" t="str">
            <v>415046001</v>
          </cell>
          <cell r="B1212" t="str">
            <v>415046001 RENDIMIENTOS INVERSIONES FONDO LIQUIDEZ AyC</v>
          </cell>
          <cell r="C1212">
            <v>-104577256</v>
          </cell>
        </row>
        <row r="1213">
          <cell r="A1213" t="str">
            <v/>
          </cell>
          <cell r="B1213" t="str">
            <v>Total Intereses fondo de liquidez</v>
          </cell>
          <cell r="C1213">
            <v>-104577256</v>
          </cell>
        </row>
        <row r="1214">
          <cell r="A1214" t="str">
            <v/>
          </cell>
          <cell r="B1214" t="str">
            <v>415055. Valoracion de inveriones permanentes</v>
          </cell>
          <cell r="C1214">
            <v>0</v>
          </cell>
        </row>
        <row r="1215">
          <cell r="A1215" t="str">
            <v>415055001</v>
          </cell>
          <cell r="B1215" t="str">
            <v>415055001 VALORACION DE  INVERSIONES PERMANENTES</v>
          </cell>
          <cell r="C1215">
            <v>-17167098</v>
          </cell>
        </row>
        <row r="1216">
          <cell r="A1216" t="str">
            <v/>
          </cell>
          <cell r="B1216" t="str">
            <v>Total  Valoracion de inveriones permanentes</v>
          </cell>
          <cell r="C1216">
            <v>-17167098</v>
          </cell>
        </row>
        <row r="1217">
          <cell r="A1217" t="str">
            <v/>
          </cell>
          <cell r="B1217" t="str">
            <v>415098. Otros ingresos Financieros</v>
          </cell>
          <cell r="C1217">
            <v>0</v>
          </cell>
        </row>
        <row r="1218">
          <cell r="A1218" t="str">
            <v>415098001</v>
          </cell>
          <cell r="B1218" t="str">
            <v>415098001 RENDIMIENTOS BANCARIOS AYC</v>
          </cell>
          <cell r="C1218">
            <v>-1285196</v>
          </cell>
        </row>
        <row r="1219">
          <cell r="A1219" t="str">
            <v>415098005</v>
          </cell>
          <cell r="B1219" t="str">
            <v>415098005 OTROS INTERESES RECIBIDOS AYC</v>
          </cell>
          <cell r="C1219">
            <v>-874441</v>
          </cell>
        </row>
        <row r="1220">
          <cell r="A1220" t="str">
            <v>415098011</v>
          </cell>
          <cell r="B1220" t="str">
            <v>415098011 INT MORA FACTURAS DE MERCANCÍA</v>
          </cell>
          <cell r="C1220">
            <v>-100302894</v>
          </cell>
        </row>
        <row r="1221">
          <cell r="A1221" t="str">
            <v/>
          </cell>
          <cell r="B1221" t="str">
            <v>Total Otros ingresos Financieros</v>
          </cell>
          <cell r="C1221">
            <v>-102462531</v>
          </cell>
        </row>
        <row r="1222">
          <cell r="A1222" t="str">
            <v/>
          </cell>
          <cell r="B1222" t="str">
            <v>Total 4150 Actividad Financiera</v>
          </cell>
          <cell r="C1222">
            <v>-2952153828</v>
          </cell>
        </row>
        <row r="1223">
          <cell r="A1223" t="str">
            <v/>
          </cell>
          <cell r="B1223" t="str">
            <v>4151. Utilidad en valoracion de inver.deuda</v>
          </cell>
          <cell r="C1223">
            <v>0</v>
          </cell>
        </row>
        <row r="1224">
          <cell r="A1224" t="str">
            <v/>
          </cell>
          <cell r="B1224" t="str">
            <v>415106. Por increm. en el valor de mercado(cr</v>
          </cell>
          <cell r="C1224">
            <v>0</v>
          </cell>
        </row>
        <row r="1225">
          <cell r="A1225" t="str">
            <v>415106001</v>
          </cell>
          <cell r="B1225" t="str">
            <v>415106001 POR INCREMENTO EN EL VALOR DE MERCADO(CR)</v>
          </cell>
          <cell r="C1225">
            <v>-22941200</v>
          </cell>
        </row>
        <row r="1226">
          <cell r="A1226" t="str">
            <v/>
          </cell>
          <cell r="B1226" t="str">
            <v>Total  Por increm. en el valor de mercado(cr)</v>
          </cell>
          <cell r="C1226">
            <v>-22941200</v>
          </cell>
        </row>
        <row r="1227">
          <cell r="A1227" t="str">
            <v/>
          </cell>
          <cell r="B1227" t="str">
            <v>Total 4151Utilid en valoracion de inver.deuda</v>
          </cell>
          <cell r="C1227">
            <v>-22941200</v>
          </cell>
        </row>
        <row r="1228">
          <cell r="A1228" t="str">
            <v/>
          </cell>
          <cell r="B1228" t="str">
            <v>4152. Util.en valor de inver.neg.en tit.parti</v>
          </cell>
          <cell r="C1228">
            <v>0</v>
          </cell>
        </row>
        <row r="1229">
          <cell r="A1229" t="str">
            <v/>
          </cell>
          <cell r="B1229" t="str">
            <v>415206. Por incremento de valor de mercado(cr</v>
          </cell>
          <cell r="C1229">
            <v>0</v>
          </cell>
        </row>
        <row r="1230">
          <cell r="A1230" t="str">
            <v>415206001</v>
          </cell>
          <cell r="B1230" t="str">
            <v>415206001 POR INCREMENTO EN EL VALOR DE MERCADO(CR)</v>
          </cell>
          <cell r="C1230">
            <v>-87668118</v>
          </cell>
        </row>
        <row r="1231">
          <cell r="A1231" t="str">
            <v/>
          </cell>
          <cell r="B1231" t="str">
            <v>Total Por incremento de valor de mercado(cr)</v>
          </cell>
          <cell r="C1231">
            <v>-87668118</v>
          </cell>
        </row>
        <row r="1232">
          <cell r="A1232" t="str">
            <v/>
          </cell>
          <cell r="B1232" t="str">
            <v>Total 4152 Util.en valor inv.neg.en tit.part</v>
          </cell>
          <cell r="C1232">
            <v>-87668118</v>
          </cell>
        </row>
        <row r="1233">
          <cell r="A1233" t="str">
            <v/>
          </cell>
          <cell r="B1233" t="str">
            <v>4154. Utilidad en valoracion inver.al vencimi</v>
          </cell>
          <cell r="C1233">
            <v>0</v>
          </cell>
        </row>
        <row r="1234">
          <cell r="A1234" t="str">
            <v/>
          </cell>
          <cell r="B1234" t="str">
            <v>415406. Por incremento en el valor presente</v>
          </cell>
          <cell r="C1234">
            <v>0</v>
          </cell>
        </row>
        <row r="1235">
          <cell r="A1235" t="str">
            <v>415406001</v>
          </cell>
          <cell r="B1235" t="str">
            <v>415406001 POR AUMENTO EN EL VALOR PRESENTE(CR)</v>
          </cell>
          <cell r="C1235">
            <v>-322168247</v>
          </cell>
        </row>
        <row r="1236">
          <cell r="A1236" t="str">
            <v/>
          </cell>
          <cell r="B1236" t="str">
            <v>Total Por incremento en el valor presente</v>
          </cell>
          <cell r="C1236">
            <v>-322168247</v>
          </cell>
        </row>
        <row r="1237">
          <cell r="A1237" t="str">
            <v/>
          </cell>
          <cell r="B1237" t="str">
            <v>Total 4154 Utiliden valorac inver.al vencimi</v>
          </cell>
          <cell r="C1237">
            <v>-322168247</v>
          </cell>
        </row>
        <row r="1238">
          <cell r="A1238" t="str">
            <v/>
          </cell>
          <cell r="B1238" t="str">
            <v>4165. Servicios sociales y de salud</v>
          </cell>
          <cell r="C1238">
            <v>0</v>
          </cell>
        </row>
        <row r="1239">
          <cell r="A1239" t="str">
            <v/>
          </cell>
          <cell r="B1239" t="str">
            <v>416535. Cuotas admon y/o asociacion</v>
          </cell>
          <cell r="C1239">
            <v>0</v>
          </cell>
        </row>
        <row r="1240">
          <cell r="A1240" t="str">
            <v>416535001</v>
          </cell>
          <cell r="B1240" t="str">
            <v>416535001 INGRESOS  ADMISIÓN DE ASOCIADOS</v>
          </cell>
          <cell r="C1240">
            <v>-24796700</v>
          </cell>
        </row>
        <row r="1241">
          <cell r="A1241" t="str">
            <v/>
          </cell>
          <cell r="B1241" t="str">
            <v>Total Cuotas admon y/o asociacion</v>
          </cell>
          <cell r="C1241">
            <v>-24796700</v>
          </cell>
        </row>
        <row r="1242">
          <cell r="A1242" t="str">
            <v/>
          </cell>
          <cell r="B1242" t="str">
            <v>416545. Servicios de prev.y seguridad social</v>
          </cell>
          <cell r="C1242">
            <v>0</v>
          </cell>
        </row>
        <row r="1243">
          <cell r="A1243" t="str">
            <v>416545001</v>
          </cell>
          <cell r="B1243" t="str">
            <v>416545001 INGRESOS SERVICIOS OFICINA DE SEGUROS</v>
          </cell>
          <cell r="C1243">
            <v>-316253271</v>
          </cell>
        </row>
        <row r="1244">
          <cell r="A1244" t="str">
            <v>416545002</v>
          </cell>
          <cell r="B1244" t="str">
            <v>416545002 INGRESOS RECUPERACIÓN DE POLIZAS</v>
          </cell>
          <cell r="C1244">
            <v>0</v>
          </cell>
        </row>
        <row r="1245">
          <cell r="A1245" t="str">
            <v/>
          </cell>
          <cell r="B1245" t="str">
            <v>Total  Servicios de prev.y seguridad social</v>
          </cell>
          <cell r="C1245">
            <v>-316253271</v>
          </cell>
        </row>
        <row r="1246">
          <cell r="A1246" t="str">
            <v/>
          </cell>
          <cell r="B1246" t="str">
            <v>416595. Actividades conexas</v>
          </cell>
          <cell r="C1246">
            <v>0</v>
          </cell>
        </row>
        <row r="1247">
          <cell r="A1247" t="str">
            <v>416595002</v>
          </cell>
          <cell r="B1247" t="str">
            <v>416595002 INGRESOS SANCIONES ECONÓMICAS</v>
          </cell>
          <cell r="C1247">
            <v>-16540518</v>
          </cell>
        </row>
        <row r="1248">
          <cell r="A1248" t="str">
            <v>416595003</v>
          </cell>
          <cell r="B1248" t="str">
            <v>416595003 INGRESOS RECARGOS  ECONÓMICOS</v>
          </cell>
          <cell r="C1248">
            <v>-169648646</v>
          </cell>
        </row>
        <row r="1249">
          <cell r="A1249" t="str">
            <v>416595005</v>
          </cell>
          <cell r="B1249" t="str">
            <v>416595005 INGRESOS SANCIÓN INCUMPLIMIENTO VARIOS</v>
          </cell>
          <cell r="C1249">
            <v>-3417950</v>
          </cell>
        </row>
        <row r="1250">
          <cell r="A1250" t="str">
            <v>416595007</v>
          </cell>
          <cell r="B1250" t="str">
            <v>416595007 INGRESOS POR BOLETÍN</v>
          </cell>
          <cell r="C1250">
            <v>-131732900</v>
          </cell>
        </row>
        <row r="1251">
          <cell r="A1251" t="str">
            <v>416595009</v>
          </cell>
          <cell r="B1251" t="str">
            <v>416595009 INGRESOS RECUPERAC.DE GTOS DE INCAP.</v>
          </cell>
          <cell r="C1251">
            <v>-3237110</v>
          </cell>
        </row>
        <row r="1252">
          <cell r="A1252" t="str">
            <v>416595010</v>
          </cell>
          <cell r="B1252" t="str">
            <v>416595010 INGRESOS POR EVENTOS ASOCIADOS</v>
          </cell>
          <cell r="C1252">
            <v>-528380985</v>
          </cell>
        </row>
        <row r="1253">
          <cell r="A1253" t="str">
            <v>416595011</v>
          </cell>
          <cell r="B1253" t="str">
            <v>416595011 INGRESOS SANCIÓN DEPORTIVA              "</v>
          </cell>
          <cell r="C1253">
            <v>-454500</v>
          </cell>
        </row>
        <row r="1254">
          <cell r="A1254" t="str">
            <v>416595012</v>
          </cell>
          <cell r="B1254" t="str">
            <v>416595012 INGRESOS POR LIST,DISKETTE Y OTROS</v>
          </cell>
          <cell r="C1254">
            <v>-313539051</v>
          </cell>
        </row>
        <row r="1255">
          <cell r="A1255" t="str">
            <v>416595013</v>
          </cell>
          <cell r="B1255" t="str">
            <v>416595013 INGRESOS POR OTRAS PUBLICIDADES</v>
          </cell>
          <cell r="C1255">
            <v>-13765000</v>
          </cell>
        </row>
        <row r="1256">
          <cell r="A1256" t="str">
            <v>416595014</v>
          </cell>
          <cell r="B1256" t="str">
            <v>416595014 INGRESOS POR REMESAS</v>
          </cell>
          <cell r="C1256">
            <v>-324041722</v>
          </cell>
        </row>
        <row r="1257">
          <cell r="A1257" t="str">
            <v>416595015</v>
          </cell>
          <cell r="B1257" t="str">
            <v>416595015 INGRESOS POR PLANES PROMOCIONALES</v>
          </cell>
          <cell r="C1257">
            <v>-317430899</v>
          </cell>
        </row>
        <row r="1258">
          <cell r="A1258" t="str">
            <v>416595016</v>
          </cell>
          <cell r="B1258" t="str">
            <v>416595016 INGRESOS POR PROYECTOS COMERCIALES</v>
          </cell>
          <cell r="C1258">
            <v>-19220000</v>
          </cell>
        </row>
        <row r="1259">
          <cell r="A1259" t="str">
            <v>416595017</v>
          </cell>
          <cell r="B1259" t="str">
            <v>416595017 OTROS APROVECHAMIENTOS AYC</v>
          </cell>
          <cell r="C1259">
            <v>-40161657</v>
          </cell>
        </row>
        <row r="1260">
          <cell r="A1260" t="str">
            <v>416595018</v>
          </cell>
          <cell r="B1260" t="str">
            <v>416595018 OTROS APROVECHAMIENTOS</v>
          </cell>
          <cell r="C1260">
            <v>-79419826</v>
          </cell>
        </row>
        <row r="1261">
          <cell r="A1261" t="str">
            <v>416595020</v>
          </cell>
          <cell r="B1261" t="str">
            <v>416595020 INGRESOS CURSOS Y OTROS A ASOCIADOS</v>
          </cell>
          <cell r="C1261">
            <v>-68977665</v>
          </cell>
        </row>
        <row r="1262">
          <cell r="A1262" t="str">
            <v>416595021</v>
          </cell>
          <cell r="B1262" t="str">
            <v>416595021 OTROS</v>
          </cell>
          <cell r="C1262">
            <v>-9353813</v>
          </cell>
        </row>
        <row r="1263">
          <cell r="A1263" t="str">
            <v>416595025</v>
          </cell>
          <cell r="B1263" t="str">
            <v>416595025 INGRESOS ACTIVIDADES FRANQUICIAS</v>
          </cell>
          <cell r="C1263">
            <v>-12250000</v>
          </cell>
        </row>
        <row r="1264">
          <cell r="A1264" t="str">
            <v/>
          </cell>
          <cell r="B1264" t="str">
            <v>Total Actividades conexas</v>
          </cell>
          <cell r="C1264">
            <v>-2051572242</v>
          </cell>
        </row>
        <row r="1265">
          <cell r="A1265" t="str">
            <v/>
          </cell>
          <cell r="B1265" t="str">
            <v>Total 4165 Servicios sociales y de salud</v>
          </cell>
          <cell r="C1265">
            <v>-2392622213</v>
          </cell>
        </row>
        <row r="1266">
          <cell r="A1266" t="str">
            <v/>
          </cell>
          <cell r="B1266" t="str">
            <v>4175. Dev.rebajas y descuentos en ventas(Db)</v>
          </cell>
          <cell r="C1266">
            <v>0</v>
          </cell>
        </row>
        <row r="1267">
          <cell r="A1267" t="str">
            <v/>
          </cell>
          <cell r="B1267" t="str">
            <v>417505. Devoluciones(Db)</v>
          </cell>
          <cell r="C1267">
            <v>0</v>
          </cell>
        </row>
        <row r="1268">
          <cell r="A1268" t="str">
            <v>417505001</v>
          </cell>
          <cell r="B1268" t="str">
            <v>417505001 DEVOL.EN VENTAS MERCANCÍA  EXCLUID  ETICOS ASOCIAD</v>
          </cell>
          <cell r="C1268">
            <v>4140736816</v>
          </cell>
        </row>
        <row r="1269">
          <cell r="A1269" t="str">
            <v>417505002</v>
          </cell>
          <cell r="B1269" t="str">
            <v>417505002 DEVOL.EN VENTAS MERCANCÍA  EXCL POPULARES ASOCIA</v>
          </cell>
          <cell r="C1269">
            <v>391503845</v>
          </cell>
        </row>
        <row r="1270">
          <cell r="A1270" t="str">
            <v>417505004</v>
          </cell>
          <cell r="B1270" t="str">
            <v>417505004 DEVOL EN VENTAS MERCANCÍA  GRAVADA ETICOS ASOCIADO</v>
          </cell>
          <cell r="C1270">
            <v>63696402</v>
          </cell>
        </row>
        <row r="1271">
          <cell r="A1271" t="str">
            <v>417505005</v>
          </cell>
          <cell r="B1271" t="str">
            <v>417505005 DEVOL EN VENTAS MERCANCÍA  GRAVADAS POPULARES ASOC</v>
          </cell>
          <cell r="C1271">
            <v>612265518</v>
          </cell>
        </row>
        <row r="1272">
          <cell r="A1272" t="str">
            <v>417505006</v>
          </cell>
          <cell r="B1272" t="str">
            <v>417505006 DEVOL EN VENTAS MERCANCÍA  GRAVADAS  CONVENIOS ASO</v>
          </cell>
          <cell r="C1272">
            <v>508090</v>
          </cell>
        </row>
        <row r="1273">
          <cell r="A1273" t="str">
            <v>417505031</v>
          </cell>
          <cell r="B1273" t="str">
            <v>417505031 DEVOL EN VENTAS MERCANCÍA  EXCLUID  ETICOS TERCERO</v>
          </cell>
          <cell r="C1273">
            <v>2830208</v>
          </cell>
        </row>
        <row r="1274">
          <cell r="A1274" t="str">
            <v>417505032</v>
          </cell>
          <cell r="B1274" t="str">
            <v>417505032 DEVOL EN VENTAS MERCANCÍA  EXCL  POPULARES TERCER</v>
          </cell>
          <cell r="C1274">
            <v>583465</v>
          </cell>
        </row>
        <row r="1275">
          <cell r="A1275" t="str">
            <v>417505034</v>
          </cell>
          <cell r="B1275" t="str">
            <v>417505034 DEVOL EN VENTAS MERCANCÍA  GRAVADA ETICOS TERCEROS</v>
          </cell>
          <cell r="C1275">
            <v>9950</v>
          </cell>
        </row>
        <row r="1276">
          <cell r="A1276" t="str">
            <v>417505035</v>
          </cell>
          <cell r="B1276" t="str">
            <v>417505035 DEVOL EN VENTAS MERCANCÍA  GRAVADA POPULARES TERCE</v>
          </cell>
          <cell r="C1276">
            <v>1775881</v>
          </cell>
        </row>
        <row r="1277">
          <cell r="A1277" t="str">
            <v/>
          </cell>
          <cell r="B1277" t="str">
            <v>Total Devoluciones(Db)</v>
          </cell>
          <cell r="C1277">
            <v>5213910175</v>
          </cell>
        </row>
        <row r="1278">
          <cell r="A1278" t="str">
            <v/>
          </cell>
          <cell r="B1278" t="str">
            <v>417510. Descuentos (Db)</v>
          </cell>
          <cell r="C1278">
            <v>0</v>
          </cell>
        </row>
        <row r="1279">
          <cell r="A1279" t="str">
            <v>417510000</v>
          </cell>
          <cell r="B1279" t="str">
            <v>417510000 DTOS POR ALTO COSTO</v>
          </cell>
          <cell r="C1279">
            <v>1388686240</v>
          </cell>
        </row>
        <row r="1280">
          <cell r="A1280" t="str">
            <v>417510001</v>
          </cell>
          <cell r="B1280" t="str">
            <v>417510001 DTOS POR BONOS</v>
          </cell>
          <cell r="C1280">
            <v>488945107</v>
          </cell>
        </row>
        <row r="1281">
          <cell r="A1281" t="str">
            <v>417510002</v>
          </cell>
          <cell r="B1281" t="str">
            <v>417510002 DTOS POR TELEFERIA</v>
          </cell>
          <cell r="C1281">
            <v>1443386714</v>
          </cell>
        </row>
        <row r="1282">
          <cell r="A1282" t="str">
            <v>417510006</v>
          </cell>
          <cell r="B1282" t="str">
            <v>417510006 DESCUENTO ADICIONAL POR VOL.EN VENTAS A ASOCIADOS</v>
          </cell>
          <cell r="C1282">
            <v>4890386000</v>
          </cell>
        </row>
        <row r="1283">
          <cell r="A1283" t="str">
            <v>417510007</v>
          </cell>
          <cell r="B1283" t="str">
            <v>417510007 DESCUENTO PLAN FIDELIDAD ASOCIADOS</v>
          </cell>
          <cell r="C1283">
            <v>279537696</v>
          </cell>
        </row>
        <row r="1284">
          <cell r="A1284" t="str">
            <v>417510008</v>
          </cell>
          <cell r="B1284" t="str">
            <v>417510008 OTROS DESCUENTOS A ASOCIADOS</v>
          </cell>
          <cell r="C1284">
            <v>440781595</v>
          </cell>
        </row>
        <row r="1285">
          <cell r="A1285" t="str">
            <v>417510009</v>
          </cell>
          <cell r="B1285" t="str">
            <v>417510009 DTOS POR PLAN ANOTATE</v>
          </cell>
          <cell r="C1285">
            <v>18358204</v>
          </cell>
        </row>
        <row r="1286">
          <cell r="A1286" t="str">
            <v>417510011</v>
          </cell>
          <cell r="B1286" t="str">
            <v>417510011 DTO ESPECIAL EN ANTICIPOS PARA PAGO DE FACT.BTA</v>
          </cell>
          <cell r="C1286">
            <v>587055</v>
          </cell>
        </row>
        <row r="1287">
          <cell r="A1287" t="str">
            <v>417510012</v>
          </cell>
          <cell r="B1287" t="str">
            <v>417510012 DTO ESPECIAL EN ANTICIPOS PARA PAGO DE FACT.PER</v>
          </cell>
          <cell r="C1287">
            <v>39824</v>
          </cell>
        </row>
        <row r="1288">
          <cell r="A1288" t="str">
            <v>417510013</v>
          </cell>
          <cell r="B1288" t="str">
            <v>417510013 DTO ESPECIAL EN ANTICIPOS PARA PAGO DE FACT.B/QUIL</v>
          </cell>
          <cell r="C1288">
            <v>104082</v>
          </cell>
        </row>
        <row r="1289">
          <cell r="A1289" t="str">
            <v>417510021</v>
          </cell>
          <cell r="B1289" t="str">
            <v>417510021 DTOS CONCEDIDOS POR PRONTO PAGO GRAVADOS</v>
          </cell>
          <cell r="C1289">
            <v>2609403999</v>
          </cell>
        </row>
        <row r="1290">
          <cell r="A1290" t="str">
            <v>417510022</v>
          </cell>
          <cell r="B1290" t="str">
            <v>417510022 DTOS CONCEDIDOS POR PRONTO PAGO EXENTOSS</v>
          </cell>
          <cell r="C1290">
            <v>38873753952</v>
          </cell>
        </row>
        <row r="1291">
          <cell r="A1291" t="str">
            <v>417510050</v>
          </cell>
          <cell r="B1291" t="str">
            <v>417510050 DIFERENCIAS EN PAGOS POR DTOS PERDIDOS</v>
          </cell>
          <cell r="C1291">
            <v>-9806734</v>
          </cell>
        </row>
        <row r="1292">
          <cell r="A1292" t="str">
            <v/>
          </cell>
          <cell r="B1292" t="str">
            <v>Total Descuentos</v>
          </cell>
          <cell r="C1292">
            <v>50424163734</v>
          </cell>
        </row>
        <row r="1293">
          <cell r="A1293" t="str">
            <v/>
          </cell>
          <cell r="B1293" t="str">
            <v>Total 4175 Dev.rebajas y destos en ventas(Db)</v>
          </cell>
          <cell r="C1293">
            <v>55638073909</v>
          </cell>
        </row>
        <row r="1294">
          <cell r="A1294" t="str">
            <v/>
          </cell>
          <cell r="B1294" t="str">
            <v>4180. Recuperaciones</v>
          </cell>
          <cell r="C1294">
            <v>0</v>
          </cell>
        </row>
        <row r="1295">
          <cell r="A1295" t="str">
            <v/>
          </cell>
          <cell r="B1295" t="str">
            <v>418015. Provision de Cartera de credito</v>
          </cell>
          <cell r="C1295">
            <v>0</v>
          </cell>
        </row>
        <row r="1296">
          <cell r="A1296" t="str">
            <v>418015001</v>
          </cell>
          <cell r="B1296" t="str">
            <v>418015001 INGRESOS REINTEGRO DE PROVISIONES AYC</v>
          </cell>
          <cell r="C1296">
            <v>0</v>
          </cell>
        </row>
        <row r="1297">
          <cell r="A1297" t="str">
            <v/>
          </cell>
          <cell r="B1297" t="str">
            <v>Total Provision de Cartera de credito</v>
          </cell>
          <cell r="C1297">
            <v>0</v>
          </cell>
        </row>
        <row r="1298">
          <cell r="A1298" t="str">
            <v/>
          </cell>
          <cell r="B1298" t="str">
            <v>418016. Provision de Cartera de Credito</v>
          </cell>
          <cell r="C1298">
            <v>0</v>
          </cell>
        </row>
        <row r="1299">
          <cell r="A1299" t="str">
            <v>418016001</v>
          </cell>
          <cell r="B1299" t="str">
            <v>418016001 INGRESOS REINTEGRO CARTERA DE CREDITO AYC</v>
          </cell>
          <cell r="C1299">
            <v>-61108903</v>
          </cell>
        </row>
        <row r="1300">
          <cell r="A1300" t="str">
            <v/>
          </cell>
          <cell r="B1300" t="str">
            <v>Total. Provision de Cartera de Credito</v>
          </cell>
          <cell r="C1300">
            <v>-61108903</v>
          </cell>
        </row>
        <row r="1301">
          <cell r="A1301" t="str">
            <v/>
          </cell>
          <cell r="B1301" t="str">
            <v>418020. Provision cartera por venta de bienes</v>
          </cell>
          <cell r="C1301">
            <v>0</v>
          </cell>
        </row>
        <row r="1302">
          <cell r="A1302" t="str">
            <v>418020001</v>
          </cell>
          <cell r="B1302" t="str">
            <v>418020001 INGRESOS RECUPERACIÓN DE CARTERA VENTA DE BIENES</v>
          </cell>
          <cell r="C1302">
            <v>-4240784</v>
          </cell>
        </row>
        <row r="1303">
          <cell r="A1303" t="str">
            <v/>
          </cell>
          <cell r="B1303" t="str">
            <v>Total Provision cartera por venta de bienes</v>
          </cell>
          <cell r="C1303">
            <v>-4240784</v>
          </cell>
        </row>
        <row r="1304">
          <cell r="A1304" t="str">
            <v/>
          </cell>
          <cell r="B1304" t="str">
            <v>418095. Otras Recuperaciones</v>
          </cell>
          <cell r="C1304">
            <v>0</v>
          </cell>
        </row>
        <row r="1305">
          <cell r="A1305" t="str">
            <v>418095001</v>
          </cell>
          <cell r="B1305" t="str">
            <v>418095001 INGRESOS POR TELÉFONO MONEDERO</v>
          </cell>
          <cell r="C1305">
            <v>-82430</v>
          </cell>
        </row>
        <row r="1306">
          <cell r="A1306" t="str">
            <v>418095003</v>
          </cell>
          <cell r="B1306" t="str">
            <v>418095003 INGRESOS COB.POR ROT.DE MCIA A TRASPT.</v>
          </cell>
          <cell r="C1306">
            <v>-31034474</v>
          </cell>
        </row>
        <row r="1307">
          <cell r="A1307" t="str">
            <v/>
          </cell>
          <cell r="B1307" t="str">
            <v>Total Otras Recuperaciones</v>
          </cell>
          <cell r="C1307">
            <v>-31116904</v>
          </cell>
        </row>
        <row r="1308">
          <cell r="A1308" t="str">
            <v/>
          </cell>
          <cell r="B1308" t="str">
            <v>Total 4180 Recuperaciones</v>
          </cell>
          <cell r="C1308">
            <v>-96466591</v>
          </cell>
        </row>
        <row r="1309">
          <cell r="A1309" t="str">
            <v/>
          </cell>
          <cell r="B1309" t="str">
            <v>Total 41. Operacionales</v>
          </cell>
          <cell r="C1309">
            <v>-407989738051</v>
          </cell>
        </row>
        <row r="1310">
          <cell r="A1310" t="str">
            <v/>
          </cell>
          <cell r="B1310" t="str">
            <v>42. No operacionales</v>
          </cell>
          <cell r="C1310">
            <v>0</v>
          </cell>
        </row>
        <row r="1311">
          <cell r="A1311" t="str">
            <v/>
          </cell>
          <cell r="B1311" t="str">
            <v>4210. Financieros</v>
          </cell>
          <cell r="C1311">
            <v>0</v>
          </cell>
        </row>
        <row r="1312">
          <cell r="A1312" t="str">
            <v/>
          </cell>
          <cell r="B1312" t="str">
            <v>421005. Intereses varios</v>
          </cell>
          <cell r="C1312">
            <v>0</v>
          </cell>
        </row>
        <row r="1313">
          <cell r="A1313" t="str">
            <v>421005001</v>
          </cell>
          <cell r="B1313" t="str">
            <v>421005001 INTERESES NO OPERACIONALES</v>
          </cell>
          <cell r="C1313">
            <v>-679000</v>
          </cell>
        </row>
        <row r="1314">
          <cell r="A1314" t="str">
            <v/>
          </cell>
          <cell r="B1314" t="str">
            <v>Total Intereses varios</v>
          </cell>
          <cell r="C1314">
            <v>-679000</v>
          </cell>
        </row>
        <row r="1315">
          <cell r="A1315" t="str">
            <v/>
          </cell>
          <cell r="B1315" t="str">
            <v>421098. Otros</v>
          </cell>
          <cell r="C1315">
            <v>0</v>
          </cell>
        </row>
        <row r="1316">
          <cell r="A1316" t="str">
            <v>421098000</v>
          </cell>
          <cell r="B1316" t="str">
            <v>421098000 RENDIMIENTOS BANCARIOS</v>
          </cell>
          <cell r="C1316">
            <v>-107054831</v>
          </cell>
        </row>
        <row r="1317">
          <cell r="A1317" t="str">
            <v/>
          </cell>
          <cell r="B1317" t="str">
            <v>Total Otros</v>
          </cell>
          <cell r="C1317">
            <v>-107054831</v>
          </cell>
        </row>
        <row r="1318">
          <cell r="A1318" t="str">
            <v/>
          </cell>
          <cell r="B1318" t="str">
            <v>Total 4210 Financieros</v>
          </cell>
          <cell r="C1318">
            <v>-107733831</v>
          </cell>
        </row>
        <row r="1319">
          <cell r="A1319" t="str">
            <v/>
          </cell>
          <cell r="B1319" t="str">
            <v>4245. Util.en ventas de propiedad planta y eq</v>
          </cell>
          <cell r="C1319">
            <v>0</v>
          </cell>
        </row>
        <row r="1320">
          <cell r="A1320" t="str">
            <v/>
          </cell>
          <cell r="B1320" t="str">
            <v>424524. Muebles y equipo de oficina</v>
          </cell>
          <cell r="C1320">
            <v>0</v>
          </cell>
        </row>
        <row r="1321">
          <cell r="A1321" t="str">
            <v>424524001</v>
          </cell>
          <cell r="B1321" t="str">
            <v>424524001 UTILIDAD EN VENTA DE EQUIPOS DE OFICINA</v>
          </cell>
          <cell r="C1321">
            <v>-42247967</v>
          </cell>
        </row>
        <row r="1322">
          <cell r="A1322" t="str">
            <v/>
          </cell>
          <cell r="B1322" t="str">
            <v>Total Muebles y equipo de oficina</v>
          </cell>
          <cell r="C1322">
            <v>-42247967</v>
          </cell>
        </row>
        <row r="1323">
          <cell r="A1323" t="str">
            <v/>
          </cell>
          <cell r="B1323" t="str">
            <v>424532. Vehiculos</v>
          </cell>
          <cell r="C1323">
            <v>0</v>
          </cell>
        </row>
        <row r="1324">
          <cell r="A1324" t="str">
            <v>424532001</v>
          </cell>
          <cell r="B1324" t="str">
            <v>424532001 UTILIDAD EN VENTA DE VEHICULOS</v>
          </cell>
          <cell r="C1324">
            <v>-16500000</v>
          </cell>
        </row>
        <row r="1325">
          <cell r="A1325" t="str">
            <v/>
          </cell>
          <cell r="B1325" t="str">
            <v>Total Vehiculos</v>
          </cell>
          <cell r="C1325">
            <v>-16500000</v>
          </cell>
        </row>
        <row r="1326">
          <cell r="A1326" t="str">
            <v/>
          </cell>
          <cell r="B1326" t="str">
            <v>Total 4242 Util.en ventas de prop planta y eq</v>
          </cell>
          <cell r="C1326">
            <v>-58747967</v>
          </cell>
        </row>
        <row r="1327">
          <cell r="A1327" t="str">
            <v/>
          </cell>
          <cell r="B1327" t="str">
            <v>4250. Recuperaciones</v>
          </cell>
          <cell r="C1327">
            <v>0</v>
          </cell>
        </row>
        <row r="1328">
          <cell r="A1328" t="str">
            <v/>
          </cell>
          <cell r="B1328" t="str">
            <v>425030. Descuentos Concedidos</v>
          </cell>
          <cell r="C1328">
            <v>0</v>
          </cell>
        </row>
        <row r="1329">
          <cell r="A1329" t="str">
            <v>425030001</v>
          </cell>
          <cell r="B1329" t="str">
            <v>425030001 DESCUENTOS FINANCIEROS EN COMPRAS ADMINISTRATIVAS</v>
          </cell>
          <cell r="C1329">
            <v>-28624547</v>
          </cell>
        </row>
        <row r="1330">
          <cell r="A1330" t="str">
            <v/>
          </cell>
          <cell r="B1330" t="str">
            <v>Total Descuentos Concedidos</v>
          </cell>
          <cell r="C1330">
            <v>-28624547</v>
          </cell>
        </row>
        <row r="1331">
          <cell r="A1331" t="str">
            <v/>
          </cell>
          <cell r="B1331" t="str">
            <v>425036. Reintegro Provisiones de cartera</v>
          </cell>
          <cell r="C1331">
            <v>0</v>
          </cell>
        </row>
        <row r="1332">
          <cell r="A1332" t="str">
            <v>425036001</v>
          </cell>
          <cell r="B1332" t="str">
            <v>425036001 RECUPERACION DE CARTER5A GENERAL AYC</v>
          </cell>
          <cell r="C1332">
            <v>-2694857</v>
          </cell>
        </row>
        <row r="1333">
          <cell r="A1333" t="str">
            <v/>
          </cell>
          <cell r="B1333" t="str">
            <v>Total  Reintegro Provisiones de cartera</v>
          </cell>
          <cell r="C1333">
            <v>-2694857</v>
          </cell>
        </row>
        <row r="1334">
          <cell r="A1334" t="str">
            <v/>
          </cell>
          <cell r="B1334" t="str">
            <v>425037. Reintegro Provision cuentas por Cobr.</v>
          </cell>
          <cell r="C1334">
            <v>0</v>
          </cell>
        </row>
        <row r="1335">
          <cell r="A1335" t="str">
            <v>425037001</v>
          </cell>
          <cell r="B1335" t="str">
            <v>425037001 RECUPERACION DE CUENTAS POR COBRAR AYC</v>
          </cell>
          <cell r="C1335">
            <v>-9976070</v>
          </cell>
        </row>
        <row r="1336">
          <cell r="A1336" t="str">
            <v/>
          </cell>
          <cell r="B1336" t="str">
            <v>Total Reintegro Provision cuentas por Cobr.</v>
          </cell>
          <cell r="C1336">
            <v>-9976070</v>
          </cell>
        </row>
        <row r="1337">
          <cell r="A1337" t="str">
            <v/>
          </cell>
          <cell r="B1337" t="str">
            <v>425050. Reintegro de otros Costos y Gastos</v>
          </cell>
          <cell r="C1337">
            <v>0</v>
          </cell>
        </row>
        <row r="1338">
          <cell r="A1338" t="str">
            <v>425050001</v>
          </cell>
          <cell r="B1338" t="str">
            <v>425050001 RECUPERACION DE OTROS COSTOS Y GASTOS</v>
          </cell>
          <cell r="C1338">
            <v>-644727243</v>
          </cell>
        </row>
        <row r="1339">
          <cell r="A1339" t="str">
            <v/>
          </cell>
          <cell r="B1339" t="str">
            <v>Total  Reintegro de otros Costos y Gastos</v>
          </cell>
          <cell r="C1339">
            <v>-644727243</v>
          </cell>
        </row>
        <row r="1340">
          <cell r="A1340" t="str">
            <v/>
          </cell>
          <cell r="B1340" t="str">
            <v>Total 4250. Recuperaciones</v>
          </cell>
          <cell r="C1340">
            <v>-686022717</v>
          </cell>
        </row>
        <row r="1341">
          <cell r="A1341" t="str">
            <v/>
          </cell>
          <cell r="B1341" t="str">
            <v>4295. Diversos</v>
          </cell>
          <cell r="C1341">
            <v>0</v>
          </cell>
        </row>
        <row r="1342">
          <cell r="A1342" t="str">
            <v/>
          </cell>
          <cell r="B1342" t="str">
            <v>Total  Ajuste al peso</v>
          </cell>
          <cell r="C1342">
            <v>0</v>
          </cell>
        </row>
        <row r="1343">
          <cell r="A1343" t="str">
            <v>429581001</v>
          </cell>
          <cell r="B1343" t="str">
            <v>429581001 AJUSTE AL PESO IMPUESTO AYC</v>
          </cell>
          <cell r="C1343">
            <v>-4968</v>
          </cell>
        </row>
        <row r="1344">
          <cell r="A1344" t="str">
            <v/>
          </cell>
          <cell r="B1344" t="str">
            <v>Total  Ajuste al peso</v>
          </cell>
          <cell r="C1344">
            <v>-4968</v>
          </cell>
        </row>
        <row r="1345">
          <cell r="A1345" t="str">
            <v/>
          </cell>
          <cell r="B1345" t="str">
            <v>Total Diversos</v>
          </cell>
          <cell r="C1345">
            <v>0</v>
          </cell>
        </row>
        <row r="1346">
          <cell r="A1346" t="str">
            <v>429585001</v>
          </cell>
          <cell r="B1346" t="str">
            <v>429585001 OTROS INGRESOS IMPUESTOS</v>
          </cell>
          <cell r="C1346">
            <v>-144106</v>
          </cell>
        </row>
        <row r="1347">
          <cell r="A1347" t="str">
            <v/>
          </cell>
          <cell r="B1347" t="str">
            <v>Total Diversos</v>
          </cell>
          <cell r="C1347">
            <v>-144106</v>
          </cell>
        </row>
        <row r="1348">
          <cell r="A1348" t="str">
            <v/>
          </cell>
          <cell r="B1348" t="str">
            <v>Total 4295. Diversos</v>
          </cell>
          <cell r="C1348">
            <v>-149074</v>
          </cell>
        </row>
        <row r="1349">
          <cell r="A1349" t="str">
            <v/>
          </cell>
          <cell r="B1349" t="str">
            <v>Total 42. No operacionales</v>
          </cell>
          <cell r="C1349">
            <v>-852653589</v>
          </cell>
        </row>
        <row r="1350">
          <cell r="A1350" t="str">
            <v/>
          </cell>
          <cell r="B1350" t="str">
            <v>Total  4 Ingresos</v>
          </cell>
          <cell r="C1350">
            <v>-408842391640</v>
          </cell>
        </row>
        <row r="1351">
          <cell r="A1351" t="str">
            <v/>
          </cell>
          <cell r="B1351" t="str">
            <v>5. Gastos</v>
          </cell>
          <cell r="C1351">
            <v>0</v>
          </cell>
        </row>
        <row r="1352">
          <cell r="A1352" t="str">
            <v/>
          </cell>
          <cell r="B1352" t="str">
            <v>51. Gastos de administracion</v>
          </cell>
          <cell r="C1352">
            <v>0</v>
          </cell>
        </row>
        <row r="1353">
          <cell r="A1353" t="str">
            <v/>
          </cell>
          <cell r="B1353" t="str">
            <v>5105. Gastos de Personal</v>
          </cell>
          <cell r="C1353">
            <v>0</v>
          </cell>
        </row>
        <row r="1354">
          <cell r="A1354" t="str">
            <v/>
          </cell>
          <cell r="B1354" t="str">
            <v>510503. Salario integral</v>
          </cell>
          <cell r="C1354">
            <v>0</v>
          </cell>
        </row>
        <row r="1355">
          <cell r="A1355" t="str">
            <v>510503000</v>
          </cell>
          <cell r="B1355" t="str">
            <v>510503000 ADMÓN - SALARIO INTEGRAL</v>
          </cell>
          <cell r="C1355">
            <v>390291034</v>
          </cell>
        </row>
        <row r="1356">
          <cell r="A1356" t="str">
            <v/>
          </cell>
          <cell r="B1356" t="str">
            <v>Total Salario  integral</v>
          </cell>
          <cell r="C1356">
            <v>390291034</v>
          </cell>
        </row>
        <row r="1357">
          <cell r="A1357" t="str">
            <v/>
          </cell>
          <cell r="B1357" t="str">
            <v>510506. Sueldos</v>
          </cell>
          <cell r="C1357">
            <v>0</v>
          </cell>
        </row>
        <row r="1358">
          <cell r="A1358" t="str">
            <v>510506000</v>
          </cell>
          <cell r="B1358" t="str">
            <v>510506000 ADMÓN. - SUELDOS</v>
          </cell>
          <cell r="C1358">
            <v>2524666222</v>
          </cell>
        </row>
        <row r="1359">
          <cell r="A1359" t="str">
            <v>510506001</v>
          </cell>
          <cell r="B1359" t="str">
            <v>510506001 ADMÓN. - SUELDOS AYC</v>
          </cell>
          <cell r="C1359">
            <v>69404684</v>
          </cell>
        </row>
        <row r="1360">
          <cell r="A1360" t="str">
            <v/>
          </cell>
          <cell r="B1360" t="str">
            <v>Total Sueldos</v>
          </cell>
          <cell r="C1360">
            <v>2594070906</v>
          </cell>
        </row>
        <row r="1361">
          <cell r="A1361" t="str">
            <v/>
          </cell>
          <cell r="B1361" t="str">
            <v>510515. Horas extras y Recargos</v>
          </cell>
          <cell r="C1361">
            <v>0</v>
          </cell>
        </row>
        <row r="1362">
          <cell r="A1362" t="str">
            <v>510515000</v>
          </cell>
          <cell r="B1362" t="str">
            <v>510515000 ADMÓN - HORAS EXTRAS Y RECARGOS</v>
          </cell>
          <cell r="C1362">
            <v>217858490</v>
          </cell>
        </row>
        <row r="1363">
          <cell r="A1363" t="str">
            <v>510515001</v>
          </cell>
          <cell r="B1363" t="str">
            <v>510515001 ADMÓN - HORAS EXTRAS Y RECARGOS AYC</v>
          </cell>
          <cell r="C1363">
            <v>1279230</v>
          </cell>
        </row>
        <row r="1364">
          <cell r="A1364" t="str">
            <v/>
          </cell>
          <cell r="B1364" t="str">
            <v>Total Horas extras y Recargos</v>
          </cell>
          <cell r="C1364">
            <v>219137720</v>
          </cell>
        </row>
        <row r="1365">
          <cell r="A1365" t="str">
            <v/>
          </cell>
          <cell r="B1365" t="str">
            <v>510518. Comisiones</v>
          </cell>
          <cell r="C1365">
            <v>0</v>
          </cell>
        </row>
        <row r="1366">
          <cell r="A1366" t="str">
            <v>510518000</v>
          </cell>
          <cell r="B1366" t="str">
            <v>510518000 ADMÓN - COMISIONES</v>
          </cell>
          <cell r="C1366">
            <v>1973004</v>
          </cell>
        </row>
        <row r="1367">
          <cell r="A1367" t="str">
            <v/>
          </cell>
          <cell r="B1367" t="str">
            <v>Total Comisiones</v>
          </cell>
          <cell r="C1367">
            <v>1973004</v>
          </cell>
        </row>
        <row r="1368">
          <cell r="A1368" t="str">
            <v/>
          </cell>
          <cell r="B1368" t="str">
            <v>510524. Incapacidades</v>
          </cell>
          <cell r="C1368">
            <v>0</v>
          </cell>
        </row>
        <row r="1369">
          <cell r="A1369" t="str">
            <v>510524000</v>
          </cell>
          <cell r="B1369" t="str">
            <v>510524000 ADMON - INCAPACIDADES</v>
          </cell>
          <cell r="C1369">
            <v>17368164</v>
          </cell>
        </row>
        <row r="1370">
          <cell r="A1370" t="str">
            <v/>
          </cell>
          <cell r="B1370" t="str">
            <v>Total Incapacidades</v>
          </cell>
          <cell r="C1370">
            <v>17368164</v>
          </cell>
        </row>
        <row r="1371">
          <cell r="A1371" t="str">
            <v/>
          </cell>
          <cell r="B1371" t="str">
            <v>510527. Auxilio de Trasporte</v>
          </cell>
          <cell r="C1371">
            <v>0</v>
          </cell>
        </row>
        <row r="1372">
          <cell r="A1372" t="str">
            <v>510527000</v>
          </cell>
          <cell r="B1372" t="str">
            <v>510527000 ADMON - AUXILIO DE TRANSPORTE</v>
          </cell>
          <cell r="C1372">
            <v>100837674</v>
          </cell>
        </row>
        <row r="1373">
          <cell r="A1373" t="str">
            <v>510527001</v>
          </cell>
          <cell r="B1373" t="str">
            <v>510527001 ADMON - AUXILIO DE TRANSPORTE AYC</v>
          </cell>
          <cell r="C1373">
            <v>1537530</v>
          </cell>
        </row>
        <row r="1374">
          <cell r="A1374" t="str">
            <v/>
          </cell>
          <cell r="B1374" t="str">
            <v>Total Auxilio de Trasporte</v>
          </cell>
          <cell r="C1374">
            <v>102375204</v>
          </cell>
        </row>
        <row r="1375">
          <cell r="A1375" t="str">
            <v/>
          </cell>
          <cell r="B1375" t="str">
            <v>510530. Cesantias</v>
          </cell>
          <cell r="C1375">
            <v>0</v>
          </cell>
        </row>
        <row r="1376">
          <cell r="A1376" t="str">
            <v>510530000</v>
          </cell>
          <cell r="B1376" t="str">
            <v>510530000 ADMON - CESANTIAS</v>
          </cell>
          <cell r="C1376">
            <v>263813038</v>
          </cell>
        </row>
        <row r="1377">
          <cell r="A1377" t="str">
            <v>510530001</v>
          </cell>
          <cell r="B1377" t="str">
            <v>510530001 ADMON - CESANTIAS AYC</v>
          </cell>
          <cell r="C1377">
            <v>6669437</v>
          </cell>
        </row>
        <row r="1378">
          <cell r="A1378" t="str">
            <v/>
          </cell>
          <cell r="B1378" t="str">
            <v>Total Cesantias</v>
          </cell>
          <cell r="C1378">
            <v>270482475</v>
          </cell>
        </row>
        <row r="1379">
          <cell r="A1379" t="str">
            <v/>
          </cell>
          <cell r="B1379" t="str">
            <v>510533. Intereses sobre cesantias</v>
          </cell>
          <cell r="C1379">
            <v>0</v>
          </cell>
        </row>
        <row r="1380">
          <cell r="A1380" t="str">
            <v>510533000</v>
          </cell>
          <cell r="B1380" t="str">
            <v>510533000 ADMON - INT. SOB CESANTÍAS</v>
          </cell>
          <cell r="C1380">
            <v>19313631</v>
          </cell>
        </row>
        <row r="1381">
          <cell r="A1381" t="str">
            <v>510533001</v>
          </cell>
          <cell r="B1381" t="str">
            <v>510533001 ADMON - INT. SOB CESANTÍAS AYC</v>
          </cell>
          <cell r="C1381">
            <v>1468058</v>
          </cell>
        </row>
        <row r="1382">
          <cell r="A1382" t="str">
            <v/>
          </cell>
          <cell r="B1382" t="str">
            <v>Total Intereses sobre cesantias</v>
          </cell>
          <cell r="C1382">
            <v>20781689</v>
          </cell>
        </row>
        <row r="1383">
          <cell r="A1383" t="str">
            <v/>
          </cell>
          <cell r="B1383" t="str">
            <v>510536. Prima de Servicios</v>
          </cell>
          <cell r="C1383">
            <v>0</v>
          </cell>
        </row>
        <row r="1384">
          <cell r="A1384" t="str">
            <v>510536000</v>
          </cell>
          <cell r="B1384" t="str">
            <v>510536000 ADMON - PRIMA DE SERVICIOS</v>
          </cell>
          <cell r="C1384">
            <v>261410777</v>
          </cell>
        </row>
        <row r="1385">
          <cell r="A1385" t="str">
            <v>510536001</v>
          </cell>
          <cell r="B1385" t="str">
            <v>510536001 ADMON - PRIMA DE SERVICIOS AYC</v>
          </cell>
          <cell r="C1385">
            <v>6704531</v>
          </cell>
        </row>
        <row r="1386">
          <cell r="A1386" t="str">
            <v/>
          </cell>
          <cell r="B1386" t="str">
            <v>Total Prima de Servicios</v>
          </cell>
          <cell r="C1386">
            <v>268115308</v>
          </cell>
        </row>
        <row r="1387">
          <cell r="A1387" t="str">
            <v/>
          </cell>
          <cell r="B1387" t="str">
            <v>510539. Vacaciones</v>
          </cell>
          <cell r="C1387">
            <v>0</v>
          </cell>
        </row>
        <row r="1388">
          <cell r="A1388" t="str">
            <v>510539000</v>
          </cell>
          <cell r="B1388" t="str">
            <v>510539000 ADMON - VACACIONES</v>
          </cell>
          <cell r="C1388">
            <v>156112566</v>
          </cell>
        </row>
        <row r="1389">
          <cell r="A1389" t="str">
            <v>510539001</v>
          </cell>
          <cell r="B1389" t="str">
            <v>510539001 ADMON - VACACIONES AYC</v>
          </cell>
          <cell r="C1389">
            <v>4287755</v>
          </cell>
        </row>
        <row r="1390">
          <cell r="A1390" t="str">
            <v/>
          </cell>
          <cell r="B1390" t="str">
            <v>Total Vacaciones</v>
          </cell>
          <cell r="C1390">
            <v>160400321</v>
          </cell>
        </row>
        <row r="1391">
          <cell r="A1391" t="str">
            <v/>
          </cell>
          <cell r="B1391" t="str">
            <v>510545. Auxilios</v>
          </cell>
          <cell r="C1391">
            <v>0</v>
          </cell>
        </row>
        <row r="1392">
          <cell r="A1392" t="str">
            <v>510545000</v>
          </cell>
          <cell r="B1392" t="str">
            <v>510545000 ADMON - AUXILIO DE VACACIONES</v>
          </cell>
          <cell r="C1392">
            <v>94781509</v>
          </cell>
        </row>
        <row r="1393">
          <cell r="A1393" t="str">
            <v>510545001</v>
          </cell>
          <cell r="B1393" t="str">
            <v>510545001 ADMON - AUXILIOS AL PERSONAL AYC</v>
          </cell>
          <cell r="C1393">
            <v>2729496</v>
          </cell>
        </row>
        <row r="1394">
          <cell r="A1394" t="str">
            <v/>
          </cell>
          <cell r="B1394" t="str">
            <v>Total  Auxilios</v>
          </cell>
          <cell r="C1394">
            <v>97511005</v>
          </cell>
        </row>
        <row r="1395">
          <cell r="A1395" t="str">
            <v/>
          </cell>
          <cell r="B1395" t="str">
            <v>510548. Bonificaciones</v>
          </cell>
          <cell r="C1395">
            <v>0</v>
          </cell>
        </row>
        <row r="1396">
          <cell r="A1396" t="str">
            <v>510548000</v>
          </cell>
          <cell r="B1396" t="str">
            <v>510548000 ADMON - BONIFICACIONES</v>
          </cell>
          <cell r="C1396">
            <v>215604408</v>
          </cell>
        </row>
        <row r="1397">
          <cell r="A1397" t="str">
            <v>510548001</v>
          </cell>
          <cell r="B1397" t="str">
            <v>510548001 ADMON - BONIFICACIONES AYC</v>
          </cell>
          <cell r="C1397">
            <v>5245514</v>
          </cell>
        </row>
        <row r="1398">
          <cell r="A1398" t="str">
            <v/>
          </cell>
          <cell r="B1398" t="str">
            <v>Total Bonificaciones</v>
          </cell>
          <cell r="C1398">
            <v>220849922</v>
          </cell>
        </row>
        <row r="1399">
          <cell r="A1399" t="str">
            <v/>
          </cell>
          <cell r="B1399" t="str">
            <v>510551. Dotacion y suministro a trabajajores</v>
          </cell>
          <cell r="C1399">
            <v>0</v>
          </cell>
        </row>
        <row r="1400">
          <cell r="A1400" t="str">
            <v>510551000</v>
          </cell>
          <cell r="B1400" t="str">
            <v>510551000 ADMON - DOTACION Y SUMINISTROS A TRAB.</v>
          </cell>
          <cell r="C1400">
            <v>21783102</v>
          </cell>
        </row>
        <row r="1401">
          <cell r="A1401" t="str">
            <v>510551001</v>
          </cell>
          <cell r="B1401" t="str">
            <v>510551001 ADMON - DOTACION Y SUMINISTROS A TRAB. AYC</v>
          </cell>
          <cell r="C1401">
            <v>2542310</v>
          </cell>
        </row>
        <row r="1402">
          <cell r="A1402" t="str">
            <v>510551011</v>
          </cell>
          <cell r="B1402" t="str">
            <v>510551011 ADMON - DOTACION Y SUMINISTROS A TRAB. BODEGA</v>
          </cell>
          <cell r="C1402">
            <v>42857262</v>
          </cell>
        </row>
        <row r="1403">
          <cell r="A1403" t="str">
            <v/>
          </cell>
          <cell r="B1403" t="str">
            <v>Total Dotacion y suministro a trabajadores</v>
          </cell>
          <cell r="C1403">
            <v>67182674</v>
          </cell>
        </row>
        <row r="1404">
          <cell r="A1404" t="str">
            <v/>
          </cell>
          <cell r="B1404" t="str">
            <v>510554. Seguros</v>
          </cell>
          <cell r="C1404">
            <v>0</v>
          </cell>
        </row>
        <row r="1405">
          <cell r="A1405" t="str">
            <v>510554000</v>
          </cell>
          <cell r="B1405" t="str">
            <v>510554000 ADMON - SEGUROS</v>
          </cell>
          <cell r="C1405">
            <v>0</v>
          </cell>
        </row>
        <row r="1406">
          <cell r="A1406" t="str">
            <v/>
          </cell>
          <cell r="B1406" t="str">
            <v>Total Seguros</v>
          </cell>
          <cell r="C1406">
            <v>0</v>
          </cell>
        </row>
        <row r="1407">
          <cell r="A1407" t="str">
            <v/>
          </cell>
          <cell r="B1407" t="str">
            <v>510560. Indemnizaciones laborales</v>
          </cell>
          <cell r="C1407">
            <v>0</v>
          </cell>
        </row>
        <row r="1408">
          <cell r="A1408" t="str">
            <v>510560000</v>
          </cell>
          <cell r="B1408" t="str">
            <v>510560000 ADMON - INDEMNIZACIONES LABORALES</v>
          </cell>
          <cell r="C1408">
            <v>75254889</v>
          </cell>
        </row>
        <row r="1409">
          <cell r="A1409" t="str">
            <v/>
          </cell>
          <cell r="B1409" t="str">
            <v>Total Indemnizaciones laborales</v>
          </cell>
          <cell r="C1409">
            <v>75254889</v>
          </cell>
        </row>
        <row r="1410">
          <cell r="A1410" t="str">
            <v/>
          </cell>
          <cell r="B1410" t="str">
            <v>510563. Capacitacion al personal</v>
          </cell>
          <cell r="C1410">
            <v>0</v>
          </cell>
        </row>
        <row r="1411">
          <cell r="A1411" t="str">
            <v>510563000</v>
          </cell>
          <cell r="B1411" t="str">
            <v>510563000 ADMON - CAPACITACION AL PERSONAL</v>
          </cell>
          <cell r="C1411">
            <v>32771715</v>
          </cell>
        </row>
        <row r="1412">
          <cell r="A1412" t="str">
            <v>510563001</v>
          </cell>
          <cell r="B1412" t="str">
            <v>510563001 ADMON - CAPACITACION AL PERSONAL AYC</v>
          </cell>
          <cell r="C1412">
            <v>1100000</v>
          </cell>
        </row>
        <row r="1413">
          <cell r="A1413" t="str">
            <v/>
          </cell>
          <cell r="B1413" t="str">
            <v>Total Capacitacion al personal</v>
          </cell>
          <cell r="C1413">
            <v>33871715</v>
          </cell>
        </row>
        <row r="1414">
          <cell r="A1414" t="str">
            <v/>
          </cell>
          <cell r="B1414" t="str">
            <v>510566. Gastos deportivos y de recreacion</v>
          </cell>
          <cell r="C1414">
            <v>0</v>
          </cell>
        </row>
        <row r="1415">
          <cell r="A1415" t="str">
            <v>510566000</v>
          </cell>
          <cell r="B1415" t="str">
            <v>510566000 ADMON - GTOS DEPORTIVOS Y DE RECREACI.</v>
          </cell>
          <cell r="C1415">
            <v>10025396</v>
          </cell>
        </row>
        <row r="1416">
          <cell r="A1416" t="str">
            <v/>
          </cell>
          <cell r="B1416" t="str">
            <v>Total Gastos deportivos y de recreacion</v>
          </cell>
          <cell r="C1416">
            <v>10025396</v>
          </cell>
        </row>
        <row r="1417">
          <cell r="A1417" t="str">
            <v/>
          </cell>
          <cell r="B1417" t="str">
            <v>510569. Aportes a salud</v>
          </cell>
          <cell r="C1417">
            <v>0</v>
          </cell>
        </row>
        <row r="1418">
          <cell r="A1418" t="str">
            <v>510569000</v>
          </cell>
          <cell r="B1418" t="str">
            <v>510569000 ADMON - APORTES SALUD</v>
          </cell>
          <cell r="C1418">
            <v>265868306</v>
          </cell>
        </row>
        <row r="1419">
          <cell r="A1419" t="str">
            <v>510569001</v>
          </cell>
          <cell r="B1419" t="str">
            <v>510569001 ADMON - APORTES SALUD AYC</v>
          </cell>
          <cell r="C1419">
            <v>6237282</v>
          </cell>
        </row>
        <row r="1420">
          <cell r="A1420" t="str">
            <v/>
          </cell>
          <cell r="B1420" t="str">
            <v>Total Aportes a salud</v>
          </cell>
          <cell r="C1420">
            <v>272105588</v>
          </cell>
        </row>
        <row r="1421">
          <cell r="A1421" t="str">
            <v/>
          </cell>
          <cell r="B1421" t="str">
            <v>510570. Aportes Pension</v>
          </cell>
          <cell r="C1421">
            <v>0</v>
          </cell>
        </row>
        <row r="1422">
          <cell r="A1422" t="str">
            <v>510570000</v>
          </cell>
          <cell r="B1422" t="str">
            <v>510570000 ADMON - APORTES A PENSION</v>
          </cell>
          <cell r="C1422">
            <v>371826770</v>
          </cell>
        </row>
        <row r="1423">
          <cell r="A1423" t="str">
            <v>510570001</v>
          </cell>
          <cell r="B1423" t="str">
            <v>510570001 ADMON - APORTES A PENSION AYC</v>
          </cell>
          <cell r="C1423">
            <v>8047181</v>
          </cell>
        </row>
        <row r="1424">
          <cell r="A1424" t="str">
            <v/>
          </cell>
          <cell r="B1424" t="str">
            <v>Total Aportes Pension</v>
          </cell>
          <cell r="C1424">
            <v>379873951</v>
          </cell>
        </row>
        <row r="1425">
          <cell r="A1425" t="str">
            <v/>
          </cell>
          <cell r="B1425" t="str">
            <v>510571. Aportes A.R.P.</v>
          </cell>
          <cell r="C1425">
            <v>0</v>
          </cell>
        </row>
        <row r="1426">
          <cell r="A1426" t="str">
            <v>510571000</v>
          </cell>
          <cell r="B1426" t="str">
            <v>510571000 ADMON - APORTES A A.R.P</v>
          </cell>
          <cell r="C1426">
            <v>24305486</v>
          </cell>
        </row>
        <row r="1427">
          <cell r="A1427" t="str">
            <v>510571001</v>
          </cell>
          <cell r="B1427" t="str">
            <v>510571001 ADMON - APORTES A A.R.P AYC</v>
          </cell>
          <cell r="C1427">
            <v>388743</v>
          </cell>
        </row>
        <row r="1428">
          <cell r="A1428" t="str">
            <v/>
          </cell>
          <cell r="B1428" t="str">
            <v>Total Aportes A.R.P.</v>
          </cell>
          <cell r="C1428">
            <v>24694229</v>
          </cell>
        </row>
        <row r="1429">
          <cell r="A1429" t="str">
            <v/>
          </cell>
          <cell r="B1429" t="str">
            <v>510572. Aportes a caja de compensacion</v>
          </cell>
          <cell r="C1429">
            <v>0</v>
          </cell>
        </row>
        <row r="1430">
          <cell r="A1430" t="str">
            <v>510572000</v>
          </cell>
          <cell r="B1430" t="str">
            <v>510572000 ADMON - APORTES A CAJA DE COMPENSACION</v>
          </cell>
          <cell r="C1430">
            <v>131331568</v>
          </cell>
        </row>
        <row r="1431">
          <cell r="A1431" t="str">
            <v>510572001</v>
          </cell>
          <cell r="B1431" t="str">
            <v>510572001 ADMON - APORTES A CAJA DE COMPENSACION AYC</v>
          </cell>
          <cell r="C1431">
            <v>3056030</v>
          </cell>
        </row>
        <row r="1432">
          <cell r="A1432" t="str">
            <v/>
          </cell>
          <cell r="B1432" t="str">
            <v>Total Aportes a caja de compensacion</v>
          </cell>
          <cell r="C1432">
            <v>134387598</v>
          </cell>
        </row>
        <row r="1433">
          <cell r="A1433" t="str">
            <v/>
          </cell>
          <cell r="B1433" t="str">
            <v>510575. Aportes I.C.B.F.</v>
          </cell>
          <cell r="C1433">
            <v>0</v>
          </cell>
        </row>
        <row r="1434">
          <cell r="A1434" t="str">
            <v>510575000</v>
          </cell>
          <cell r="B1434" t="str">
            <v>510575000 ADMON - APORTES I.C.B.F</v>
          </cell>
          <cell r="C1434">
            <v>98498691</v>
          </cell>
        </row>
        <row r="1435">
          <cell r="A1435" t="str">
            <v>510575001</v>
          </cell>
          <cell r="B1435" t="str">
            <v>510575001 ADMON - APORTES I.C.B.F AYC</v>
          </cell>
          <cell r="C1435">
            <v>2292021</v>
          </cell>
        </row>
        <row r="1436">
          <cell r="A1436" t="str">
            <v/>
          </cell>
          <cell r="B1436" t="str">
            <v>Total Aportes I.C.B.F.</v>
          </cell>
          <cell r="C1436">
            <v>100790712</v>
          </cell>
        </row>
        <row r="1437">
          <cell r="A1437" t="str">
            <v/>
          </cell>
          <cell r="B1437" t="str">
            <v>510578. SENA</v>
          </cell>
          <cell r="C1437">
            <v>0</v>
          </cell>
        </row>
        <row r="1438">
          <cell r="A1438" t="str">
            <v>510578000</v>
          </cell>
          <cell r="B1438" t="str">
            <v>510578000 ADMON - SENA</v>
          </cell>
          <cell r="C1438">
            <v>65665786</v>
          </cell>
        </row>
        <row r="1439">
          <cell r="A1439" t="str">
            <v>510578001</v>
          </cell>
          <cell r="B1439" t="str">
            <v>510578001 ADMON - SENA AYC</v>
          </cell>
          <cell r="C1439">
            <v>2544189</v>
          </cell>
        </row>
        <row r="1440">
          <cell r="A1440" t="str">
            <v/>
          </cell>
          <cell r="B1440" t="str">
            <v>Total  SENA</v>
          </cell>
          <cell r="C1440">
            <v>68209975</v>
          </cell>
        </row>
        <row r="1441">
          <cell r="A1441" t="str">
            <v/>
          </cell>
          <cell r="B1441" t="str">
            <v>510584. Gasto medico y drogas</v>
          </cell>
          <cell r="C1441">
            <v>0</v>
          </cell>
        </row>
        <row r="1442">
          <cell r="A1442" t="str">
            <v>510584000</v>
          </cell>
          <cell r="B1442" t="str">
            <v>510584000 ADMON - GASTO MEDICO Y DROGAS</v>
          </cell>
          <cell r="C1442">
            <v>7191208</v>
          </cell>
        </row>
        <row r="1443">
          <cell r="A1443" t="str">
            <v/>
          </cell>
          <cell r="B1443" t="str">
            <v>Total Gasto medico y drogas</v>
          </cell>
          <cell r="C1443">
            <v>7191208</v>
          </cell>
        </row>
        <row r="1444">
          <cell r="A1444" t="str">
            <v/>
          </cell>
          <cell r="B1444" t="str">
            <v>510595. Otros</v>
          </cell>
          <cell r="C1444">
            <v>0</v>
          </cell>
        </row>
        <row r="1445">
          <cell r="A1445" t="str">
            <v>510595001</v>
          </cell>
          <cell r="B1445" t="str">
            <v>510595001 ADMON - AUXILIO DE ALIMENTACION AYC</v>
          </cell>
          <cell r="C1445">
            <v>2594795</v>
          </cell>
        </row>
        <row r="1446">
          <cell r="A1446" t="str">
            <v>510595002</v>
          </cell>
          <cell r="B1446" t="str">
            <v>510595002 ADMON - AUXILIO DE LENTES AYC</v>
          </cell>
          <cell r="C1446">
            <v>50046</v>
          </cell>
        </row>
        <row r="1447">
          <cell r="A1447" t="str">
            <v>510595005</v>
          </cell>
          <cell r="B1447" t="str">
            <v>510595005 ADMON - ATENCION Y ESTIMULOS AYC</v>
          </cell>
          <cell r="C1447">
            <v>90000</v>
          </cell>
        </row>
        <row r="1448">
          <cell r="A1448" t="str">
            <v>510595011</v>
          </cell>
          <cell r="B1448" t="str">
            <v>510595011 ADMON - AUXILIO DE ALIMENTACION</v>
          </cell>
          <cell r="C1448">
            <v>161328040</v>
          </cell>
        </row>
        <row r="1449">
          <cell r="A1449" t="str">
            <v>510595012</v>
          </cell>
          <cell r="B1449" t="str">
            <v>510595012 ADMON - AUXILIO DE LENTES</v>
          </cell>
          <cell r="C1449">
            <v>1148092</v>
          </cell>
        </row>
        <row r="1450">
          <cell r="A1450" t="str">
            <v>510595013</v>
          </cell>
          <cell r="B1450" t="str">
            <v>510595013 ADMON - AUXILIO DE NACIMIENTO</v>
          </cell>
          <cell r="C1450">
            <v>2889240</v>
          </cell>
        </row>
        <row r="1451">
          <cell r="A1451" t="str">
            <v>510595014</v>
          </cell>
          <cell r="B1451" t="str">
            <v>510595014 ADMON - AUXILIO FUNERARIO</v>
          </cell>
          <cell r="C1451">
            <v>716568</v>
          </cell>
        </row>
        <row r="1452">
          <cell r="A1452" t="str">
            <v>510595015</v>
          </cell>
          <cell r="B1452" t="str">
            <v>510595015 ADMON - ATENCION Y ESTIMULOS</v>
          </cell>
          <cell r="C1452">
            <v>53373765</v>
          </cell>
        </row>
        <row r="1453">
          <cell r="A1453" t="str">
            <v>510595016</v>
          </cell>
          <cell r="B1453" t="str">
            <v>510595016 ADMON - OTROS GASTOS DE PERSONAL</v>
          </cell>
          <cell r="C1453">
            <v>1700972</v>
          </cell>
        </row>
        <row r="1454">
          <cell r="A1454" t="str">
            <v>510595031</v>
          </cell>
          <cell r="B1454" t="str">
            <v>510595031 ADMON - COMPENSACION TEMPORALES SENA</v>
          </cell>
          <cell r="C1454">
            <v>39334600</v>
          </cell>
        </row>
        <row r="1455">
          <cell r="A1455" t="str">
            <v/>
          </cell>
          <cell r="B1455" t="str">
            <v>Total Otros</v>
          </cell>
          <cell r="C1455">
            <v>263226118</v>
          </cell>
        </row>
        <row r="1456">
          <cell r="A1456" t="str">
            <v/>
          </cell>
          <cell r="B1456" t="str">
            <v>Total 5105 Gastos de Personal</v>
          </cell>
          <cell r="C1456">
            <v>5800170805</v>
          </cell>
        </row>
        <row r="1457">
          <cell r="A1457" t="str">
            <v/>
          </cell>
          <cell r="B1457" t="str">
            <v>5110. Gastos generales</v>
          </cell>
          <cell r="C1457">
            <v>0</v>
          </cell>
        </row>
        <row r="1458">
          <cell r="A1458" t="str">
            <v/>
          </cell>
          <cell r="B1458" t="str">
            <v>511001. Honorarios</v>
          </cell>
          <cell r="C1458">
            <v>0</v>
          </cell>
        </row>
        <row r="1459">
          <cell r="A1459" t="str">
            <v>511001000</v>
          </cell>
          <cell r="B1459" t="str">
            <v>511001000 ADMON - HONORARIOS</v>
          </cell>
          <cell r="C1459">
            <v>483471132</v>
          </cell>
        </row>
        <row r="1460">
          <cell r="A1460" t="str">
            <v/>
          </cell>
          <cell r="B1460" t="str">
            <v>Total Honorarios</v>
          </cell>
          <cell r="C1460">
            <v>483471132</v>
          </cell>
        </row>
        <row r="1461">
          <cell r="A1461" t="str">
            <v/>
          </cell>
          <cell r="B1461" t="str">
            <v>511002. Impuestos</v>
          </cell>
          <cell r="C1461">
            <v>0</v>
          </cell>
        </row>
        <row r="1462">
          <cell r="A1462" t="str">
            <v>511002001</v>
          </cell>
          <cell r="B1462" t="str">
            <v>511002001 ADMON - IMPUESTO PREDIAL AYC</v>
          </cell>
          <cell r="C1462">
            <v>40553</v>
          </cell>
        </row>
        <row r="1463">
          <cell r="A1463" t="str">
            <v>511002002</v>
          </cell>
          <cell r="B1463" t="str">
            <v>511002002 ADMON - IMPUESTO INDUSTRIA Y COMERC.AYC</v>
          </cell>
          <cell r="C1463">
            <v>28585311</v>
          </cell>
        </row>
        <row r="1464">
          <cell r="A1464" t="str">
            <v>511002003</v>
          </cell>
          <cell r="B1464" t="str">
            <v>511002003 ADMON - IMPUESTO VEHICULOS</v>
          </cell>
          <cell r="C1464">
            <v>425100</v>
          </cell>
        </row>
        <row r="1465">
          <cell r="A1465" t="str">
            <v>511002011</v>
          </cell>
          <cell r="B1465" t="str">
            <v>511002011 ADMON - IMPUESTO PREDIAL</v>
          </cell>
          <cell r="C1465">
            <v>22680615</v>
          </cell>
        </row>
        <row r="1466">
          <cell r="A1466" t="str">
            <v>511002012</v>
          </cell>
          <cell r="B1466" t="str">
            <v>511002012 ADMON - IMPUESTO INDUSTRIA Y COMERCIO</v>
          </cell>
          <cell r="C1466">
            <v>27650013</v>
          </cell>
        </row>
        <row r="1467">
          <cell r="A1467" t="str">
            <v>511002013</v>
          </cell>
          <cell r="B1467" t="str">
            <v>511002013 ADMON - IMPUESTO DE TIMBRE</v>
          </cell>
          <cell r="C1467">
            <v>18666285</v>
          </cell>
        </row>
        <row r="1468">
          <cell r="A1468" t="str">
            <v>511002014</v>
          </cell>
          <cell r="B1468" t="str">
            <v>511002014 ADMON - IMPUESTO 4  X MIL</v>
          </cell>
          <cell r="C1468">
            <v>40658002</v>
          </cell>
        </row>
        <row r="1469">
          <cell r="A1469" t="str">
            <v>511002015</v>
          </cell>
          <cell r="B1469" t="str">
            <v>511002015 ADMON - IMPUESTO 4  X MIL A Y C</v>
          </cell>
          <cell r="C1469">
            <v>102910909</v>
          </cell>
        </row>
        <row r="1470">
          <cell r="A1470" t="str">
            <v/>
          </cell>
          <cell r="B1470" t="str">
            <v>Total Impuestos</v>
          </cell>
          <cell r="C1470">
            <v>241616788</v>
          </cell>
        </row>
        <row r="1471">
          <cell r="A1471" t="str">
            <v/>
          </cell>
          <cell r="B1471" t="str">
            <v>511004. Arrendamientos</v>
          </cell>
          <cell r="C1471">
            <v>0</v>
          </cell>
        </row>
        <row r="1472">
          <cell r="A1472" t="str">
            <v>511004001</v>
          </cell>
          <cell r="B1472" t="str">
            <v>511004001 ADMON - ARRENDAMIENTOS EDIFICACIONES</v>
          </cell>
          <cell r="C1472">
            <v>22195968</v>
          </cell>
        </row>
        <row r="1473">
          <cell r="A1473" t="str">
            <v>511004002</v>
          </cell>
          <cell r="B1473" t="str">
            <v>511004002 ADMON - ARREND.MAQUINARIA Y EQUIPO</v>
          </cell>
          <cell r="C1473">
            <v>3621380</v>
          </cell>
        </row>
        <row r="1474">
          <cell r="A1474" t="str">
            <v>511004003</v>
          </cell>
          <cell r="B1474" t="str">
            <v>511004003 ADMON - ARREND.MUEBLES Y EQUIPO DE OFIC.</v>
          </cell>
          <cell r="C1474">
            <v>8567653</v>
          </cell>
        </row>
        <row r="1475">
          <cell r="A1475" t="str">
            <v>511004004</v>
          </cell>
          <cell r="B1475" t="str">
            <v>511004004 ADMON - ARREND.EQUIP.DE COMPUT.Y COMUN.</v>
          </cell>
          <cell r="C1475">
            <v>43387994</v>
          </cell>
        </row>
        <row r="1476">
          <cell r="A1476" t="str">
            <v/>
          </cell>
          <cell r="B1476" t="str">
            <v>Total Arrendamientos</v>
          </cell>
          <cell r="C1476">
            <v>77772995</v>
          </cell>
        </row>
        <row r="1477">
          <cell r="A1477" t="str">
            <v/>
          </cell>
          <cell r="B1477" t="str">
            <v>511008. Seguros</v>
          </cell>
          <cell r="C1477">
            <v>0</v>
          </cell>
        </row>
        <row r="1478">
          <cell r="A1478" t="str">
            <v>511008007</v>
          </cell>
          <cell r="B1478" t="str">
            <v>511008007 ADMON - POLIZA CARTERA DEUDORES  AYC</v>
          </cell>
          <cell r="C1478">
            <v>70460958</v>
          </cell>
        </row>
        <row r="1479">
          <cell r="A1479" t="str">
            <v>511008011</v>
          </cell>
          <cell r="B1479" t="str">
            <v>511008011 ADMON - SEGUROS VARIOS ( OTROS Y ASUMIDOS)</v>
          </cell>
          <cell r="C1479">
            <v>7200</v>
          </cell>
        </row>
        <row r="1480">
          <cell r="A1480" t="str">
            <v>511008016</v>
          </cell>
          <cell r="B1480" t="str">
            <v>511008016 ADMON - POLIZA SUBSIDIO 30%  A ASOCIADOS</v>
          </cell>
          <cell r="C1480">
            <v>54359709</v>
          </cell>
        </row>
        <row r="1481">
          <cell r="A1481" t="str">
            <v>511008018</v>
          </cell>
          <cell r="B1481" t="str">
            <v>511008018 ADMON - POLIZA INCENDIO FIJA</v>
          </cell>
          <cell r="C1481">
            <v>13769181</v>
          </cell>
        </row>
        <row r="1482">
          <cell r="A1482" t="str">
            <v>511008019</v>
          </cell>
          <cell r="B1482" t="str">
            <v>511008019 ADMON - POLIZA SUSTRACCION FIJA</v>
          </cell>
          <cell r="C1482">
            <v>498876</v>
          </cell>
        </row>
        <row r="1483">
          <cell r="A1483" t="str">
            <v>511008020</v>
          </cell>
          <cell r="B1483" t="str">
            <v>511008020 ADMON - POLIZA DE EQUIPO ELECTRONICO</v>
          </cell>
          <cell r="C1483">
            <v>21148236</v>
          </cell>
        </row>
        <row r="1484">
          <cell r="A1484" t="str">
            <v>511008021</v>
          </cell>
          <cell r="B1484" t="str">
            <v>511008021 ADMON - POLIZA DE RESPONSABILIDAD CIVIL</v>
          </cell>
          <cell r="C1484">
            <v>1428498</v>
          </cell>
        </row>
        <row r="1485">
          <cell r="A1485" t="str">
            <v>511008022</v>
          </cell>
          <cell r="B1485" t="str">
            <v>511008022 ADMON - POLIZA ROTURA DE MAQUINARIA</v>
          </cell>
          <cell r="C1485">
            <v>813681</v>
          </cell>
        </row>
        <row r="1486">
          <cell r="A1486" t="str">
            <v>511008023</v>
          </cell>
          <cell r="B1486" t="str">
            <v>511008023 ADMON - POLIZA MANEJO GLOBAL COMERCIAL</v>
          </cell>
          <cell r="C1486">
            <v>29722148</v>
          </cell>
        </row>
        <row r="1487">
          <cell r="A1487" t="str">
            <v>511008024</v>
          </cell>
          <cell r="B1487" t="str">
            <v>511008024 ADMON - POLIZA PARA ROTURA DE VIDRIOS</v>
          </cell>
          <cell r="C1487">
            <v>423605</v>
          </cell>
        </row>
        <row r="1488">
          <cell r="A1488" t="str">
            <v>511008025</v>
          </cell>
          <cell r="B1488" t="str">
            <v>511008025 ADMON - POLIZA DE AUTOS.</v>
          </cell>
          <cell r="C1488">
            <v>204399</v>
          </cell>
        </row>
        <row r="1489">
          <cell r="A1489" t="str">
            <v>511008027</v>
          </cell>
          <cell r="B1489" t="str">
            <v>511008027 ADMON - POLIZAS JUDICIALES</v>
          </cell>
          <cell r="C1489">
            <v>775435</v>
          </cell>
        </row>
        <row r="1490">
          <cell r="A1490" t="str">
            <v/>
          </cell>
          <cell r="B1490" t="str">
            <v>Total Seguros</v>
          </cell>
          <cell r="C1490">
            <v>193611926</v>
          </cell>
        </row>
        <row r="1491">
          <cell r="A1491" t="str">
            <v/>
          </cell>
          <cell r="B1491" t="str">
            <v>511010. Mantenimiento y reparaciones</v>
          </cell>
          <cell r="C1491">
            <v>0</v>
          </cell>
        </row>
        <row r="1492">
          <cell r="A1492" t="str">
            <v>511010001</v>
          </cell>
          <cell r="B1492" t="str">
            <v>511010001 ADMON - MANTEN.EDIFICAC.E INSTALACIONES</v>
          </cell>
          <cell r="C1492">
            <v>143542893</v>
          </cell>
        </row>
        <row r="1493">
          <cell r="A1493" t="str">
            <v>511010002</v>
          </cell>
          <cell r="B1493" t="str">
            <v>511010002 ADMON - MANTEN.MAQUINARIA Y EQUIPO</v>
          </cell>
          <cell r="C1493">
            <v>88029540</v>
          </cell>
        </row>
        <row r="1494">
          <cell r="A1494" t="str">
            <v>511010011</v>
          </cell>
          <cell r="B1494" t="str">
            <v>511010011 ADMON - MANTENIMIENTO EN PROPIEDADES ARRENDADAS</v>
          </cell>
          <cell r="C1494">
            <v>9738554</v>
          </cell>
        </row>
        <row r="1495">
          <cell r="A1495" t="str">
            <v>511010013</v>
          </cell>
          <cell r="B1495" t="str">
            <v>511010013 ADMON - MANTENIMIENTO MUEBLES</v>
          </cell>
          <cell r="C1495">
            <v>3624050</v>
          </cell>
        </row>
        <row r="1496">
          <cell r="A1496" t="str">
            <v>511010014</v>
          </cell>
          <cell r="B1496" t="str">
            <v>511010014 ADMON - MANTENIMIENTO EQUIPO DE OFICINA</v>
          </cell>
          <cell r="C1496">
            <v>651100</v>
          </cell>
        </row>
        <row r="1497">
          <cell r="A1497" t="str">
            <v>511010015</v>
          </cell>
          <cell r="B1497" t="str">
            <v>511010015 ADMON - MANTENIMIENTO EQUIP. DE COMPUTO</v>
          </cell>
          <cell r="C1497">
            <v>108886099</v>
          </cell>
        </row>
        <row r="1498">
          <cell r="A1498" t="str">
            <v>511010016</v>
          </cell>
          <cell r="B1498" t="str">
            <v>511010016 ADMON - MANTENIM.EQUIPO DE COMUNICACION</v>
          </cell>
          <cell r="C1498">
            <v>13779134</v>
          </cell>
        </row>
        <row r="1499">
          <cell r="A1499" t="str">
            <v>511010017</v>
          </cell>
          <cell r="B1499" t="str">
            <v>511010017 ADMON - MANTENIM.SOFTWARE EQ.COMPUTO</v>
          </cell>
          <cell r="C1499">
            <v>25590791</v>
          </cell>
        </row>
        <row r="1500">
          <cell r="A1500" t="str">
            <v>511010018</v>
          </cell>
          <cell r="B1500" t="str">
            <v>511010018 ADMON - MANTENIM.SOFTWARE EQ.COMPUTO AYC</v>
          </cell>
          <cell r="C1500">
            <v>13064000</v>
          </cell>
        </row>
        <row r="1501">
          <cell r="A1501" t="str">
            <v/>
          </cell>
          <cell r="B1501" t="str">
            <v>Total Mantenimiento y reparaciones</v>
          </cell>
          <cell r="C1501">
            <v>406906161</v>
          </cell>
        </row>
        <row r="1502">
          <cell r="A1502" t="str">
            <v/>
          </cell>
          <cell r="B1502" t="str">
            <v>511014. Cuotas de Administracion</v>
          </cell>
          <cell r="C1502">
            <v>0</v>
          </cell>
        </row>
        <row r="1503">
          <cell r="A1503" t="str">
            <v>511014001</v>
          </cell>
          <cell r="B1503" t="str">
            <v>511014001 ADMON - CUOTAS DE ADMINISTRACION</v>
          </cell>
          <cell r="C1503">
            <v>19165945</v>
          </cell>
        </row>
        <row r="1504">
          <cell r="A1504" t="str">
            <v/>
          </cell>
          <cell r="B1504" t="str">
            <v>Total Cuotas de Administracion</v>
          </cell>
          <cell r="C1504">
            <v>19165945</v>
          </cell>
        </row>
        <row r="1505">
          <cell r="A1505" t="str">
            <v/>
          </cell>
          <cell r="B1505" t="str">
            <v>511016. Reparaciones Locativas</v>
          </cell>
          <cell r="C1505">
            <v>0</v>
          </cell>
        </row>
        <row r="1506">
          <cell r="A1506" t="str">
            <v>511016001</v>
          </cell>
          <cell r="B1506" t="str">
            <v>511016001 ADMON - SUMINIST. Y ARREGLOS LOCATIVOS AYC</v>
          </cell>
          <cell r="C1506">
            <v>14400</v>
          </cell>
        </row>
        <row r="1507">
          <cell r="A1507" t="str">
            <v>511016011</v>
          </cell>
          <cell r="B1507" t="str">
            <v>511016011 ADMON - SUMINIST. Y ARREGLOS LOCATIVOS</v>
          </cell>
          <cell r="C1507">
            <v>48351391</v>
          </cell>
        </row>
        <row r="1508">
          <cell r="A1508" t="str">
            <v/>
          </cell>
          <cell r="B1508" t="str">
            <v>Total Reparaciones Locativas</v>
          </cell>
          <cell r="C1508">
            <v>48365791</v>
          </cell>
        </row>
        <row r="1509">
          <cell r="A1509" t="str">
            <v/>
          </cell>
          <cell r="B1509" t="str">
            <v>511018. Aseo Y elementos</v>
          </cell>
          <cell r="C1509">
            <v>0</v>
          </cell>
        </row>
        <row r="1510">
          <cell r="A1510" t="str">
            <v>511018001</v>
          </cell>
          <cell r="B1510" t="str">
            <v>511018001 ADMON - IMPLEMENTOS DE ASEO AYC</v>
          </cell>
          <cell r="C1510">
            <v>373926</v>
          </cell>
        </row>
        <row r="1511">
          <cell r="A1511" t="str">
            <v>511018011</v>
          </cell>
          <cell r="B1511" t="str">
            <v>511018011 ADMON - IMPLEMENTOS DE ASEO</v>
          </cell>
          <cell r="C1511">
            <v>57405432</v>
          </cell>
        </row>
        <row r="1512">
          <cell r="A1512" t="str">
            <v>511018012</v>
          </cell>
          <cell r="B1512" t="str">
            <v>511018012 ADMON - ASEO GENERAL</v>
          </cell>
          <cell r="C1512">
            <v>10354263</v>
          </cell>
        </row>
        <row r="1513">
          <cell r="A1513" t="str">
            <v/>
          </cell>
          <cell r="B1513" t="str">
            <v>Total Aseo Y elementos</v>
          </cell>
          <cell r="C1513">
            <v>68133621</v>
          </cell>
        </row>
        <row r="1514">
          <cell r="A1514" t="str">
            <v/>
          </cell>
          <cell r="B1514" t="str">
            <v>511020. Cafeteria</v>
          </cell>
          <cell r="C1514">
            <v>0</v>
          </cell>
        </row>
        <row r="1515">
          <cell r="A1515" t="str">
            <v>511020001</v>
          </cell>
          <cell r="B1515" t="str">
            <v>511020001 ADMON - SUMINISTROS CAFETERIA AYC</v>
          </cell>
          <cell r="C1515">
            <v>286869</v>
          </cell>
        </row>
        <row r="1516">
          <cell r="A1516" t="str">
            <v>511020011</v>
          </cell>
          <cell r="B1516" t="str">
            <v>511020011 ADMON - SUMINISTROS CAFETERIA</v>
          </cell>
          <cell r="C1516">
            <v>159528342</v>
          </cell>
        </row>
        <row r="1517">
          <cell r="A1517" t="str">
            <v>511020012</v>
          </cell>
          <cell r="B1517" t="str">
            <v>511020012 ADMON - ELEMENTOS CAFETERIA</v>
          </cell>
          <cell r="C1517">
            <v>2947919</v>
          </cell>
        </row>
        <row r="1518">
          <cell r="A1518" t="str">
            <v/>
          </cell>
          <cell r="B1518" t="str">
            <v>Total Cafeteria</v>
          </cell>
          <cell r="C1518">
            <v>162763130</v>
          </cell>
        </row>
        <row r="1519">
          <cell r="A1519" t="str">
            <v/>
          </cell>
          <cell r="B1519" t="str">
            <v>511022. Servicios publicos</v>
          </cell>
          <cell r="C1519">
            <v>0</v>
          </cell>
        </row>
        <row r="1520">
          <cell r="A1520" t="str">
            <v>511022001</v>
          </cell>
          <cell r="B1520" t="str">
            <v>511022001 ADMON - ACUEDUCTO AYC</v>
          </cell>
          <cell r="C1520">
            <v>128167</v>
          </cell>
        </row>
        <row r="1521">
          <cell r="A1521" t="str">
            <v>511022002</v>
          </cell>
          <cell r="B1521" t="str">
            <v>511022002 ADMON - ALCANTARILLADO AYC</v>
          </cell>
          <cell r="C1521">
            <v>82133</v>
          </cell>
        </row>
        <row r="1522">
          <cell r="A1522" t="str">
            <v>511022003</v>
          </cell>
          <cell r="B1522" t="str">
            <v>511022003 ADMON - ENERGIA AYC</v>
          </cell>
          <cell r="C1522">
            <v>794960</v>
          </cell>
        </row>
        <row r="1523">
          <cell r="A1523" t="str">
            <v>511022004</v>
          </cell>
          <cell r="B1523" t="str">
            <v>511022004 ADMON - TELEFONO AYC</v>
          </cell>
          <cell r="C1523">
            <v>3718131</v>
          </cell>
        </row>
        <row r="1524">
          <cell r="A1524" t="str">
            <v>511022005</v>
          </cell>
          <cell r="B1524" t="str">
            <v>511022005 ADMON - ASEO DISTRITAL  AYC</v>
          </cell>
          <cell r="C1524">
            <v>75375</v>
          </cell>
        </row>
        <row r="1525">
          <cell r="A1525" t="str">
            <v>511022006</v>
          </cell>
          <cell r="B1525" t="str">
            <v>511022006 ADMON - GASNATURAL  AYC</v>
          </cell>
          <cell r="C1525">
            <v>15170</v>
          </cell>
        </row>
        <row r="1526">
          <cell r="A1526" t="str">
            <v>511022011</v>
          </cell>
          <cell r="B1526" t="str">
            <v>511022011 ADMON - ACUEDUCTO</v>
          </cell>
          <cell r="C1526">
            <v>5309886</v>
          </cell>
        </row>
        <row r="1527">
          <cell r="A1527" t="str">
            <v>511022012</v>
          </cell>
          <cell r="B1527" t="str">
            <v>511022012 ADMON - ALCANTARILLADO</v>
          </cell>
          <cell r="C1527">
            <v>3518465</v>
          </cell>
        </row>
        <row r="1528">
          <cell r="A1528" t="str">
            <v>511022013</v>
          </cell>
          <cell r="B1528" t="str">
            <v>511022013 ADMON - ENERGIA</v>
          </cell>
          <cell r="C1528">
            <v>88968411</v>
          </cell>
        </row>
        <row r="1529">
          <cell r="A1529" t="str">
            <v>511022015</v>
          </cell>
          <cell r="B1529" t="str">
            <v>511022015 ADMON - ASEO DISTRITAL</v>
          </cell>
          <cell r="C1529">
            <v>3666668</v>
          </cell>
        </row>
        <row r="1530">
          <cell r="A1530" t="str">
            <v>511022016</v>
          </cell>
          <cell r="B1530" t="str">
            <v>511022016 ADMON - GAS</v>
          </cell>
          <cell r="C1530">
            <v>578410</v>
          </cell>
        </row>
        <row r="1531">
          <cell r="A1531" t="str">
            <v>511022020</v>
          </cell>
          <cell r="B1531" t="str">
            <v>511022020 ADMON - TELEFONO  LINEAS DIRECTAS</v>
          </cell>
          <cell r="C1531">
            <v>25826078</v>
          </cell>
        </row>
        <row r="1532">
          <cell r="A1532" t="str">
            <v>511022021</v>
          </cell>
          <cell r="B1532" t="str">
            <v>511022021 ADMON - TELEFONO  PBX</v>
          </cell>
          <cell r="C1532">
            <v>59005199</v>
          </cell>
        </row>
        <row r="1533">
          <cell r="A1533" t="str">
            <v>511022022</v>
          </cell>
          <cell r="B1533" t="str">
            <v>511022022 ADMON - TELEFONO  LINEA 9800</v>
          </cell>
          <cell r="C1533">
            <v>-885492</v>
          </cell>
        </row>
        <row r="1534">
          <cell r="A1534" t="str">
            <v/>
          </cell>
          <cell r="B1534" t="str">
            <v>Total Servicios publicos</v>
          </cell>
          <cell r="C1534">
            <v>190801561</v>
          </cell>
        </row>
        <row r="1535">
          <cell r="A1535" t="str">
            <v/>
          </cell>
          <cell r="B1535" t="str">
            <v>511024. Portes,cables, fax y telex</v>
          </cell>
          <cell r="C1535">
            <v>0</v>
          </cell>
        </row>
        <row r="1536">
          <cell r="A1536" t="str">
            <v>511024001</v>
          </cell>
          <cell r="B1536" t="str">
            <v>511024001 ADMON - FAX Y TELEX</v>
          </cell>
          <cell r="C1536">
            <v>137400</v>
          </cell>
        </row>
        <row r="1537">
          <cell r="A1537" t="str">
            <v/>
          </cell>
          <cell r="B1537" t="str">
            <v>Total Portes,cables, fax y telex</v>
          </cell>
          <cell r="C1537">
            <v>137400</v>
          </cell>
        </row>
        <row r="1538">
          <cell r="A1538" t="str">
            <v/>
          </cell>
          <cell r="B1538" t="str">
            <v>511026. Trasporte,fletes y acarreos</v>
          </cell>
          <cell r="C1538">
            <v>0</v>
          </cell>
        </row>
        <row r="1539">
          <cell r="A1539" t="str">
            <v>511026001</v>
          </cell>
          <cell r="B1539" t="str">
            <v>511026001 ADMON - OTROS GTOS DE TRANSPORTE</v>
          </cell>
          <cell r="C1539">
            <v>3736431</v>
          </cell>
        </row>
        <row r="1540">
          <cell r="A1540" t="str">
            <v>511026002</v>
          </cell>
          <cell r="B1540" t="str">
            <v>511026002 ADMON - ACARREOS</v>
          </cell>
          <cell r="C1540">
            <v>6050886</v>
          </cell>
        </row>
        <row r="1541">
          <cell r="A1541" t="str">
            <v/>
          </cell>
          <cell r="B1541" t="str">
            <v>Total Trasporte,fletes y acarreos</v>
          </cell>
          <cell r="C1541">
            <v>9787317</v>
          </cell>
        </row>
        <row r="1542">
          <cell r="A1542" t="str">
            <v/>
          </cell>
          <cell r="B1542" t="str">
            <v>511028. Papeleria y utiles de oficina</v>
          </cell>
          <cell r="C1542">
            <v>0</v>
          </cell>
        </row>
        <row r="1543">
          <cell r="A1543" t="str">
            <v>511028001</v>
          </cell>
          <cell r="B1543" t="str">
            <v>511028001 ADMON - PAPELERIA - UTILES DE OFICINA AYC</v>
          </cell>
          <cell r="C1543">
            <v>20811455</v>
          </cell>
        </row>
        <row r="1544">
          <cell r="A1544" t="str">
            <v>511028011</v>
          </cell>
          <cell r="B1544" t="str">
            <v>511028011 ADMON - PAPELERIA - UTILES DE OFICNA</v>
          </cell>
          <cell r="C1544">
            <v>355520562</v>
          </cell>
        </row>
        <row r="1545">
          <cell r="A1545" t="str">
            <v>511028013</v>
          </cell>
          <cell r="B1545" t="str">
            <v>511028013 ADMON - REVELADOS ROLLOS Y DEMAS</v>
          </cell>
          <cell r="C1545">
            <v>1854330</v>
          </cell>
        </row>
        <row r="1546">
          <cell r="A1546" t="str">
            <v/>
          </cell>
          <cell r="B1546" t="str">
            <v>Total Papeleria y utiles de oficina</v>
          </cell>
          <cell r="C1546">
            <v>378186347</v>
          </cell>
        </row>
        <row r="1547">
          <cell r="A1547" t="str">
            <v/>
          </cell>
          <cell r="B1547" t="str">
            <v>511030. Fotocopias</v>
          </cell>
          <cell r="C1547">
            <v>0</v>
          </cell>
        </row>
        <row r="1548">
          <cell r="A1548" t="str">
            <v>511030002</v>
          </cell>
          <cell r="B1548" t="str">
            <v>511030002 ADMON - FOTOCOPIAS  AYC</v>
          </cell>
          <cell r="C1548">
            <v>1778563</v>
          </cell>
        </row>
        <row r="1549">
          <cell r="A1549" t="str">
            <v>511030012</v>
          </cell>
          <cell r="B1549" t="str">
            <v>511030012 ADMON - FOTOCOPIAS</v>
          </cell>
          <cell r="C1549">
            <v>23442051</v>
          </cell>
        </row>
        <row r="1550">
          <cell r="A1550" t="str">
            <v>511030013</v>
          </cell>
          <cell r="B1550" t="str">
            <v>511030013 ADMON - ENCUADERNACION</v>
          </cell>
          <cell r="C1550">
            <v>8556020</v>
          </cell>
        </row>
        <row r="1551">
          <cell r="A1551" t="str">
            <v>511030014</v>
          </cell>
          <cell r="B1551" t="str">
            <v>511030014 ADMON - ACETATOS</v>
          </cell>
          <cell r="C1551">
            <v>30750</v>
          </cell>
        </row>
        <row r="1552">
          <cell r="A1552" t="str">
            <v/>
          </cell>
          <cell r="B1552" t="str">
            <v>Total Fotocopias</v>
          </cell>
          <cell r="C1552">
            <v>33807384</v>
          </cell>
        </row>
        <row r="1553">
          <cell r="A1553" t="str">
            <v/>
          </cell>
          <cell r="B1553" t="str">
            <v>511032. Suministros</v>
          </cell>
          <cell r="C1553">
            <v>0</v>
          </cell>
        </row>
        <row r="1554">
          <cell r="A1554" t="str">
            <v>511032001</v>
          </cell>
          <cell r="B1554" t="str">
            <v>511032001 ADMON - SUMINISTROS</v>
          </cell>
          <cell r="C1554">
            <v>47326191</v>
          </cell>
        </row>
        <row r="1555">
          <cell r="A1555" t="str">
            <v/>
          </cell>
          <cell r="B1555" t="str">
            <v>Total Suministros</v>
          </cell>
          <cell r="C1555">
            <v>47326191</v>
          </cell>
        </row>
        <row r="1556">
          <cell r="A1556" t="str">
            <v/>
          </cell>
          <cell r="B1556" t="str">
            <v>511034. Publicidad y Propaganda</v>
          </cell>
          <cell r="C1556">
            <v>0</v>
          </cell>
        </row>
        <row r="1557">
          <cell r="A1557" t="str">
            <v>511034001</v>
          </cell>
          <cell r="B1557" t="str">
            <v>511034001 ADMON - ELEMENTOS PUBLICITARIOS AYC</v>
          </cell>
          <cell r="C1557">
            <v>0</v>
          </cell>
        </row>
        <row r="1558">
          <cell r="A1558" t="str">
            <v>511034002</v>
          </cell>
          <cell r="B1558" t="str">
            <v>511034002 ADMON - PUBLICACIONES</v>
          </cell>
          <cell r="C1558">
            <v>21468215</v>
          </cell>
        </row>
        <row r="1559">
          <cell r="A1559" t="str">
            <v>511034003</v>
          </cell>
          <cell r="B1559" t="str">
            <v>511034003 ADMON - SEPARATAS-VOLANTES-AFICHES</v>
          </cell>
          <cell r="C1559">
            <v>0</v>
          </cell>
        </row>
        <row r="1560">
          <cell r="A1560" t="str">
            <v>511034004</v>
          </cell>
          <cell r="B1560" t="str">
            <v>511034004 ADMON - CATALOGOS - PLEGABLES</v>
          </cell>
          <cell r="C1560">
            <v>0</v>
          </cell>
        </row>
        <row r="1561">
          <cell r="A1561" t="str">
            <v>511034005</v>
          </cell>
          <cell r="B1561" t="str">
            <v>511034005 ADMON - PUBLICIDAD Y PRPAGANDA</v>
          </cell>
          <cell r="C1561">
            <v>13846104</v>
          </cell>
        </row>
        <row r="1562">
          <cell r="A1562" t="str">
            <v>511034011</v>
          </cell>
          <cell r="B1562" t="str">
            <v>511034011 ADMON - ELEMENTOS PUBLICITARIOS</v>
          </cell>
          <cell r="C1562">
            <v>827200</v>
          </cell>
        </row>
        <row r="1563">
          <cell r="A1563" t="str">
            <v/>
          </cell>
          <cell r="B1563" t="str">
            <v>Total Publicidad y Propaganda</v>
          </cell>
          <cell r="C1563">
            <v>36141519</v>
          </cell>
        </row>
        <row r="1564">
          <cell r="A1564" t="str">
            <v/>
          </cell>
          <cell r="B1564" t="str">
            <v>511036. Contribuciones y afiliaciones</v>
          </cell>
          <cell r="C1564">
            <v>0</v>
          </cell>
        </row>
        <row r="1565">
          <cell r="A1565" t="str">
            <v>511036001</v>
          </cell>
          <cell r="B1565" t="str">
            <v>511036001 ADMON - CONTRIBUCION SUPERSOLIDARIA AYC</v>
          </cell>
          <cell r="C1565">
            <v>12854592</v>
          </cell>
        </row>
        <row r="1566">
          <cell r="A1566" t="str">
            <v>511036011</v>
          </cell>
          <cell r="B1566" t="str">
            <v>511036011 ADMON - CONTRIBUCION SUPERSOLIDARIA</v>
          </cell>
          <cell r="C1566">
            <v>78625846</v>
          </cell>
        </row>
        <row r="1567">
          <cell r="A1567" t="str">
            <v>511036013</v>
          </cell>
          <cell r="B1567" t="str">
            <v>511036013 ADMON - AFILIACIONES</v>
          </cell>
          <cell r="C1567">
            <v>234000</v>
          </cell>
        </row>
        <row r="1568">
          <cell r="A1568" t="str">
            <v/>
          </cell>
          <cell r="B1568" t="str">
            <v>Total Contribuciones y afiliaciones</v>
          </cell>
          <cell r="C1568">
            <v>91714438</v>
          </cell>
        </row>
        <row r="1569">
          <cell r="A1569" t="str">
            <v/>
          </cell>
          <cell r="B1569" t="str">
            <v>511040. Gastos de Directivos</v>
          </cell>
          <cell r="C1569">
            <v>0</v>
          </cell>
        </row>
        <row r="1570">
          <cell r="A1570" t="str">
            <v>511040001</v>
          </cell>
          <cell r="B1570" t="str">
            <v>511040001 ADMON -CONSUMOS INTERNOS</v>
          </cell>
          <cell r="C1570">
            <v>0</v>
          </cell>
        </row>
        <row r="1571">
          <cell r="A1571" t="str">
            <v>511040002</v>
          </cell>
          <cell r="B1571" t="str">
            <v>511040002 ADMON - JUNTA DE VIGILANCIA</v>
          </cell>
          <cell r="C1571">
            <v>341000</v>
          </cell>
        </row>
        <row r="1572">
          <cell r="A1572" t="str">
            <v>511040004</v>
          </cell>
          <cell r="B1572" t="str">
            <v>511040004 ADMON - CASINO Y RESTAURANTE</v>
          </cell>
          <cell r="C1572">
            <v>220196926</v>
          </cell>
        </row>
        <row r="1573">
          <cell r="A1573" t="str">
            <v/>
          </cell>
          <cell r="B1573" t="str">
            <v>Total Gastos de Directivos</v>
          </cell>
          <cell r="C1573">
            <v>220537926</v>
          </cell>
        </row>
        <row r="1574">
          <cell r="A1574" t="str">
            <v/>
          </cell>
          <cell r="B1574" t="str">
            <v>511042. Gastos de comites</v>
          </cell>
          <cell r="C1574">
            <v>0</v>
          </cell>
        </row>
        <row r="1575">
          <cell r="A1575" t="str">
            <v>511042001</v>
          </cell>
          <cell r="B1575" t="str">
            <v>511042001 ADMON - GTOS DE TRANSPORTE</v>
          </cell>
          <cell r="C1575">
            <v>10223243</v>
          </cell>
        </row>
        <row r="1576">
          <cell r="A1576" t="str">
            <v>511042002</v>
          </cell>
          <cell r="B1576" t="str">
            <v>511042002 ADMON - GTOS CAFETERIA COMITES</v>
          </cell>
          <cell r="C1576">
            <v>1018350</v>
          </cell>
        </row>
        <row r="1577">
          <cell r="A1577" t="str">
            <v/>
          </cell>
          <cell r="B1577" t="str">
            <v>Total Gastos de comites</v>
          </cell>
          <cell r="C1577">
            <v>11241593</v>
          </cell>
        </row>
        <row r="1578">
          <cell r="A1578" t="str">
            <v/>
          </cell>
          <cell r="B1578" t="str">
            <v>511044. Reuniones y conferencias</v>
          </cell>
          <cell r="C1578">
            <v>0</v>
          </cell>
        </row>
        <row r="1579">
          <cell r="A1579" t="str">
            <v>511044002</v>
          </cell>
          <cell r="B1579" t="str">
            <v>511044002 ADMON - GTOS CONFERENCIAS-TALLER-SEMINARIOS</v>
          </cell>
          <cell r="C1579">
            <v>1272993</v>
          </cell>
        </row>
        <row r="1580">
          <cell r="A1580" t="str">
            <v/>
          </cell>
          <cell r="B1580" t="str">
            <v>Total Reuniones y conferencias</v>
          </cell>
          <cell r="C1580">
            <v>1272993</v>
          </cell>
        </row>
        <row r="1581">
          <cell r="A1581" t="str">
            <v/>
          </cell>
          <cell r="B1581" t="str">
            <v>511046. Gastos Legales</v>
          </cell>
          <cell r="C1581">
            <v>0</v>
          </cell>
        </row>
        <row r="1582">
          <cell r="A1582" t="str">
            <v>511046000</v>
          </cell>
          <cell r="B1582" t="str">
            <v>511046000 ADMON - GTOS LEGALES ADUANEROS</v>
          </cell>
          <cell r="C1582">
            <v>6779223</v>
          </cell>
        </row>
        <row r="1583">
          <cell r="A1583" t="str">
            <v>511046001</v>
          </cell>
          <cell r="B1583" t="str">
            <v>511046001 ADMON - GTOS JUDICIALES</v>
          </cell>
          <cell r="C1583">
            <v>6224200</v>
          </cell>
        </row>
        <row r="1584">
          <cell r="A1584" t="str">
            <v>511046002</v>
          </cell>
          <cell r="B1584" t="str">
            <v>511046002 ADMON - GTOS NOTARIALES  Y LAGALES</v>
          </cell>
          <cell r="C1584">
            <v>26178616</v>
          </cell>
        </row>
        <row r="1585">
          <cell r="A1585" t="str">
            <v>511046003</v>
          </cell>
          <cell r="B1585" t="str">
            <v>511046003 ADMON - GTOS VIATICOS ABOGADOS AYC</v>
          </cell>
          <cell r="C1585">
            <v>500000</v>
          </cell>
        </row>
        <row r="1586">
          <cell r="A1586" t="str">
            <v/>
          </cell>
          <cell r="B1586" t="str">
            <v>Total Gastos Legales</v>
          </cell>
          <cell r="C1586">
            <v>39682039</v>
          </cell>
        </row>
        <row r="1587">
          <cell r="A1587" t="str">
            <v/>
          </cell>
          <cell r="B1587" t="str">
            <v>511050. Gastos de representacion.</v>
          </cell>
          <cell r="C1587">
            <v>0</v>
          </cell>
        </row>
        <row r="1588">
          <cell r="A1588" t="str">
            <v>511050001</v>
          </cell>
          <cell r="B1588" t="str">
            <v>511050001 ADMON - GTOS REPRESENTACION</v>
          </cell>
          <cell r="C1588">
            <v>365060</v>
          </cell>
        </row>
        <row r="1589">
          <cell r="A1589" t="str">
            <v/>
          </cell>
          <cell r="B1589" t="str">
            <v>Total Gastos de representacion.</v>
          </cell>
          <cell r="C1589">
            <v>365060</v>
          </cell>
        </row>
        <row r="1590">
          <cell r="A1590" t="str">
            <v/>
          </cell>
          <cell r="B1590" t="str">
            <v>511052. Gastos de Viaje</v>
          </cell>
          <cell r="C1590">
            <v>0</v>
          </cell>
        </row>
        <row r="1591">
          <cell r="A1591" t="str">
            <v>511052001</v>
          </cell>
          <cell r="B1591" t="str">
            <v>511052001 ADMON - ALOJAMIENTO Y MANUTENCION</v>
          </cell>
          <cell r="C1591">
            <v>158650949</v>
          </cell>
        </row>
        <row r="1592">
          <cell r="A1592" t="str">
            <v>511052002</v>
          </cell>
          <cell r="B1592" t="str">
            <v>511052002 ADMON - PASAJES AEREOS</v>
          </cell>
          <cell r="C1592">
            <v>122753816</v>
          </cell>
        </row>
        <row r="1593">
          <cell r="A1593" t="str">
            <v>511052003</v>
          </cell>
          <cell r="B1593" t="str">
            <v>511052003 ADMON - PASAJES TERRESTRES</v>
          </cell>
          <cell r="C1593">
            <v>10664763</v>
          </cell>
        </row>
        <row r="1594">
          <cell r="A1594" t="str">
            <v>511052004</v>
          </cell>
          <cell r="B1594" t="str">
            <v>511052004 ADMON - OTROS GTOS DE VIAJE</v>
          </cell>
          <cell r="C1594">
            <v>25990685</v>
          </cell>
        </row>
        <row r="1595">
          <cell r="A1595" t="str">
            <v/>
          </cell>
          <cell r="B1595" t="str">
            <v>Total Gastos de Viaje</v>
          </cell>
          <cell r="C1595">
            <v>318060213</v>
          </cell>
        </row>
        <row r="1596">
          <cell r="A1596" t="str">
            <v/>
          </cell>
          <cell r="B1596" t="str">
            <v>511054. Servicios temporales</v>
          </cell>
          <cell r="C1596">
            <v>0</v>
          </cell>
        </row>
        <row r="1597">
          <cell r="A1597" t="str">
            <v>511054001</v>
          </cell>
          <cell r="B1597" t="str">
            <v>511054001 ADMON - SERVICIOS TEMPORALES</v>
          </cell>
          <cell r="C1597">
            <v>848019681</v>
          </cell>
        </row>
        <row r="1598">
          <cell r="A1598" t="str">
            <v>511054002</v>
          </cell>
          <cell r="B1598" t="str">
            <v>511054002 ADMON - SERVICIOS DE LAVANDERIA</v>
          </cell>
          <cell r="C1598">
            <v>401000</v>
          </cell>
        </row>
        <row r="1599">
          <cell r="A1599" t="str">
            <v/>
          </cell>
          <cell r="B1599" t="str">
            <v>Total Servicios temporales</v>
          </cell>
          <cell r="C1599">
            <v>848420681</v>
          </cell>
        </row>
        <row r="1600">
          <cell r="A1600" t="str">
            <v/>
          </cell>
          <cell r="B1600" t="str">
            <v>511056. Vigilancia privada</v>
          </cell>
          <cell r="C1600">
            <v>0</v>
          </cell>
        </row>
        <row r="1601">
          <cell r="A1601" t="str">
            <v>511056001</v>
          </cell>
          <cell r="B1601" t="str">
            <v>511056001 ADMON - VIGILANCIA PRIVADA</v>
          </cell>
          <cell r="C1601">
            <v>195381581</v>
          </cell>
        </row>
        <row r="1602">
          <cell r="A1602" t="str">
            <v>511056002</v>
          </cell>
          <cell r="B1602" t="str">
            <v>511056002 ADMON - MONITOREO</v>
          </cell>
          <cell r="C1602">
            <v>10218221</v>
          </cell>
        </row>
        <row r="1603">
          <cell r="A1603" t="str">
            <v/>
          </cell>
          <cell r="B1603" t="str">
            <v>Total Vigilancia privada</v>
          </cell>
          <cell r="C1603">
            <v>205599802</v>
          </cell>
        </row>
        <row r="1604">
          <cell r="A1604" t="str">
            <v/>
          </cell>
          <cell r="B1604" t="str">
            <v>511060. Cuotas de Sostenimiento</v>
          </cell>
          <cell r="C1604">
            <v>0</v>
          </cell>
        </row>
        <row r="1605">
          <cell r="A1605" t="str">
            <v>511060001</v>
          </cell>
          <cell r="B1605" t="str">
            <v>511060001 ADMON - CUOTA SOSTENIMIENTO</v>
          </cell>
          <cell r="C1605">
            <v>25760600</v>
          </cell>
        </row>
        <row r="1606">
          <cell r="A1606" t="str">
            <v/>
          </cell>
          <cell r="B1606" t="str">
            <v>Total Cuotas de Sostenimiento</v>
          </cell>
          <cell r="C1606">
            <v>25760600</v>
          </cell>
        </row>
        <row r="1607">
          <cell r="A1607" t="str">
            <v/>
          </cell>
          <cell r="B1607" t="str">
            <v>511062. Suscripciones</v>
          </cell>
          <cell r="C1607">
            <v>0</v>
          </cell>
        </row>
        <row r="1608">
          <cell r="A1608" t="str">
            <v>511062001</v>
          </cell>
          <cell r="B1608" t="str">
            <v>511062001 ADMON - LIBROS-SUSCRIPCIONES-REVISTAS</v>
          </cell>
          <cell r="C1608">
            <v>13002144</v>
          </cell>
        </row>
        <row r="1609">
          <cell r="A1609" t="str">
            <v>511062002</v>
          </cell>
          <cell r="B1609" t="str">
            <v>511062002 ADMON - OTRAS CUOTAS</v>
          </cell>
          <cell r="C1609">
            <v>1</v>
          </cell>
        </row>
        <row r="1610">
          <cell r="A1610" t="str">
            <v/>
          </cell>
          <cell r="B1610" t="str">
            <v>Total Suscripciones</v>
          </cell>
          <cell r="C1610">
            <v>13002145</v>
          </cell>
        </row>
        <row r="1611">
          <cell r="A1611" t="str">
            <v/>
          </cell>
          <cell r="B1611" t="str">
            <v>511064. Auxilios y donaciones</v>
          </cell>
          <cell r="C1611">
            <v>0</v>
          </cell>
        </row>
        <row r="1612">
          <cell r="A1612" t="str">
            <v>511064001</v>
          </cell>
          <cell r="B1612" t="str">
            <v>511064001 ADMON - AUXILIOS Y DONACIONES</v>
          </cell>
          <cell r="C1612">
            <v>39000000</v>
          </cell>
        </row>
        <row r="1613">
          <cell r="A1613" t="str">
            <v/>
          </cell>
          <cell r="B1613" t="str">
            <v>Total Auxilios y donaciones</v>
          </cell>
          <cell r="C1613">
            <v>39000000</v>
          </cell>
        </row>
        <row r="1614">
          <cell r="A1614" t="str">
            <v/>
          </cell>
          <cell r="B1614" t="str">
            <v>511066. Adecuacion E instalacion</v>
          </cell>
          <cell r="C1614">
            <v>0</v>
          </cell>
        </row>
        <row r="1615">
          <cell r="A1615" t="str">
            <v>511066011</v>
          </cell>
          <cell r="B1615" t="str">
            <v>511066011 ADMON - ADECUACION DE OFICINAS</v>
          </cell>
          <cell r="C1615">
            <v>23533468</v>
          </cell>
        </row>
        <row r="1616">
          <cell r="A1616" t="str">
            <v>511066012</v>
          </cell>
          <cell r="B1616" t="str">
            <v>511066012 ADMON - INSTALACIONES ELECTRICAS</v>
          </cell>
          <cell r="C1616">
            <v>32850</v>
          </cell>
        </row>
        <row r="1617">
          <cell r="A1617" t="str">
            <v/>
          </cell>
          <cell r="B1617" t="str">
            <v>Total Adecuacion E instalacion</v>
          </cell>
          <cell r="C1617">
            <v>23566318</v>
          </cell>
        </row>
        <row r="1618">
          <cell r="A1618" t="str">
            <v/>
          </cell>
          <cell r="B1618" t="str">
            <v>511070. Gastos de Fondo de educacion.</v>
          </cell>
          <cell r="C1618">
            <v>0</v>
          </cell>
        </row>
        <row r="1619">
          <cell r="A1619" t="str">
            <v>511070001</v>
          </cell>
          <cell r="B1619" t="str">
            <v>511070001 ADMON - FONDO DE EDUCACION</v>
          </cell>
          <cell r="C1619">
            <v>13791146</v>
          </cell>
        </row>
        <row r="1620">
          <cell r="A1620" t="str">
            <v/>
          </cell>
          <cell r="B1620" t="str">
            <v>Total Gastos de Fondo de educacion.</v>
          </cell>
          <cell r="C1620">
            <v>13791146</v>
          </cell>
        </row>
        <row r="1621">
          <cell r="A1621" t="str">
            <v/>
          </cell>
          <cell r="B1621" t="str">
            <v>511072. Gastos de Fondo de solidaridad</v>
          </cell>
          <cell r="C1621">
            <v>0</v>
          </cell>
        </row>
        <row r="1622">
          <cell r="A1622" t="str">
            <v>511072001</v>
          </cell>
          <cell r="B1622" t="str">
            <v>511072001 ADMON - FONDO SOLIDARIDAD</v>
          </cell>
          <cell r="C1622">
            <v>1822661</v>
          </cell>
        </row>
        <row r="1623">
          <cell r="A1623" t="str">
            <v/>
          </cell>
          <cell r="B1623" t="str">
            <v>Total Gastos de Fondo de solidaridad</v>
          </cell>
          <cell r="C1623">
            <v>1822661</v>
          </cell>
        </row>
        <row r="1624">
          <cell r="A1624" t="str">
            <v/>
          </cell>
          <cell r="B1624" t="str">
            <v>511080. Gastos otros fondos</v>
          </cell>
          <cell r="C1624">
            <v>0</v>
          </cell>
        </row>
        <row r="1625">
          <cell r="A1625" t="str">
            <v>511080001</v>
          </cell>
          <cell r="B1625" t="str">
            <v>511080001 ADMON - FOND.BIENESTAR RECREAC.DEPORT.</v>
          </cell>
          <cell r="C1625">
            <v>37920798</v>
          </cell>
        </row>
        <row r="1626">
          <cell r="A1626" t="str">
            <v/>
          </cell>
          <cell r="B1626" t="str">
            <v>Total Gastos otros fondos</v>
          </cell>
          <cell r="C1626">
            <v>37920798</v>
          </cell>
        </row>
        <row r="1627">
          <cell r="A1627" t="str">
            <v/>
          </cell>
          <cell r="B1627" t="str">
            <v>511095. Gastos Varios</v>
          </cell>
          <cell r="C1627">
            <v>0</v>
          </cell>
        </row>
        <row r="1628">
          <cell r="A1628" t="str">
            <v>511095001</v>
          </cell>
          <cell r="B1628" t="str">
            <v>511095001 ADMON - SOFTWARE - LICENCIAS</v>
          </cell>
          <cell r="C1628">
            <v>6035254</v>
          </cell>
        </row>
        <row r="1629">
          <cell r="A1629" t="str">
            <v>511095002</v>
          </cell>
          <cell r="B1629" t="str">
            <v>511095002 ADMON - TAXIS Y BUSES  AYC</v>
          </cell>
          <cell r="C1629">
            <v>0</v>
          </cell>
        </row>
        <row r="1630">
          <cell r="A1630" t="str">
            <v>511095009</v>
          </cell>
          <cell r="B1630" t="str">
            <v>511095009 ADMON - COMUNICACION ELECTRONICA DATOS AYC</v>
          </cell>
          <cell r="C1630">
            <v>6760632</v>
          </cell>
        </row>
        <row r="1631">
          <cell r="A1631" t="str">
            <v>511095011</v>
          </cell>
          <cell r="B1631" t="str">
            <v>511095011 ADMON - BEEPER</v>
          </cell>
          <cell r="C1631">
            <v>1195256</v>
          </cell>
        </row>
        <row r="1632">
          <cell r="A1632" t="str">
            <v>511095012</v>
          </cell>
          <cell r="B1632" t="str">
            <v>511095012 ADMON - TAXIS Y BUSES</v>
          </cell>
          <cell r="C1632">
            <v>150758807</v>
          </cell>
        </row>
        <row r="1633">
          <cell r="A1633" t="str">
            <v>511095013</v>
          </cell>
          <cell r="B1633" t="str">
            <v>511095013 ADMON - COMBUSTIBLES Y LUBRICANTES</v>
          </cell>
          <cell r="C1633">
            <v>4654104</v>
          </cell>
        </row>
        <row r="1634">
          <cell r="A1634" t="str">
            <v>511095014</v>
          </cell>
          <cell r="B1634" t="str">
            <v>511095014 ADMON - PARQUEADEROS</v>
          </cell>
          <cell r="C1634">
            <v>6866643</v>
          </cell>
        </row>
        <row r="1635">
          <cell r="A1635" t="str">
            <v>511095015</v>
          </cell>
          <cell r="B1635" t="str">
            <v>511095015 ADMON - TIMBRES Y REGISTROS</v>
          </cell>
          <cell r="C1635">
            <v>175560</v>
          </cell>
        </row>
        <row r="1636">
          <cell r="A1636" t="str">
            <v>511095016</v>
          </cell>
          <cell r="B1636" t="str">
            <v>511095016 ADMON - ATENCION ASOCIADOS</v>
          </cell>
          <cell r="C1636">
            <v>26421794</v>
          </cell>
        </row>
        <row r="1637">
          <cell r="A1637" t="str">
            <v>511095017</v>
          </cell>
          <cell r="B1637" t="str">
            <v>511095017 ADMON - SERVICIO DE INTERNET</v>
          </cell>
          <cell r="C1637">
            <v>22331790</v>
          </cell>
        </row>
        <row r="1638">
          <cell r="A1638" t="str">
            <v>511095018</v>
          </cell>
          <cell r="B1638" t="str">
            <v>511095018 ADMON - MUSICA AMBIENTAL</v>
          </cell>
          <cell r="C1638">
            <v>1124181</v>
          </cell>
        </row>
        <row r="1639">
          <cell r="A1639" t="str">
            <v>511095019</v>
          </cell>
          <cell r="B1639" t="str">
            <v>511095019 ADMON - COMUNICACION ELECTRONICA DATOS</v>
          </cell>
          <cell r="C1639">
            <v>1384431</v>
          </cell>
        </row>
        <row r="1640">
          <cell r="A1640" t="str">
            <v>511095020</v>
          </cell>
          <cell r="B1640" t="str">
            <v>511095020 ADMON - CAPACITACION ASOCIADOS</v>
          </cell>
          <cell r="C1640">
            <v>21302863</v>
          </cell>
        </row>
        <row r="1641">
          <cell r="A1641" t="str">
            <v>511095021</v>
          </cell>
          <cell r="B1641" t="str">
            <v>511095021 ADMON - SERVICIO SATELITAL</v>
          </cell>
          <cell r="C1641">
            <v>73216500</v>
          </cell>
        </row>
        <row r="1642">
          <cell r="A1642" t="str">
            <v>511095022</v>
          </cell>
          <cell r="B1642" t="str">
            <v>511095022 ADMON - SERVICIOS ORNAMENTALES</v>
          </cell>
          <cell r="C1642">
            <v>20000</v>
          </cell>
        </row>
        <row r="1643">
          <cell r="A1643" t="str">
            <v>511095026</v>
          </cell>
          <cell r="B1643" t="str">
            <v>511095026 ADMON - LAVANDERIA</v>
          </cell>
          <cell r="C1643">
            <v>1544380</v>
          </cell>
        </row>
        <row r="1644">
          <cell r="A1644" t="str">
            <v>511095090</v>
          </cell>
          <cell r="B1644" t="str">
            <v>511095090 ADMON - OTROS SERVICIOS</v>
          </cell>
          <cell r="C1644">
            <v>18160007</v>
          </cell>
        </row>
        <row r="1645">
          <cell r="A1645" t="str">
            <v>511095099</v>
          </cell>
          <cell r="B1645" t="str">
            <v>511095099 ADMON - OTROS GASTOS GENERALES DE ADMON</v>
          </cell>
          <cell r="C1645">
            <v>157378319</v>
          </cell>
        </row>
        <row r="1646">
          <cell r="A1646" t="str">
            <v>511095199</v>
          </cell>
          <cell r="B1646" t="str">
            <v>511095199 ADMON -  GASTOS DE PARTICIPACION DE AYC</v>
          </cell>
          <cell r="C1646">
            <v>0</v>
          </cell>
        </row>
        <row r="1647">
          <cell r="A1647" t="str">
            <v/>
          </cell>
          <cell r="B1647" t="str">
            <v>Total Gastos Varios</v>
          </cell>
          <cell r="C1647">
            <v>499330521</v>
          </cell>
        </row>
        <row r="1648">
          <cell r="A1648" t="str">
            <v/>
          </cell>
          <cell r="B1648" t="str">
            <v>Total 5110 Gastos generales</v>
          </cell>
          <cell r="C1648">
            <v>4789084142</v>
          </cell>
        </row>
        <row r="1649">
          <cell r="A1649" t="str">
            <v/>
          </cell>
          <cell r="B1649" t="str">
            <v>5115. Provisiones</v>
          </cell>
          <cell r="C1649">
            <v>0</v>
          </cell>
        </row>
        <row r="1650">
          <cell r="A1650" t="str">
            <v/>
          </cell>
          <cell r="B1650" t="str">
            <v>511510. Creditos Comerciales</v>
          </cell>
          <cell r="C1650">
            <v>0</v>
          </cell>
        </row>
        <row r="1651">
          <cell r="A1651" t="str">
            <v>511510001</v>
          </cell>
          <cell r="B1651" t="str">
            <v>511510001 ADMON - PROVISION CREDITOS DE CARTERA</v>
          </cell>
          <cell r="C1651">
            <v>10002019</v>
          </cell>
        </row>
        <row r="1652">
          <cell r="A1652" t="str">
            <v/>
          </cell>
          <cell r="B1652" t="str">
            <v>Total Creditos Comerciales</v>
          </cell>
          <cell r="C1652">
            <v>10002019</v>
          </cell>
        </row>
        <row r="1653">
          <cell r="A1653" t="str">
            <v/>
          </cell>
          <cell r="B1653" t="str">
            <v>511515. Creditos de Consumo</v>
          </cell>
          <cell r="C1653">
            <v>0</v>
          </cell>
        </row>
        <row r="1654">
          <cell r="A1654" t="str">
            <v>511515001</v>
          </cell>
          <cell r="B1654" t="str">
            <v>511515001 ADMON - PROVISION CREDITOS DE CONSUMO AYC</v>
          </cell>
          <cell r="C1654">
            <v>10475412</v>
          </cell>
        </row>
        <row r="1655">
          <cell r="A1655" t="str">
            <v/>
          </cell>
          <cell r="B1655" t="str">
            <v>Total Creditos de Consumo</v>
          </cell>
          <cell r="C1655">
            <v>10475412</v>
          </cell>
        </row>
        <row r="1656">
          <cell r="A1656" t="str">
            <v/>
          </cell>
          <cell r="B1656" t="str">
            <v>511524. Provision general de cartera</v>
          </cell>
          <cell r="C1656">
            <v>0</v>
          </cell>
        </row>
        <row r="1657">
          <cell r="A1657" t="str">
            <v>511524001</v>
          </cell>
          <cell r="B1657" t="str">
            <v>511524001 ADMON - PROVISION GENERAL DE CARTERA AYC</v>
          </cell>
          <cell r="C1657">
            <v>56281035</v>
          </cell>
        </row>
        <row r="1658">
          <cell r="A1658" t="str">
            <v/>
          </cell>
          <cell r="B1658" t="str">
            <v>Total Provision general de cartera</v>
          </cell>
          <cell r="C1658">
            <v>56281035</v>
          </cell>
        </row>
        <row r="1659">
          <cell r="A1659" t="str">
            <v/>
          </cell>
          <cell r="B1659" t="str">
            <v>511525. Cartera Por venta bienes</v>
          </cell>
          <cell r="C1659">
            <v>0</v>
          </cell>
        </row>
        <row r="1660">
          <cell r="A1660" t="str">
            <v>511525001</v>
          </cell>
          <cell r="B1660" t="str">
            <v>511525001 ADMON - PROVISION CART.POR VTA DE BIENES</v>
          </cell>
          <cell r="C1660">
            <v>16935605</v>
          </cell>
        </row>
        <row r="1661">
          <cell r="A1661" t="str">
            <v/>
          </cell>
          <cell r="B1661" t="str">
            <v>Total Cartera Por venta bienes</v>
          </cell>
          <cell r="C1661">
            <v>16935605</v>
          </cell>
        </row>
        <row r="1662">
          <cell r="A1662" t="str">
            <v/>
          </cell>
          <cell r="B1662" t="str">
            <v>511530. Cuentas Por cobrar</v>
          </cell>
          <cell r="C1662">
            <v>0</v>
          </cell>
        </row>
        <row r="1663">
          <cell r="A1663" t="str">
            <v>511530001</v>
          </cell>
          <cell r="B1663" t="str">
            <v>511530001 ADMON - PROVISION CUENTAS POR COBRAR AYC</v>
          </cell>
          <cell r="C1663">
            <v>972798</v>
          </cell>
        </row>
        <row r="1664">
          <cell r="A1664" t="str">
            <v/>
          </cell>
          <cell r="B1664" t="str">
            <v>Total Cuentas Por cobrar</v>
          </cell>
          <cell r="C1664">
            <v>972798</v>
          </cell>
        </row>
        <row r="1665">
          <cell r="A1665" t="str">
            <v/>
          </cell>
          <cell r="B1665" t="str">
            <v>511535. Inventarios</v>
          </cell>
          <cell r="C1665">
            <v>0</v>
          </cell>
        </row>
        <row r="1666">
          <cell r="A1666" t="str">
            <v>511535002</v>
          </cell>
          <cell r="B1666" t="str">
            <v>511535002 ADMON - PROVISION PARA INVENTARIOS PARA DESGUASE</v>
          </cell>
          <cell r="C1666">
            <v>11500000</v>
          </cell>
        </row>
        <row r="1667">
          <cell r="A1667" t="str">
            <v/>
          </cell>
          <cell r="B1667" t="str">
            <v>Total Inventarios</v>
          </cell>
          <cell r="C1667">
            <v>11500000</v>
          </cell>
        </row>
        <row r="1668">
          <cell r="A1668" t="str">
            <v/>
          </cell>
          <cell r="B1668" t="str">
            <v>Total 5115 Provisiones</v>
          </cell>
          <cell r="C1668">
            <v>106166869</v>
          </cell>
        </row>
        <row r="1669">
          <cell r="A1669" t="str">
            <v/>
          </cell>
          <cell r="B1669" t="str">
            <v>5120. Amortizacion y agotamiento</v>
          </cell>
          <cell r="C1669">
            <v>0</v>
          </cell>
        </row>
        <row r="1670">
          <cell r="A1670" t="str">
            <v/>
          </cell>
          <cell r="B1670" t="str">
            <v>512010. Cargos Diferidos</v>
          </cell>
          <cell r="C1670">
            <v>0</v>
          </cell>
        </row>
        <row r="1671">
          <cell r="A1671" t="str">
            <v>512010004</v>
          </cell>
          <cell r="B1671" t="str">
            <v>512010004 ADMON - DIFER.PROGR. PARA COMPUTADOR</v>
          </cell>
          <cell r="C1671">
            <v>850684000</v>
          </cell>
        </row>
        <row r="1672">
          <cell r="A1672" t="str">
            <v>512010008</v>
          </cell>
          <cell r="B1672" t="str">
            <v>512010008 ADMON - MEJORA PROPIED.TOMADA ARRIENDO</v>
          </cell>
          <cell r="C1672">
            <v>0</v>
          </cell>
        </row>
        <row r="1673">
          <cell r="A1673" t="str">
            <v/>
          </cell>
          <cell r="B1673" t="str">
            <v>Total Cargos Diferidos</v>
          </cell>
          <cell r="C1673">
            <v>850684000</v>
          </cell>
        </row>
        <row r="1674">
          <cell r="A1674" t="str">
            <v/>
          </cell>
          <cell r="B1674" t="str">
            <v>512095. Otras</v>
          </cell>
          <cell r="C1674">
            <v>0</v>
          </cell>
        </row>
        <row r="1675">
          <cell r="A1675" t="str">
            <v>512095000</v>
          </cell>
          <cell r="B1675" t="str">
            <v>512095000 ADMON - AMORT. MUEBLES Y ENSERES COMODATO</v>
          </cell>
          <cell r="C1675">
            <v>4382454</v>
          </cell>
        </row>
        <row r="1676">
          <cell r="A1676" t="str">
            <v>512095010</v>
          </cell>
          <cell r="B1676" t="str">
            <v>512095010 ADMON - AMORT. EQ. COMPUTO COMODATO</v>
          </cell>
          <cell r="C1676">
            <v>344520</v>
          </cell>
        </row>
        <row r="1677">
          <cell r="A1677" t="str">
            <v/>
          </cell>
          <cell r="B1677" t="str">
            <v>Total Otras</v>
          </cell>
          <cell r="C1677">
            <v>4726974</v>
          </cell>
        </row>
        <row r="1678">
          <cell r="A1678" t="str">
            <v/>
          </cell>
          <cell r="B1678" t="str">
            <v>Total 5120 Amortizacion y agotamiento</v>
          </cell>
          <cell r="C1678">
            <v>855410974</v>
          </cell>
        </row>
        <row r="1679">
          <cell r="A1679" t="str">
            <v/>
          </cell>
          <cell r="B1679" t="str">
            <v>5125. Depreciaciones</v>
          </cell>
          <cell r="C1679">
            <v>0</v>
          </cell>
        </row>
        <row r="1680">
          <cell r="A1680" t="str">
            <v/>
          </cell>
          <cell r="B1680" t="str">
            <v>512515. Edificaciones</v>
          </cell>
          <cell r="C1680">
            <v>0</v>
          </cell>
        </row>
        <row r="1681">
          <cell r="A1681" t="str">
            <v>512515001</v>
          </cell>
          <cell r="B1681" t="str">
            <v>512515001 ADMON - DEPRECIACION EDIFICIOS BOGOTA</v>
          </cell>
          <cell r="C1681">
            <v>175214391</v>
          </cell>
        </row>
        <row r="1682">
          <cell r="A1682" t="str">
            <v/>
          </cell>
          <cell r="B1682" t="str">
            <v>Total Edificaciones</v>
          </cell>
          <cell r="C1682">
            <v>175214391</v>
          </cell>
        </row>
        <row r="1683">
          <cell r="A1683" t="str">
            <v/>
          </cell>
          <cell r="B1683" t="str">
            <v>512520. Muebles y equipo de Oficina</v>
          </cell>
          <cell r="C1683">
            <v>0</v>
          </cell>
        </row>
        <row r="1684">
          <cell r="A1684" t="str">
            <v>512520001</v>
          </cell>
          <cell r="B1684" t="str">
            <v>512520001 ADMON - DEPRECIACION EQUIPO.DE OFICINA</v>
          </cell>
          <cell r="C1684">
            <v>14462723</v>
          </cell>
        </row>
        <row r="1685">
          <cell r="A1685" t="str">
            <v>512520002</v>
          </cell>
          <cell r="B1685" t="str">
            <v>512520002 ADMON - DEPRE.EQUIPO DE OFICINA 100% ANO</v>
          </cell>
          <cell r="C1685">
            <v>57805</v>
          </cell>
        </row>
        <row r="1686">
          <cell r="A1686" t="str">
            <v>512520003</v>
          </cell>
          <cell r="B1686" t="str">
            <v>512520003 ADMON - DEPRECIACION  MUEBLES</v>
          </cell>
          <cell r="C1686">
            <v>38430508</v>
          </cell>
        </row>
        <row r="1687">
          <cell r="A1687" t="str">
            <v>512520004</v>
          </cell>
          <cell r="B1687" t="str">
            <v>512520004 ADMON - DEPRE.MUEBLES.100% MISMO ANO</v>
          </cell>
          <cell r="C1687">
            <v>375483</v>
          </cell>
        </row>
        <row r="1688">
          <cell r="A1688" t="str">
            <v/>
          </cell>
          <cell r="B1688" t="str">
            <v>Total Muebles y equipo de Oficina</v>
          </cell>
          <cell r="C1688">
            <v>53326519</v>
          </cell>
        </row>
        <row r="1689">
          <cell r="A1689" t="str">
            <v/>
          </cell>
          <cell r="B1689" t="str">
            <v>512525. Equipo de computo y Comunicaciones</v>
          </cell>
          <cell r="C1689">
            <v>0</v>
          </cell>
        </row>
        <row r="1690">
          <cell r="A1690" t="str">
            <v>512525001</v>
          </cell>
          <cell r="B1690" t="str">
            <v>512525001 ADMON - DEPRE. EQUIPO DE COMPUTO AYC</v>
          </cell>
          <cell r="C1690">
            <v>4744132</v>
          </cell>
        </row>
        <row r="1691">
          <cell r="A1691" t="str">
            <v>512525011</v>
          </cell>
          <cell r="B1691" t="str">
            <v>512525011 ADMON - DEPRE. EQUIPO DE COMPUTO</v>
          </cell>
          <cell r="C1691">
            <v>383467371</v>
          </cell>
        </row>
        <row r="1692">
          <cell r="A1692" t="str">
            <v>512525013</v>
          </cell>
          <cell r="B1692" t="str">
            <v>512525013 ADMON - DEPRE. EQUIPO COMUNICACION</v>
          </cell>
          <cell r="C1692">
            <v>45157088</v>
          </cell>
        </row>
        <row r="1693">
          <cell r="A1693" t="str">
            <v>512525014</v>
          </cell>
          <cell r="B1693" t="str">
            <v>512525014 ADMON - DEPRE. LINEAS TELEFONICAS</v>
          </cell>
          <cell r="C1693">
            <v>65114</v>
          </cell>
        </row>
        <row r="1694">
          <cell r="A1694" t="str">
            <v/>
          </cell>
          <cell r="B1694" t="str">
            <v>Total Equipo de computo y Comunicaciones</v>
          </cell>
          <cell r="C1694">
            <v>433433705</v>
          </cell>
        </row>
        <row r="1695">
          <cell r="A1695" t="str">
            <v/>
          </cell>
          <cell r="B1695" t="str">
            <v>512532.  Envases y Empaques</v>
          </cell>
          <cell r="C1695">
            <v>0</v>
          </cell>
        </row>
        <row r="1696">
          <cell r="A1696" t="str">
            <v>512532002</v>
          </cell>
          <cell r="B1696" t="str">
            <v>512532002 ADMON - DEPRE. ENVASES Y EMPAQUES (CANASTAS)</v>
          </cell>
          <cell r="C1696">
            <v>82985173</v>
          </cell>
        </row>
        <row r="1697">
          <cell r="A1697" t="str">
            <v/>
          </cell>
          <cell r="B1697" t="str">
            <v>Total  Envases y Empaques</v>
          </cell>
          <cell r="C1697">
            <v>82985173</v>
          </cell>
        </row>
        <row r="1698">
          <cell r="A1698" t="str">
            <v/>
          </cell>
          <cell r="B1698" t="str">
            <v>512545. Maquinaria Y equipo</v>
          </cell>
          <cell r="C1698">
            <v>0</v>
          </cell>
        </row>
        <row r="1699">
          <cell r="A1699" t="str">
            <v>512545001</v>
          </cell>
          <cell r="B1699" t="str">
            <v>512545001 ADMON - DEPRE.EQUIPO</v>
          </cell>
          <cell r="C1699">
            <v>23691473</v>
          </cell>
        </row>
        <row r="1700">
          <cell r="A1700" t="str">
            <v>512545006</v>
          </cell>
          <cell r="B1700" t="str">
            <v>512545006 ADMON - DEPRE. MAQUINARIA</v>
          </cell>
          <cell r="C1700">
            <v>172742219</v>
          </cell>
        </row>
        <row r="1701">
          <cell r="A1701" t="str">
            <v/>
          </cell>
          <cell r="B1701" t="str">
            <v>Total Maquinaria Y equipo</v>
          </cell>
          <cell r="C1701">
            <v>196433692</v>
          </cell>
        </row>
        <row r="1702">
          <cell r="A1702" t="str">
            <v/>
          </cell>
          <cell r="B1702" t="str">
            <v>Total 5125 Depreciaciones</v>
          </cell>
          <cell r="C1702">
            <v>941393480</v>
          </cell>
        </row>
        <row r="1703">
          <cell r="A1703" t="str">
            <v/>
          </cell>
          <cell r="B1703" t="str">
            <v>5140. Gastos Financieros</v>
          </cell>
          <cell r="C1703">
            <v>0</v>
          </cell>
        </row>
        <row r="1704">
          <cell r="A1704" t="str">
            <v/>
          </cell>
          <cell r="B1704" t="str">
            <v>514005. Gastos Bancarios</v>
          </cell>
          <cell r="C1704">
            <v>0</v>
          </cell>
        </row>
        <row r="1705">
          <cell r="A1705" t="str">
            <v>514005001</v>
          </cell>
          <cell r="B1705" t="str">
            <v>514005001 ADMON - INT.,CHEQUERAS,SOBGIROS</v>
          </cell>
          <cell r="C1705">
            <v>364815</v>
          </cell>
        </row>
        <row r="1706">
          <cell r="A1706" t="str">
            <v>514005006</v>
          </cell>
          <cell r="B1706" t="str">
            <v>514005006 ADMON - INT.,CHEQUERAS,SOBGIROS AYC</v>
          </cell>
          <cell r="C1706">
            <v>4042801</v>
          </cell>
        </row>
        <row r="1707">
          <cell r="A1707" t="str">
            <v/>
          </cell>
          <cell r="B1707" t="str">
            <v>Total Gastos Bancarios</v>
          </cell>
          <cell r="C1707">
            <v>4407616</v>
          </cell>
        </row>
        <row r="1708">
          <cell r="A1708" t="str">
            <v/>
          </cell>
          <cell r="B1708" t="str">
            <v>514015. Comisiones</v>
          </cell>
          <cell r="C1708">
            <v>0</v>
          </cell>
        </row>
        <row r="1709">
          <cell r="A1709" t="str">
            <v>514015001</v>
          </cell>
          <cell r="B1709" t="str">
            <v>514015001 ADMON - COMISIONES,PORTES Y OTROS GASTOS BANCARIOS</v>
          </cell>
          <cell r="C1709">
            <v>233761638</v>
          </cell>
        </row>
        <row r="1710">
          <cell r="A1710" t="str">
            <v>514015006</v>
          </cell>
          <cell r="B1710" t="str">
            <v>514015006 ADMON - COMISIONES AYC</v>
          </cell>
          <cell r="C1710">
            <v>55769542</v>
          </cell>
        </row>
        <row r="1711">
          <cell r="A1711" t="str">
            <v/>
          </cell>
          <cell r="B1711" t="str">
            <v>Total Comisiones</v>
          </cell>
          <cell r="C1711">
            <v>289531180</v>
          </cell>
        </row>
        <row r="1712">
          <cell r="A1712" t="str">
            <v/>
          </cell>
          <cell r="B1712" t="str">
            <v>514025. Diferencia en cambio</v>
          </cell>
          <cell r="C1712">
            <v>0</v>
          </cell>
        </row>
        <row r="1713">
          <cell r="A1713" t="str">
            <v>514025001</v>
          </cell>
          <cell r="B1713" t="str">
            <v>514025001 ADMON - DIFERENCIA EN CAMBIO</v>
          </cell>
          <cell r="C1713">
            <v>0</v>
          </cell>
        </row>
        <row r="1714">
          <cell r="A1714" t="str">
            <v>514025002</v>
          </cell>
          <cell r="B1714" t="str">
            <v>514025002 ADMON - DIFERENCIA EN CAMBIO PARA BANCOS</v>
          </cell>
          <cell r="C1714">
            <v>0</v>
          </cell>
        </row>
        <row r="1715">
          <cell r="A1715" t="str">
            <v/>
          </cell>
          <cell r="B1715" t="str">
            <v>Diferencia en cambio</v>
          </cell>
          <cell r="C1715">
            <v>0</v>
          </cell>
        </row>
        <row r="1716">
          <cell r="A1716" t="str">
            <v>514052001</v>
          </cell>
          <cell r="B1716" t="str">
            <v>514052001 ADMON - PERDIDA EN FONDO DE INVERSION A Y C</v>
          </cell>
          <cell r="C1716">
            <v>1456139</v>
          </cell>
        </row>
        <row r="1717">
          <cell r="A1717" t="str">
            <v/>
          </cell>
          <cell r="B1717" t="str">
            <v/>
          </cell>
          <cell r="C1717">
            <v>1456139</v>
          </cell>
        </row>
        <row r="1718">
          <cell r="A1718" t="str">
            <v/>
          </cell>
          <cell r="B1718" t="str">
            <v/>
          </cell>
          <cell r="C1718">
            <v>1456139</v>
          </cell>
        </row>
        <row r="1719">
          <cell r="A1719" t="str">
            <v/>
          </cell>
          <cell r="B1719" t="str">
            <v>514095. Otros</v>
          </cell>
          <cell r="C1719">
            <v>0</v>
          </cell>
        </row>
        <row r="1720">
          <cell r="A1720" t="str">
            <v>514095001</v>
          </cell>
          <cell r="B1720" t="str">
            <v>514095001 ADMON - DTO CONCED.A ASOC. POR INGRESO</v>
          </cell>
          <cell r="C1720">
            <v>52194700</v>
          </cell>
        </row>
        <row r="1721">
          <cell r="A1721" t="str">
            <v/>
          </cell>
          <cell r="B1721" t="str">
            <v>Total Otros</v>
          </cell>
          <cell r="C1721">
            <v>52194700</v>
          </cell>
        </row>
        <row r="1722">
          <cell r="A1722" t="str">
            <v/>
          </cell>
          <cell r="B1722" t="str">
            <v>Total 5140 Gastos Financieros</v>
          </cell>
          <cell r="C1722">
            <v>347589635</v>
          </cell>
        </row>
        <row r="1723">
          <cell r="A1723" t="str">
            <v/>
          </cell>
          <cell r="B1723" t="str">
            <v>Total  51. Gastos de administracion</v>
          </cell>
          <cell r="C1723">
            <v>12839815905</v>
          </cell>
        </row>
        <row r="1724">
          <cell r="A1724" t="str">
            <v/>
          </cell>
          <cell r="B1724" t="str">
            <v>52. Gastos de ventas</v>
          </cell>
          <cell r="C1724">
            <v>0</v>
          </cell>
        </row>
        <row r="1725">
          <cell r="A1725" t="str">
            <v/>
          </cell>
          <cell r="B1725" t="str">
            <v>5205. Gastos Personal</v>
          </cell>
          <cell r="C1725">
            <v>0</v>
          </cell>
        </row>
        <row r="1726">
          <cell r="A1726" t="str">
            <v/>
          </cell>
          <cell r="B1726" t="str">
            <v>520503. Salario Integral</v>
          </cell>
          <cell r="C1726">
            <v>0</v>
          </cell>
        </row>
        <row r="1727">
          <cell r="A1727" t="str">
            <v>520503001</v>
          </cell>
          <cell r="B1727" t="str">
            <v>520503001 VTAS - SALARIO INTEGRAL</v>
          </cell>
          <cell r="C1727">
            <v>340347999</v>
          </cell>
        </row>
        <row r="1728">
          <cell r="A1728" t="str">
            <v/>
          </cell>
          <cell r="B1728" t="str">
            <v>Total Salario Integral</v>
          </cell>
          <cell r="C1728">
            <v>340347999</v>
          </cell>
        </row>
        <row r="1729">
          <cell r="A1729" t="str">
            <v/>
          </cell>
          <cell r="B1729" t="str">
            <v>520506. Sueldos</v>
          </cell>
          <cell r="C1729">
            <v>0</v>
          </cell>
        </row>
        <row r="1730">
          <cell r="A1730" t="str">
            <v>520506001</v>
          </cell>
          <cell r="B1730" t="str">
            <v>520506001 VTAS - SUELDOS</v>
          </cell>
          <cell r="C1730">
            <v>852700571</v>
          </cell>
        </row>
        <row r="1731">
          <cell r="A1731" t="str">
            <v/>
          </cell>
          <cell r="B1731" t="str">
            <v>Total Sueldos</v>
          </cell>
          <cell r="C1731">
            <v>852700571</v>
          </cell>
        </row>
        <row r="1732">
          <cell r="A1732" t="str">
            <v/>
          </cell>
          <cell r="B1732" t="str">
            <v>520515. Horas extras y recargos</v>
          </cell>
          <cell r="C1732">
            <v>0</v>
          </cell>
        </row>
        <row r="1733">
          <cell r="A1733" t="str">
            <v>520515001</v>
          </cell>
          <cell r="B1733" t="str">
            <v>520515001 VTAS - HORAS EXTRAS</v>
          </cell>
          <cell r="C1733">
            <v>35458568</v>
          </cell>
        </row>
        <row r="1734">
          <cell r="A1734" t="str">
            <v/>
          </cell>
          <cell r="B1734" t="str">
            <v>Total Horas extras y recargos</v>
          </cell>
          <cell r="C1734">
            <v>35458568</v>
          </cell>
        </row>
        <row r="1735">
          <cell r="A1735" t="str">
            <v/>
          </cell>
          <cell r="B1735" t="str">
            <v>520518. Comisiones</v>
          </cell>
          <cell r="C1735">
            <v>0</v>
          </cell>
        </row>
        <row r="1736">
          <cell r="A1736" t="str">
            <v>520518001</v>
          </cell>
          <cell r="B1736" t="str">
            <v>520518001 VTAS - COMISIONES</v>
          </cell>
          <cell r="C1736">
            <v>338785817</v>
          </cell>
        </row>
        <row r="1737">
          <cell r="A1737" t="str">
            <v/>
          </cell>
          <cell r="B1737" t="str">
            <v>Total Comisiones</v>
          </cell>
          <cell r="C1737">
            <v>338785817</v>
          </cell>
        </row>
        <row r="1738">
          <cell r="A1738" t="str">
            <v/>
          </cell>
          <cell r="B1738" t="str">
            <v>520524. Incapacidades</v>
          </cell>
          <cell r="C1738">
            <v>0</v>
          </cell>
        </row>
        <row r="1739">
          <cell r="A1739" t="str">
            <v>520524001</v>
          </cell>
          <cell r="B1739" t="str">
            <v>520524001 VTAS - INCAPACIDADES</v>
          </cell>
          <cell r="C1739">
            <v>6549423</v>
          </cell>
        </row>
        <row r="1740">
          <cell r="A1740" t="str">
            <v/>
          </cell>
          <cell r="B1740" t="str">
            <v>Total  Incapacidades</v>
          </cell>
          <cell r="C1740">
            <v>6549423</v>
          </cell>
        </row>
        <row r="1741">
          <cell r="A1741" t="str">
            <v/>
          </cell>
          <cell r="B1741" t="str">
            <v>520527. Auxilio de transporte</v>
          </cell>
          <cell r="C1741">
            <v>0</v>
          </cell>
        </row>
        <row r="1742">
          <cell r="A1742" t="str">
            <v>520527001</v>
          </cell>
          <cell r="B1742" t="str">
            <v>520527001 VTAS - AUXILIO DE TRASPORTE</v>
          </cell>
          <cell r="C1742">
            <v>24257422</v>
          </cell>
        </row>
        <row r="1743">
          <cell r="A1743" t="str">
            <v/>
          </cell>
          <cell r="B1743" t="str">
            <v>Total Auxilio de transporte</v>
          </cell>
          <cell r="C1743">
            <v>24257422</v>
          </cell>
        </row>
        <row r="1744">
          <cell r="A1744" t="str">
            <v/>
          </cell>
          <cell r="B1744" t="str">
            <v>520530. Cesantias</v>
          </cell>
          <cell r="C1744">
            <v>0</v>
          </cell>
        </row>
        <row r="1745">
          <cell r="A1745" t="str">
            <v>520530001</v>
          </cell>
          <cell r="B1745" t="str">
            <v>520530001 VTAS - CESANTIAS</v>
          </cell>
          <cell r="C1745">
            <v>113129780</v>
          </cell>
        </row>
        <row r="1746">
          <cell r="A1746" t="str">
            <v/>
          </cell>
          <cell r="B1746" t="str">
            <v>Total Cesantias</v>
          </cell>
          <cell r="C1746">
            <v>113129780</v>
          </cell>
        </row>
        <row r="1747">
          <cell r="A1747" t="str">
            <v/>
          </cell>
          <cell r="B1747" t="str">
            <v>520533. Intereses sobre cesantias</v>
          </cell>
          <cell r="C1747">
            <v>0</v>
          </cell>
        </row>
        <row r="1748">
          <cell r="A1748" t="str">
            <v>520533001</v>
          </cell>
          <cell r="B1748" t="str">
            <v>520533001 VTAS - INTER/CESANTIAS</v>
          </cell>
          <cell r="C1748">
            <v>10332469</v>
          </cell>
        </row>
        <row r="1749">
          <cell r="A1749" t="str">
            <v/>
          </cell>
          <cell r="B1749" t="str">
            <v>Total Intereses sobre cesantias</v>
          </cell>
          <cell r="C1749">
            <v>10332469</v>
          </cell>
        </row>
        <row r="1750">
          <cell r="A1750" t="str">
            <v/>
          </cell>
          <cell r="B1750" t="str">
            <v>520536. Prima de Servicios</v>
          </cell>
          <cell r="C1750">
            <v>0</v>
          </cell>
        </row>
        <row r="1751">
          <cell r="A1751" t="str">
            <v>520536001</v>
          </cell>
          <cell r="B1751" t="str">
            <v>520536001 VTAS - PRIMA DE SERVICIOS</v>
          </cell>
          <cell r="C1751">
            <v>109888778</v>
          </cell>
        </row>
        <row r="1752">
          <cell r="A1752" t="str">
            <v/>
          </cell>
          <cell r="B1752" t="str">
            <v>Total Prima de Servicios</v>
          </cell>
          <cell r="C1752">
            <v>109888778</v>
          </cell>
        </row>
        <row r="1753">
          <cell r="A1753" t="str">
            <v/>
          </cell>
          <cell r="B1753" t="str">
            <v>520539. Vacaciones</v>
          </cell>
          <cell r="C1753">
            <v>0</v>
          </cell>
        </row>
        <row r="1754">
          <cell r="A1754" t="str">
            <v>520539001</v>
          </cell>
          <cell r="B1754" t="str">
            <v>520539001 VTAS - VACACIONES</v>
          </cell>
          <cell r="C1754">
            <v>75619203</v>
          </cell>
        </row>
        <row r="1755">
          <cell r="A1755" t="str">
            <v/>
          </cell>
          <cell r="B1755" t="str">
            <v>Total Vacaciones</v>
          </cell>
          <cell r="C1755">
            <v>75619203</v>
          </cell>
        </row>
        <row r="1756">
          <cell r="A1756" t="str">
            <v/>
          </cell>
          <cell r="B1756" t="str">
            <v>520545. Auxilios</v>
          </cell>
          <cell r="C1756">
            <v>0</v>
          </cell>
        </row>
        <row r="1757">
          <cell r="A1757" t="str">
            <v>520545001</v>
          </cell>
          <cell r="B1757" t="str">
            <v>520545001 VTAS - AUXILIOS</v>
          </cell>
          <cell r="C1757">
            <v>35347204</v>
          </cell>
        </row>
        <row r="1758">
          <cell r="A1758" t="str">
            <v/>
          </cell>
          <cell r="B1758" t="str">
            <v>Total Auxilios</v>
          </cell>
          <cell r="C1758">
            <v>35347204</v>
          </cell>
        </row>
        <row r="1759">
          <cell r="A1759" t="str">
            <v/>
          </cell>
          <cell r="B1759" t="str">
            <v>520548. Bonificaciones</v>
          </cell>
          <cell r="C1759">
            <v>0</v>
          </cell>
        </row>
        <row r="1760">
          <cell r="A1760" t="str">
            <v>520548001</v>
          </cell>
          <cell r="B1760" t="str">
            <v>520548001 VTAS - BONIFICACIONES</v>
          </cell>
          <cell r="C1760">
            <v>110984575</v>
          </cell>
        </row>
        <row r="1761">
          <cell r="A1761" t="str">
            <v/>
          </cell>
          <cell r="B1761" t="str">
            <v>Total Bonificaciones</v>
          </cell>
          <cell r="C1761">
            <v>110984575</v>
          </cell>
        </row>
        <row r="1762">
          <cell r="A1762" t="str">
            <v/>
          </cell>
          <cell r="B1762" t="str">
            <v>520551. Dotacion y suministro a trabajadores</v>
          </cell>
          <cell r="C1762">
            <v>0</v>
          </cell>
        </row>
        <row r="1763">
          <cell r="A1763" t="str">
            <v>520551001</v>
          </cell>
          <cell r="B1763" t="str">
            <v>520551001 VTAS - DOTACION</v>
          </cell>
          <cell r="C1763">
            <v>13040907</v>
          </cell>
        </row>
        <row r="1764">
          <cell r="A1764" t="str">
            <v/>
          </cell>
          <cell r="B1764" t="str">
            <v>Total Dotacion y suministro a trabajadores</v>
          </cell>
          <cell r="C1764">
            <v>13040907</v>
          </cell>
        </row>
        <row r="1765">
          <cell r="A1765" t="str">
            <v/>
          </cell>
          <cell r="B1765" t="str">
            <v>520563. Capacitacion al personal</v>
          </cell>
          <cell r="C1765">
            <v>0</v>
          </cell>
        </row>
        <row r="1766">
          <cell r="A1766" t="str">
            <v>520563001</v>
          </cell>
          <cell r="B1766" t="str">
            <v>520563001 VTAS - CAPACITACION</v>
          </cell>
          <cell r="C1766">
            <v>2534000</v>
          </cell>
        </row>
        <row r="1767">
          <cell r="A1767" t="str">
            <v/>
          </cell>
          <cell r="B1767" t="str">
            <v>Total Capacitacion al personal</v>
          </cell>
          <cell r="C1767">
            <v>2534000</v>
          </cell>
        </row>
        <row r="1768">
          <cell r="A1768" t="str">
            <v/>
          </cell>
          <cell r="B1768" t="str">
            <v>520569. Aportes A salud</v>
          </cell>
          <cell r="C1768">
            <v>0</v>
          </cell>
        </row>
        <row r="1769">
          <cell r="A1769" t="str">
            <v>520569001</v>
          </cell>
          <cell r="B1769" t="str">
            <v>520569001 VTAS - SALUD</v>
          </cell>
          <cell r="C1769">
            <v>128167024</v>
          </cell>
        </row>
        <row r="1770">
          <cell r="A1770" t="str">
            <v/>
          </cell>
          <cell r="B1770" t="str">
            <v>Total Aportes A salud</v>
          </cell>
          <cell r="C1770">
            <v>128167024</v>
          </cell>
        </row>
        <row r="1771">
          <cell r="A1771" t="str">
            <v/>
          </cell>
          <cell r="B1771" t="str">
            <v>520570. Aportes pension</v>
          </cell>
          <cell r="C1771">
            <v>0</v>
          </cell>
        </row>
        <row r="1772">
          <cell r="A1772" t="str">
            <v>520570001</v>
          </cell>
          <cell r="B1772" t="str">
            <v>520570001 VTAS - PENSION</v>
          </cell>
          <cell r="C1772">
            <v>184370225</v>
          </cell>
        </row>
        <row r="1773">
          <cell r="A1773" t="str">
            <v/>
          </cell>
          <cell r="B1773" t="str">
            <v>Total Aportes a pension</v>
          </cell>
          <cell r="C1773">
            <v>184370225</v>
          </cell>
        </row>
        <row r="1774">
          <cell r="A1774" t="str">
            <v/>
          </cell>
          <cell r="B1774" t="str">
            <v>520571. Aportes A.R.P</v>
          </cell>
          <cell r="C1774">
            <v>0</v>
          </cell>
        </row>
        <row r="1775">
          <cell r="A1775" t="str">
            <v>520571001</v>
          </cell>
          <cell r="B1775" t="str">
            <v>520571001 VTAS - A.R.P</v>
          </cell>
          <cell r="C1775">
            <v>7996099</v>
          </cell>
        </row>
        <row r="1776">
          <cell r="A1776" t="str">
            <v/>
          </cell>
          <cell r="B1776" t="str">
            <v>Total Aportes A.R.P</v>
          </cell>
          <cell r="C1776">
            <v>7996099</v>
          </cell>
        </row>
        <row r="1777">
          <cell r="A1777" t="str">
            <v/>
          </cell>
          <cell r="B1777" t="str">
            <v>520572. Aportes Caja De compensacion Familiar</v>
          </cell>
          <cell r="C1777">
            <v>0</v>
          </cell>
        </row>
        <row r="1778">
          <cell r="A1778" t="str">
            <v>520572001</v>
          </cell>
          <cell r="B1778" t="str">
            <v>520572001 VTAS - COMPENSACION FAMILIAR</v>
          </cell>
          <cell r="C1778">
            <v>62654142</v>
          </cell>
        </row>
        <row r="1779">
          <cell r="A1779" t="str">
            <v/>
          </cell>
          <cell r="B1779" t="str">
            <v>Total Aportes Caja De compensacion Familiar</v>
          </cell>
          <cell r="C1779">
            <v>62654142</v>
          </cell>
        </row>
        <row r="1780">
          <cell r="A1780" t="str">
            <v/>
          </cell>
          <cell r="B1780" t="str">
            <v>520575. Aportes I.C.B.F</v>
          </cell>
          <cell r="C1780">
            <v>0</v>
          </cell>
        </row>
        <row r="1781">
          <cell r="A1781" t="str">
            <v>520575001</v>
          </cell>
          <cell r="B1781" t="str">
            <v>520575001 VTAS - I.C.B.F</v>
          </cell>
          <cell r="C1781">
            <v>46990593</v>
          </cell>
        </row>
        <row r="1782">
          <cell r="A1782" t="str">
            <v/>
          </cell>
          <cell r="B1782" t="str">
            <v>Total Aportes I.C.B.F</v>
          </cell>
          <cell r="C1782">
            <v>46990593</v>
          </cell>
        </row>
        <row r="1783">
          <cell r="A1783" t="str">
            <v/>
          </cell>
          <cell r="B1783" t="str">
            <v>520578. SENA</v>
          </cell>
          <cell r="C1783">
            <v>0</v>
          </cell>
        </row>
        <row r="1784">
          <cell r="A1784" t="str">
            <v>520578001</v>
          </cell>
          <cell r="B1784" t="str">
            <v>520578001 VTAS - SENA</v>
          </cell>
          <cell r="C1784">
            <v>31327071</v>
          </cell>
        </row>
        <row r="1785">
          <cell r="A1785" t="str">
            <v/>
          </cell>
          <cell r="B1785" t="str">
            <v>Total SENA</v>
          </cell>
          <cell r="C1785">
            <v>31327071</v>
          </cell>
        </row>
        <row r="1786">
          <cell r="A1786" t="str">
            <v/>
          </cell>
          <cell r="B1786" t="str">
            <v>520584. Gasto Medico y drogas</v>
          </cell>
          <cell r="C1786">
            <v>0</v>
          </cell>
        </row>
        <row r="1787">
          <cell r="A1787" t="str">
            <v>520584001</v>
          </cell>
          <cell r="B1787" t="str">
            <v>520584001 VTAS - MEDICOS Y DROGAS</v>
          </cell>
          <cell r="C1787">
            <v>6700</v>
          </cell>
        </row>
        <row r="1788">
          <cell r="A1788" t="str">
            <v/>
          </cell>
          <cell r="B1788" t="str">
            <v>Total Gasto Medico y drogas</v>
          </cell>
          <cell r="C1788">
            <v>6700</v>
          </cell>
        </row>
        <row r="1789">
          <cell r="A1789" t="str">
            <v/>
          </cell>
          <cell r="B1789" t="str">
            <v>520595. Otros</v>
          </cell>
          <cell r="C1789">
            <v>0</v>
          </cell>
        </row>
        <row r="1790">
          <cell r="A1790" t="str">
            <v>520595002</v>
          </cell>
          <cell r="B1790" t="str">
            <v>520595002 VTAS - AUXILIO DE ALIMENTACION</v>
          </cell>
          <cell r="C1790">
            <v>59591012</v>
          </cell>
        </row>
        <row r="1791">
          <cell r="A1791" t="str">
            <v>520595004</v>
          </cell>
          <cell r="B1791" t="str">
            <v>520595004 VTAS - ATENCION Y ESTIMULOS</v>
          </cell>
          <cell r="C1791">
            <v>2987000</v>
          </cell>
        </row>
        <row r="1792">
          <cell r="A1792" t="str">
            <v>520595005</v>
          </cell>
          <cell r="B1792" t="str">
            <v>520595005 VTAS - AUXILIO FUNERARIO</v>
          </cell>
          <cell r="C1792">
            <v>1074852</v>
          </cell>
        </row>
        <row r="1793">
          <cell r="A1793" t="str">
            <v>520595006</v>
          </cell>
          <cell r="B1793" t="str">
            <v>520595006 VTAS - AUXILIO NACIMIENTO</v>
          </cell>
          <cell r="C1793">
            <v>866772</v>
          </cell>
        </row>
        <row r="1794">
          <cell r="A1794" t="str">
            <v>520595007</v>
          </cell>
          <cell r="B1794" t="str">
            <v>520595007 VTAS - AUXILIO LENTES</v>
          </cell>
          <cell r="C1794">
            <v>700644</v>
          </cell>
        </row>
        <row r="1795">
          <cell r="A1795" t="str">
            <v/>
          </cell>
          <cell r="B1795" t="str">
            <v>Total Otros</v>
          </cell>
          <cell r="C1795">
            <v>65220280</v>
          </cell>
        </row>
        <row r="1796">
          <cell r="A1796" t="str">
            <v/>
          </cell>
          <cell r="B1796" t="str">
            <v>Total 5205 Gastos Personal</v>
          </cell>
          <cell r="C1796">
            <v>2595708850</v>
          </cell>
        </row>
        <row r="1797">
          <cell r="A1797" t="str">
            <v/>
          </cell>
          <cell r="B1797" t="str">
            <v>5210. Honorarios</v>
          </cell>
          <cell r="C1797">
            <v>0</v>
          </cell>
        </row>
        <row r="1798">
          <cell r="A1798" t="str">
            <v/>
          </cell>
          <cell r="B1798" t="str">
            <v>521095. Otros</v>
          </cell>
          <cell r="C1798">
            <v>0</v>
          </cell>
        </row>
        <row r="1799">
          <cell r="A1799" t="str">
            <v>521095001</v>
          </cell>
          <cell r="B1799" t="str">
            <v>521095001 VTAS - HONORARIOS</v>
          </cell>
          <cell r="C1799">
            <v>3409286</v>
          </cell>
        </row>
        <row r="1800">
          <cell r="A1800" t="str">
            <v/>
          </cell>
          <cell r="B1800" t="str">
            <v>Total Otros</v>
          </cell>
          <cell r="C1800">
            <v>3409286</v>
          </cell>
        </row>
        <row r="1801">
          <cell r="A1801" t="str">
            <v/>
          </cell>
          <cell r="B1801" t="str">
            <v>Total 5210 Honorarios</v>
          </cell>
          <cell r="C1801">
            <v>3409286</v>
          </cell>
        </row>
        <row r="1802">
          <cell r="A1802" t="str">
            <v/>
          </cell>
          <cell r="B1802" t="str">
            <v>5215. Impuestos</v>
          </cell>
          <cell r="C1802">
            <v>0</v>
          </cell>
        </row>
        <row r="1803">
          <cell r="A1803" t="str">
            <v/>
          </cell>
          <cell r="B1803" t="str">
            <v>521505. Industria Y comercio</v>
          </cell>
          <cell r="C1803">
            <v>0</v>
          </cell>
        </row>
        <row r="1804">
          <cell r="A1804" t="str">
            <v>521505001</v>
          </cell>
          <cell r="B1804" t="str">
            <v>521505001 VTAS - IMPUESTOS INDUSTRIA Y COMERCIO</v>
          </cell>
          <cell r="C1804">
            <v>1777927948</v>
          </cell>
        </row>
        <row r="1805">
          <cell r="A1805" t="str">
            <v/>
          </cell>
          <cell r="B1805" t="str">
            <v>Total industria Y comercio</v>
          </cell>
          <cell r="C1805">
            <v>1777927948</v>
          </cell>
        </row>
        <row r="1806">
          <cell r="A1806" t="str">
            <v/>
          </cell>
          <cell r="B1806" t="str">
            <v>521510. De timbres</v>
          </cell>
          <cell r="C1806">
            <v>0</v>
          </cell>
        </row>
        <row r="1807">
          <cell r="A1807" t="str">
            <v>521510001</v>
          </cell>
          <cell r="B1807" t="str">
            <v>521510001 VTAS - IMPUESTOS DE TIMBRES</v>
          </cell>
          <cell r="C1807">
            <v>15231348</v>
          </cell>
        </row>
        <row r="1808">
          <cell r="A1808" t="str">
            <v/>
          </cell>
          <cell r="B1808" t="str">
            <v>Total De timbres</v>
          </cell>
          <cell r="C1808">
            <v>15231348</v>
          </cell>
        </row>
        <row r="1809">
          <cell r="A1809" t="str">
            <v/>
          </cell>
          <cell r="B1809" t="str">
            <v>521515. A la Propiedad Raiz</v>
          </cell>
          <cell r="C1809">
            <v>0</v>
          </cell>
        </row>
        <row r="1810">
          <cell r="A1810" t="str">
            <v>521515001</v>
          </cell>
          <cell r="B1810" t="str">
            <v>521515001 VTAS - IMPUESTOS PROPIEDAD</v>
          </cell>
          <cell r="C1810">
            <v>17234931</v>
          </cell>
        </row>
        <row r="1811">
          <cell r="A1811" t="str">
            <v/>
          </cell>
          <cell r="B1811" t="str">
            <v>Total A la Propiedad Raiz</v>
          </cell>
          <cell r="C1811">
            <v>17234931</v>
          </cell>
        </row>
        <row r="1812">
          <cell r="A1812" t="str">
            <v/>
          </cell>
          <cell r="B1812" t="str">
            <v>521570. IVA descontable</v>
          </cell>
          <cell r="C1812">
            <v>0</v>
          </cell>
        </row>
        <row r="1813">
          <cell r="A1813" t="str">
            <v>521570011</v>
          </cell>
          <cell r="B1813" t="str">
            <v>521570011 VTAS - IMPUESTOS IVA NO DEDUCIBLE</v>
          </cell>
          <cell r="C1813">
            <v>534755528</v>
          </cell>
        </row>
        <row r="1814">
          <cell r="A1814" t="str">
            <v/>
          </cell>
          <cell r="B1814" t="str">
            <v>Total IVA descontable</v>
          </cell>
          <cell r="C1814">
            <v>534755528</v>
          </cell>
        </row>
        <row r="1815">
          <cell r="A1815" t="str">
            <v/>
          </cell>
          <cell r="B1815" t="str">
            <v>521575. 4 X 1000</v>
          </cell>
          <cell r="C1815">
            <v>0</v>
          </cell>
        </row>
        <row r="1816">
          <cell r="A1816" t="str">
            <v>521575001</v>
          </cell>
          <cell r="B1816" t="str">
            <v>521575001 VTAS - IMPUESTOS 4 POR MIL AYC</v>
          </cell>
          <cell r="C1816">
            <v>0</v>
          </cell>
        </row>
        <row r="1817">
          <cell r="A1817" t="str">
            <v>521575011</v>
          </cell>
          <cell r="B1817" t="str">
            <v>521575011 VTAS - IMPUESTOS 4 POR MIL</v>
          </cell>
          <cell r="C1817">
            <v>1710444802</v>
          </cell>
        </row>
        <row r="1818">
          <cell r="A1818" t="str">
            <v/>
          </cell>
          <cell r="B1818" t="str">
            <v>Total 3 X 1000</v>
          </cell>
          <cell r="C1818">
            <v>1710444802</v>
          </cell>
        </row>
        <row r="1819">
          <cell r="A1819" t="str">
            <v/>
          </cell>
          <cell r="B1819" t="str">
            <v>521595. Otro</v>
          </cell>
          <cell r="C1819">
            <v>0</v>
          </cell>
        </row>
        <row r="1820">
          <cell r="A1820" t="str">
            <v>521595001</v>
          </cell>
          <cell r="B1820" t="str">
            <v>521595001 VTAS - OTROS IMPUESTOS</v>
          </cell>
          <cell r="C1820">
            <v>41548645</v>
          </cell>
        </row>
        <row r="1821">
          <cell r="A1821" t="str">
            <v>521595002</v>
          </cell>
          <cell r="B1821" t="str">
            <v>521595002 VTAS - IMPUESTO AVISOS Y TABLEROS</v>
          </cell>
          <cell r="C1821">
            <v>7076781</v>
          </cell>
        </row>
        <row r="1822">
          <cell r="A1822" t="str">
            <v>521595003</v>
          </cell>
          <cell r="B1822" t="str">
            <v>521595003 VTAS - ESTAMPILLA ANCIANATO</v>
          </cell>
          <cell r="C1822">
            <v>20628494</v>
          </cell>
        </row>
        <row r="1823">
          <cell r="A1823" t="str">
            <v/>
          </cell>
          <cell r="B1823" t="str">
            <v>Total Otros</v>
          </cell>
          <cell r="C1823">
            <v>69253920</v>
          </cell>
        </row>
        <row r="1824">
          <cell r="A1824" t="str">
            <v/>
          </cell>
          <cell r="B1824" t="str">
            <v>Total 5215 Impuestos</v>
          </cell>
          <cell r="C1824">
            <v>4124848477</v>
          </cell>
        </row>
        <row r="1825">
          <cell r="A1825" t="str">
            <v/>
          </cell>
          <cell r="B1825" t="str">
            <v>5220. Arrendamientos</v>
          </cell>
          <cell r="C1825">
            <v>0</v>
          </cell>
        </row>
        <row r="1826">
          <cell r="A1826" t="str">
            <v/>
          </cell>
          <cell r="B1826" t="str">
            <v>522010. Edificaciones</v>
          </cell>
          <cell r="C1826">
            <v>0</v>
          </cell>
        </row>
        <row r="1827">
          <cell r="A1827" t="str">
            <v>522010001</v>
          </cell>
          <cell r="B1827" t="str">
            <v>522010001 VTAS - ARRENDAMIENTOS EDIFICACIONES</v>
          </cell>
          <cell r="C1827">
            <v>295297263</v>
          </cell>
        </row>
        <row r="1828">
          <cell r="A1828" t="str">
            <v/>
          </cell>
          <cell r="B1828" t="str">
            <v>Total Edificaciones</v>
          </cell>
          <cell r="C1828">
            <v>295297263</v>
          </cell>
        </row>
        <row r="1829">
          <cell r="A1829" t="str">
            <v/>
          </cell>
          <cell r="B1829" t="str">
            <v>522020. Muebles y equipo de oficina</v>
          </cell>
          <cell r="C1829">
            <v>0</v>
          </cell>
        </row>
        <row r="1830">
          <cell r="A1830" t="str">
            <v>522020001</v>
          </cell>
          <cell r="B1830" t="str">
            <v>522020001 VTAS - ARRIENDO MUEBLES Y EQUIPO DE OFICINA</v>
          </cell>
          <cell r="C1830">
            <v>10591333</v>
          </cell>
        </row>
        <row r="1831">
          <cell r="A1831" t="str">
            <v/>
          </cell>
          <cell r="B1831" t="str">
            <v>Total Muebles y equipo de oficina</v>
          </cell>
          <cell r="C1831">
            <v>10591333</v>
          </cell>
        </row>
        <row r="1832">
          <cell r="A1832" t="str">
            <v/>
          </cell>
          <cell r="B1832" t="str">
            <v>522025. Equipo de Computacion Y comunicacion</v>
          </cell>
          <cell r="C1832">
            <v>0</v>
          </cell>
        </row>
        <row r="1833">
          <cell r="A1833" t="str">
            <v>522025002</v>
          </cell>
          <cell r="B1833" t="str">
            <v>522025002 VTAS - ARREND.EQ.COMPUT.YCOMUNICACION</v>
          </cell>
          <cell r="C1833">
            <v>370688</v>
          </cell>
        </row>
        <row r="1834">
          <cell r="A1834" t="str">
            <v/>
          </cell>
          <cell r="B1834" t="str">
            <v>Total Equipo de Computacion Y comunicacion</v>
          </cell>
          <cell r="C1834">
            <v>370688</v>
          </cell>
        </row>
        <row r="1835">
          <cell r="A1835" t="str">
            <v/>
          </cell>
          <cell r="B1835" t="str">
            <v>Total 5220 Arrendamientos</v>
          </cell>
          <cell r="C1835">
            <v>306259284</v>
          </cell>
        </row>
        <row r="1836">
          <cell r="A1836" t="str">
            <v/>
          </cell>
          <cell r="B1836" t="str">
            <v>5230. Seguros</v>
          </cell>
          <cell r="C1836">
            <v>0</v>
          </cell>
        </row>
        <row r="1837">
          <cell r="A1837" t="str">
            <v/>
          </cell>
          <cell r="B1837" t="str">
            <v>523095. Otros</v>
          </cell>
          <cell r="C1837">
            <v>0</v>
          </cell>
        </row>
        <row r="1838">
          <cell r="A1838" t="str">
            <v>523095001</v>
          </cell>
          <cell r="B1838" t="str">
            <v>523095001 VTAS - SEGUROS,SINIESTROS ASUMIDOS</v>
          </cell>
          <cell r="C1838">
            <v>390920</v>
          </cell>
        </row>
        <row r="1839">
          <cell r="A1839" t="str">
            <v>523095002</v>
          </cell>
          <cell r="B1839" t="str">
            <v>523095002 VTAS - POLIZA INCENDIO, FLOTANTICIPOS</v>
          </cell>
          <cell r="C1839">
            <v>79342697</v>
          </cell>
        </row>
        <row r="1840">
          <cell r="A1840" t="str">
            <v>523095003</v>
          </cell>
          <cell r="B1840" t="str">
            <v>523095003 VTAS - POLIZA DE SUSTRACCION FLOTANTE</v>
          </cell>
          <cell r="C1840">
            <v>79156735</v>
          </cell>
        </row>
        <row r="1841">
          <cell r="A1841" t="str">
            <v>523095004</v>
          </cell>
          <cell r="B1841" t="str">
            <v>523095004 VTAS - POLIZA DE TRANSPORTE DE PROVINCIA.</v>
          </cell>
          <cell r="C1841">
            <v>518136570</v>
          </cell>
        </row>
        <row r="1842">
          <cell r="A1842" t="str">
            <v>523095005</v>
          </cell>
          <cell r="B1842" t="str">
            <v>523095005 VTAS - POLIZA DE VALORES</v>
          </cell>
          <cell r="C1842">
            <v>3042492</v>
          </cell>
        </row>
        <row r="1843">
          <cell r="A1843" t="str">
            <v>523095006</v>
          </cell>
          <cell r="B1843" t="str">
            <v>523095006 VTAS - POLIZA DE SUBSIDIO 30% A ASOCIADOS</v>
          </cell>
          <cell r="C1843">
            <v>198001416</v>
          </cell>
        </row>
        <row r="1844">
          <cell r="A1844" t="str">
            <v>523095007</v>
          </cell>
          <cell r="B1844" t="str">
            <v>523095007 VTAS - POLIZA CARTERA DEUDORES</v>
          </cell>
          <cell r="C1844">
            <v>72532470</v>
          </cell>
        </row>
        <row r="1845">
          <cell r="A1845" t="str">
            <v>523095017</v>
          </cell>
          <cell r="B1845" t="str">
            <v>523095017 VTAS - POLIZAS DE  ACCIDENTES</v>
          </cell>
          <cell r="C1845">
            <v>2430700</v>
          </cell>
        </row>
        <row r="1846">
          <cell r="A1846" t="str">
            <v/>
          </cell>
          <cell r="B1846" t="str">
            <v>Total Otros</v>
          </cell>
          <cell r="C1846">
            <v>953034000</v>
          </cell>
        </row>
        <row r="1847">
          <cell r="A1847" t="str">
            <v/>
          </cell>
          <cell r="B1847" t="str">
            <v>Total 5230 Seguros</v>
          </cell>
          <cell r="C1847">
            <v>953034000</v>
          </cell>
        </row>
        <row r="1848">
          <cell r="A1848" t="str">
            <v/>
          </cell>
          <cell r="B1848" t="str">
            <v>5235. Servicios</v>
          </cell>
          <cell r="C1848">
            <v>0</v>
          </cell>
        </row>
        <row r="1849">
          <cell r="A1849" t="str">
            <v/>
          </cell>
          <cell r="B1849" t="str">
            <v>523510. Temporales</v>
          </cell>
          <cell r="C1849">
            <v>0</v>
          </cell>
        </row>
        <row r="1850">
          <cell r="A1850" t="str">
            <v>523510001</v>
          </cell>
          <cell r="B1850" t="str">
            <v>523510001 VTAS - SERVICIOS TEMPORALES</v>
          </cell>
          <cell r="C1850">
            <v>119050467</v>
          </cell>
        </row>
        <row r="1851">
          <cell r="A1851" t="str">
            <v/>
          </cell>
          <cell r="B1851" t="str">
            <v>Total Temporales</v>
          </cell>
          <cell r="C1851">
            <v>119050467</v>
          </cell>
        </row>
        <row r="1852">
          <cell r="A1852" t="str">
            <v/>
          </cell>
          <cell r="B1852" t="str">
            <v>523525. Acueducto y alcantarillado</v>
          </cell>
          <cell r="C1852">
            <v>0</v>
          </cell>
        </row>
        <row r="1853">
          <cell r="A1853" t="str">
            <v>523525001</v>
          </cell>
          <cell r="B1853" t="str">
            <v>523525001 VTAS - SERVICIO DE ACUEDUCTO</v>
          </cell>
          <cell r="C1853">
            <v>10261480</v>
          </cell>
        </row>
        <row r="1854">
          <cell r="A1854" t="str">
            <v>523525002</v>
          </cell>
          <cell r="B1854" t="str">
            <v>523525002 VTAS - SERVICIO DE ALCANTARILLADO</v>
          </cell>
          <cell r="C1854">
            <v>5838185</v>
          </cell>
        </row>
        <row r="1855">
          <cell r="A1855" t="str">
            <v>523525003</v>
          </cell>
          <cell r="B1855" t="str">
            <v>523525003 VTAS - SERVICIO DE ASEO MUNICIPAL</v>
          </cell>
          <cell r="C1855">
            <v>7263381</v>
          </cell>
        </row>
        <row r="1856">
          <cell r="A1856" t="str">
            <v/>
          </cell>
          <cell r="B1856" t="str">
            <v>Total Acueducto y alcantarillado</v>
          </cell>
          <cell r="C1856">
            <v>23363046</v>
          </cell>
        </row>
        <row r="1857">
          <cell r="A1857" t="str">
            <v/>
          </cell>
          <cell r="B1857" t="str">
            <v>523530. Energia Electrica</v>
          </cell>
          <cell r="C1857">
            <v>0</v>
          </cell>
        </row>
        <row r="1858">
          <cell r="A1858" t="str">
            <v>523530001</v>
          </cell>
          <cell r="B1858" t="str">
            <v>523530001 VTAS - SERVICIO DE ENERGIA</v>
          </cell>
          <cell r="C1858">
            <v>86128477</v>
          </cell>
        </row>
        <row r="1859">
          <cell r="A1859" t="str">
            <v/>
          </cell>
          <cell r="B1859" t="str">
            <v>Total Energia Electrica</v>
          </cell>
          <cell r="C1859">
            <v>86128477</v>
          </cell>
        </row>
        <row r="1860">
          <cell r="A1860" t="str">
            <v/>
          </cell>
          <cell r="B1860" t="str">
            <v>523535. Telefono</v>
          </cell>
          <cell r="C1860">
            <v>0</v>
          </cell>
        </row>
        <row r="1861">
          <cell r="A1861" t="str">
            <v>523535001</v>
          </cell>
          <cell r="B1861" t="str">
            <v>523535001 VTAS - SERVICIO DE TELEFONO LINEAS DIRECTAS</v>
          </cell>
          <cell r="C1861">
            <v>33169288</v>
          </cell>
        </row>
        <row r="1862">
          <cell r="A1862" t="str">
            <v>523535002</v>
          </cell>
          <cell r="B1862" t="str">
            <v>523535002 VTAS - SERVICIO DE TELEFONO PBX</v>
          </cell>
          <cell r="C1862">
            <v>532174843</v>
          </cell>
        </row>
        <row r="1863">
          <cell r="A1863" t="str">
            <v>523535003</v>
          </cell>
          <cell r="B1863" t="str">
            <v>523535003 VTAS - SERVICIO DE TELEFONO 9800</v>
          </cell>
          <cell r="C1863">
            <v>137228381</v>
          </cell>
        </row>
        <row r="1864">
          <cell r="A1864" t="str">
            <v>523535004</v>
          </cell>
          <cell r="B1864" t="str">
            <v>523535004 VTAS - SERVICIO DE FAX T TELEX</v>
          </cell>
          <cell r="C1864">
            <v>183548</v>
          </cell>
        </row>
        <row r="1865">
          <cell r="A1865" t="str">
            <v/>
          </cell>
          <cell r="B1865" t="str">
            <v>Total Telefono</v>
          </cell>
          <cell r="C1865">
            <v>702756060</v>
          </cell>
        </row>
        <row r="1866">
          <cell r="A1866" t="str">
            <v/>
          </cell>
          <cell r="B1866" t="str">
            <v>523540. Correo, portes y telegramas</v>
          </cell>
          <cell r="C1866">
            <v>0</v>
          </cell>
        </row>
        <row r="1867">
          <cell r="A1867" t="str">
            <v>523540001</v>
          </cell>
          <cell r="B1867" t="str">
            <v>523540001 VTAS - SERVICIO DE CORREO PORTES TELEG.</v>
          </cell>
          <cell r="C1867">
            <v>331412313</v>
          </cell>
        </row>
        <row r="1868">
          <cell r="A1868" t="str">
            <v/>
          </cell>
          <cell r="B1868" t="str">
            <v>Total Correo, portes y telegramas</v>
          </cell>
          <cell r="C1868">
            <v>331412313</v>
          </cell>
        </row>
        <row r="1869">
          <cell r="A1869" t="str">
            <v/>
          </cell>
          <cell r="B1869" t="str">
            <v>523550. Trasporte,fletes y acarreos</v>
          </cell>
          <cell r="C1869">
            <v>0</v>
          </cell>
        </row>
        <row r="1870">
          <cell r="A1870" t="str">
            <v>523550001</v>
          </cell>
          <cell r="B1870" t="str">
            <v>523550001 VTAS - REM DE MERCANCIA</v>
          </cell>
          <cell r="C1870">
            <v>582803158</v>
          </cell>
        </row>
        <row r="1871">
          <cell r="A1871" t="str">
            <v>523550002</v>
          </cell>
          <cell r="B1871" t="str">
            <v>523550002 VTAS - ACARREOS</v>
          </cell>
          <cell r="C1871">
            <v>396000</v>
          </cell>
        </row>
        <row r="1872">
          <cell r="A1872" t="str">
            <v>523550003</v>
          </cell>
          <cell r="B1872" t="str">
            <v>523550003 VTAS - FLETES DE MERCANCIAS. (SOLO PARA CARGUE IN)</v>
          </cell>
          <cell r="C1872">
            <v>0</v>
          </cell>
        </row>
        <row r="1873">
          <cell r="A1873" t="str">
            <v>523550004</v>
          </cell>
          <cell r="B1873" t="str">
            <v>523550004 VTAS - OTROS GTS DE TRANSPORTE</v>
          </cell>
          <cell r="C1873">
            <v>8748790</v>
          </cell>
        </row>
        <row r="1874">
          <cell r="A1874" t="str">
            <v>523550005</v>
          </cell>
          <cell r="B1874" t="str">
            <v>523550005 VTAS - FLETE PROVINCIA</v>
          </cell>
          <cell r="C1874">
            <v>2753916531</v>
          </cell>
        </row>
        <row r="1875">
          <cell r="A1875" t="str">
            <v>523550006</v>
          </cell>
          <cell r="B1875" t="str">
            <v>523550006 VTAS - FLETE URBANO</v>
          </cell>
          <cell r="C1875">
            <v>1533326755</v>
          </cell>
        </row>
        <row r="1876">
          <cell r="A1876" t="str">
            <v/>
          </cell>
          <cell r="B1876" t="str">
            <v>Total Transporte,fletes y acarreos</v>
          </cell>
          <cell r="C1876">
            <v>4879191234</v>
          </cell>
        </row>
        <row r="1877">
          <cell r="A1877" t="str">
            <v/>
          </cell>
          <cell r="B1877" t="str">
            <v>523560. Publicidad,Propaganda y promocion</v>
          </cell>
          <cell r="C1877">
            <v>0</v>
          </cell>
        </row>
        <row r="1878">
          <cell r="A1878" t="str">
            <v>523560001</v>
          </cell>
          <cell r="B1878" t="str">
            <v>523560001 VTAS - ELEMENTOS PUBLICITARIOS</v>
          </cell>
          <cell r="C1878">
            <v>6180704</v>
          </cell>
        </row>
        <row r="1879">
          <cell r="A1879" t="str">
            <v>523560002</v>
          </cell>
          <cell r="B1879" t="str">
            <v>523560002 VTAS - PUBLICACIONES</v>
          </cell>
          <cell r="C1879">
            <v>294238463</v>
          </cell>
        </row>
        <row r="1880">
          <cell r="A1880" t="str">
            <v>523560003</v>
          </cell>
          <cell r="B1880" t="str">
            <v>523560003 VTAS - SEPARATAS-VOLANTES-AFICHES</v>
          </cell>
          <cell r="C1880">
            <v>1700000</v>
          </cell>
        </row>
        <row r="1881">
          <cell r="A1881" t="str">
            <v>523560005</v>
          </cell>
          <cell r="B1881" t="str">
            <v>523560005 VTAS - PUBLICIDAD Y PROPAGANDA</v>
          </cell>
          <cell r="C1881">
            <v>112773887</v>
          </cell>
        </row>
        <row r="1882">
          <cell r="A1882" t="str">
            <v/>
          </cell>
          <cell r="B1882" t="str">
            <v>Total Publicidad,Propaganda y promocion</v>
          </cell>
          <cell r="C1882">
            <v>414893054</v>
          </cell>
        </row>
        <row r="1883">
          <cell r="A1883" t="str">
            <v/>
          </cell>
          <cell r="B1883" t="str">
            <v>523595. Otros</v>
          </cell>
          <cell r="C1883">
            <v>0</v>
          </cell>
        </row>
        <row r="1884">
          <cell r="A1884" t="str">
            <v>523595003</v>
          </cell>
          <cell r="B1884" t="str">
            <v>523595003 VTAS - SERVICIO DE INTERNET</v>
          </cell>
          <cell r="C1884">
            <v>257500</v>
          </cell>
        </row>
        <row r="1885">
          <cell r="A1885" t="str">
            <v>523595090</v>
          </cell>
          <cell r="B1885" t="str">
            <v>523595090 VTAS - OTROS SERVICIOS</v>
          </cell>
          <cell r="C1885">
            <v>7409444</v>
          </cell>
        </row>
        <row r="1886">
          <cell r="A1886" t="str">
            <v/>
          </cell>
          <cell r="B1886" t="str">
            <v>Total Otros</v>
          </cell>
          <cell r="C1886">
            <v>7666944</v>
          </cell>
        </row>
        <row r="1887">
          <cell r="A1887" t="str">
            <v/>
          </cell>
          <cell r="B1887" t="str">
            <v>Total 5235 Servicios</v>
          </cell>
          <cell r="C1887">
            <v>6564461595</v>
          </cell>
        </row>
        <row r="1888">
          <cell r="A1888" t="str">
            <v/>
          </cell>
          <cell r="B1888" t="str">
            <v>5240. Gastos Legales</v>
          </cell>
          <cell r="C1888">
            <v>0</v>
          </cell>
        </row>
        <row r="1889">
          <cell r="A1889" t="str">
            <v/>
          </cell>
          <cell r="B1889" t="str">
            <v>524005. Notariales</v>
          </cell>
          <cell r="C1889">
            <v>0</v>
          </cell>
        </row>
        <row r="1890">
          <cell r="A1890" t="str">
            <v>524005001</v>
          </cell>
          <cell r="B1890" t="str">
            <v>524005001 VTAS - NOTARIALES Y LEGALES</v>
          </cell>
          <cell r="C1890">
            <v>333800</v>
          </cell>
        </row>
        <row r="1891">
          <cell r="A1891" t="str">
            <v/>
          </cell>
          <cell r="B1891" t="str">
            <v>Total Notariales</v>
          </cell>
          <cell r="C1891">
            <v>333800</v>
          </cell>
        </row>
        <row r="1892">
          <cell r="A1892" t="str">
            <v/>
          </cell>
          <cell r="B1892" t="str">
            <v>524095. Otros</v>
          </cell>
          <cell r="C1892">
            <v>0</v>
          </cell>
        </row>
        <row r="1893">
          <cell r="A1893" t="str">
            <v>524095001</v>
          </cell>
          <cell r="B1893" t="str">
            <v>524095001 VTAS - OTROS GTOS LEGALES</v>
          </cell>
          <cell r="C1893">
            <v>143700</v>
          </cell>
        </row>
        <row r="1894">
          <cell r="A1894" t="str">
            <v/>
          </cell>
          <cell r="B1894" t="str">
            <v>Total Otros</v>
          </cell>
          <cell r="C1894">
            <v>143700</v>
          </cell>
        </row>
        <row r="1895">
          <cell r="A1895" t="str">
            <v/>
          </cell>
          <cell r="B1895" t="str">
            <v>Total 5240 Gastos Legales</v>
          </cell>
          <cell r="C1895">
            <v>477500</v>
          </cell>
        </row>
        <row r="1896">
          <cell r="A1896" t="str">
            <v/>
          </cell>
          <cell r="B1896" t="str">
            <v>5245. Mantenimiento y reparaciones</v>
          </cell>
          <cell r="C1896">
            <v>0</v>
          </cell>
        </row>
        <row r="1897">
          <cell r="A1897" t="str">
            <v/>
          </cell>
          <cell r="B1897" t="str">
            <v>524515. Maquinaria Y equipo</v>
          </cell>
          <cell r="C1897">
            <v>0</v>
          </cell>
        </row>
        <row r="1898">
          <cell r="A1898" t="str">
            <v>524515001</v>
          </cell>
          <cell r="B1898" t="str">
            <v>524515001 VTAS - MANTENIMIENTO MAQUINARIA Y EQUIPO</v>
          </cell>
          <cell r="C1898">
            <v>297500</v>
          </cell>
        </row>
        <row r="1899">
          <cell r="A1899" t="str">
            <v>524515012</v>
          </cell>
          <cell r="B1899" t="str">
            <v>524515012 VTAS - REPUESTOS  MAQUINARIA Y EQUIPO KNAPP</v>
          </cell>
          <cell r="C1899">
            <v>0</v>
          </cell>
        </row>
        <row r="1900">
          <cell r="A1900" t="str">
            <v/>
          </cell>
          <cell r="B1900" t="str">
            <v>Total Maquinaria Y equipo</v>
          </cell>
          <cell r="C1900">
            <v>297500</v>
          </cell>
        </row>
        <row r="1901">
          <cell r="A1901" t="str">
            <v/>
          </cell>
          <cell r="B1901" t="str">
            <v>524520. Muebles Y equipo de Oficina</v>
          </cell>
          <cell r="C1901">
            <v>0</v>
          </cell>
        </row>
        <row r="1902">
          <cell r="A1902" t="str">
            <v>524520002</v>
          </cell>
          <cell r="B1902" t="str">
            <v>524520002 VTAS - MANTENIMIENTO  DE EQUIPO DE OFICINA</v>
          </cell>
          <cell r="C1902">
            <v>265000</v>
          </cell>
        </row>
        <row r="1903">
          <cell r="A1903" t="str">
            <v>524520003</v>
          </cell>
          <cell r="B1903" t="str">
            <v>524520003 VTAS - MANTENIMIENTO  DE EQUIPO DE COMPUTO</v>
          </cell>
          <cell r="C1903">
            <v>693392</v>
          </cell>
        </row>
        <row r="1904">
          <cell r="A1904" t="str">
            <v>524520004</v>
          </cell>
          <cell r="B1904" t="str">
            <v>524520004 VTAS - MANTENIMIENTO  DE SOFTWARE Y PROGRAMAS</v>
          </cell>
          <cell r="C1904">
            <v>0</v>
          </cell>
        </row>
        <row r="1905">
          <cell r="A1905" t="str">
            <v/>
          </cell>
          <cell r="B1905" t="str">
            <v>Total Muebles Y equipo de Oficina</v>
          </cell>
          <cell r="C1905">
            <v>958392</v>
          </cell>
        </row>
        <row r="1906">
          <cell r="A1906" t="str">
            <v/>
          </cell>
          <cell r="B1906" t="str">
            <v>524525. Equipo de computacion y comunicacion</v>
          </cell>
          <cell r="C1906">
            <v>0</v>
          </cell>
        </row>
        <row r="1907">
          <cell r="A1907" t="str">
            <v>524525001</v>
          </cell>
          <cell r="B1907" t="str">
            <v>524525001 VTAS - MANTEN EQUIPO DE COMUNICACIONES</v>
          </cell>
          <cell r="C1907">
            <v>159400</v>
          </cell>
        </row>
        <row r="1908">
          <cell r="A1908" t="str">
            <v>524525004</v>
          </cell>
          <cell r="B1908" t="str">
            <v>524525004 VTAS - MANTENIMIENTO  DE SOFTWARE Y PROGRAMAS</v>
          </cell>
          <cell r="C1908">
            <v>25325004</v>
          </cell>
        </row>
        <row r="1909">
          <cell r="A1909" t="str">
            <v/>
          </cell>
          <cell r="B1909" t="str">
            <v>Total Equipo de computacion y comunicacion</v>
          </cell>
          <cell r="C1909">
            <v>25484404</v>
          </cell>
        </row>
        <row r="1910">
          <cell r="A1910" t="str">
            <v/>
          </cell>
          <cell r="B1910" t="str">
            <v>Total 5245 Mantenimiento y reparaciones</v>
          </cell>
          <cell r="C1910">
            <v>26740296</v>
          </cell>
        </row>
        <row r="1911">
          <cell r="A1911" t="str">
            <v/>
          </cell>
          <cell r="B1911" t="str">
            <v>5250. Adecuacion E instalacion</v>
          </cell>
          <cell r="C1911">
            <v>0</v>
          </cell>
        </row>
        <row r="1912">
          <cell r="A1912" t="str">
            <v/>
          </cell>
          <cell r="B1912" t="str">
            <v>525005. Instalaciones electricas</v>
          </cell>
          <cell r="C1912">
            <v>0</v>
          </cell>
        </row>
        <row r="1913">
          <cell r="A1913" t="str">
            <v>525005001</v>
          </cell>
          <cell r="B1913" t="str">
            <v>525005001 VTAS - ADECUACION DE INSTALACIONES</v>
          </cell>
          <cell r="C1913">
            <v>1277997</v>
          </cell>
        </row>
        <row r="1914">
          <cell r="A1914" t="str">
            <v/>
          </cell>
          <cell r="B1914" t="str">
            <v>Total Instalaciones electricas</v>
          </cell>
          <cell r="C1914">
            <v>1277997</v>
          </cell>
        </row>
        <row r="1915">
          <cell r="A1915" t="str">
            <v/>
          </cell>
          <cell r="B1915" t="str">
            <v>Total 5250 Adecuacion E instalacion</v>
          </cell>
          <cell r="C1915">
            <v>1277997</v>
          </cell>
        </row>
        <row r="1916">
          <cell r="A1916" t="str">
            <v/>
          </cell>
          <cell r="B1916" t="str">
            <v>5255. Gastos de Viaje</v>
          </cell>
          <cell r="C1916">
            <v>0</v>
          </cell>
        </row>
        <row r="1917">
          <cell r="A1917" t="str">
            <v/>
          </cell>
          <cell r="B1917" t="str">
            <v>525505. Alojamiento y manutencion</v>
          </cell>
          <cell r="C1917">
            <v>0</v>
          </cell>
        </row>
        <row r="1918">
          <cell r="A1918" t="str">
            <v>525505001</v>
          </cell>
          <cell r="B1918" t="str">
            <v>525505001 VTAS - ALOJAMIENTO Y MANUTENCION</v>
          </cell>
          <cell r="C1918">
            <v>74099064</v>
          </cell>
        </row>
        <row r="1919">
          <cell r="A1919" t="str">
            <v/>
          </cell>
          <cell r="B1919" t="str">
            <v>Total Alojamiento y manutencion</v>
          </cell>
          <cell r="C1919">
            <v>74099064</v>
          </cell>
        </row>
        <row r="1920">
          <cell r="A1920" t="str">
            <v/>
          </cell>
          <cell r="B1920" t="str">
            <v>525515. Pasajes aereos</v>
          </cell>
          <cell r="C1920">
            <v>0</v>
          </cell>
        </row>
        <row r="1921">
          <cell r="A1921" t="str">
            <v>525515001</v>
          </cell>
          <cell r="B1921" t="str">
            <v>525515001 VTAS - PASAJES AEREOS</v>
          </cell>
          <cell r="C1921">
            <v>29234120</v>
          </cell>
        </row>
        <row r="1922">
          <cell r="A1922" t="str">
            <v/>
          </cell>
          <cell r="B1922" t="str">
            <v>Total Pasajes aereos</v>
          </cell>
          <cell r="C1922">
            <v>29234120</v>
          </cell>
        </row>
        <row r="1923">
          <cell r="A1923" t="str">
            <v/>
          </cell>
          <cell r="B1923" t="str">
            <v>525520. Pasajes Terrestres</v>
          </cell>
          <cell r="C1923">
            <v>0</v>
          </cell>
        </row>
        <row r="1924">
          <cell r="A1924" t="str">
            <v>525520001</v>
          </cell>
          <cell r="B1924" t="str">
            <v>525520001 VTAS - PASAJES TERRESTRES</v>
          </cell>
          <cell r="C1924">
            <v>13496330</v>
          </cell>
        </row>
        <row r="1925">
          <cell r="A1925" t="str">
            <v/>
          </cell>
          <cell r="B1925" t="str">
            <v>Total Pasajes Terrestres</v>
          </cell>
          <cell r="C1925">
            <v>13496330</v>
          </cell>
        </row>
        <row r="1926">
          <cell r="A1926" t="str">
            <v/>
          </cell>
          <cell r="B1926" t="str">
            <v>525595. Otros</v>
          </cell>
          <cell r="C1926">
            <v>0</v>
          </cell>
        </row>
        <row r="1927">
          <cell r="A1927" t="str">
            <v>525595001</v>
          </cell>
          <cell r="B1927" t="str">
            <v>525595001 VTAS - OTROS GTOS DE VIAJE</v>
          </cell>
          <cell r="C1927">
            <v>19410885</v>
          </cell>
        </row>
        <row r="1928">
          <cell r="A1928" t="str">
            <v/>
          </cell>
          <cell r="B1928" t="str">
            <v>Total Otros</v>
          </cell>
          <cell r="C1928">
            <v>19410885</v>
          </cell>
        </row>
        <row r="1929">
          <cell r="A1929" t="str">
            <v/>
          </cell>
          <cell r="B1929" t="str">
            <v>Total 5225 Gastos de Viaje</v>
          </cell>
          <cell r="C1929">
            <v>136240399</v>
          </cell>
        </row>
        <row r="1930">
          <cell r="A1930" t="str">
            <v/>
          </cell>
          <cell r="B1930" t="str">
            <v>5265. Amortizaciones y Agotamiento</v>
          </cell>
          <cell r="C1930">
            <v>0</v>
          </cell>
        </row>
        <row r="1931">
          <cell r="A1931" t="str">
            <v/>
          </cell>
          <cell r="B1931" t="str">
            <v>526515. Intangibles</v>
          </cell>
          <cell r="C1931">
            <v>0</v>
          </cell>
        </row>
        <row r="1932">
          <cell r="A1932" t="str">
            <v>526515000</v>
          </cell>
          <cell r="B1932" t="str">
            <v>526515000 VTAS - AMORTIZACION INTANGIBLES - MARCAS</v>
          </cell>
          <cell r="C1932">
            <v>41402098</v>
          </cell>
        </row>
        <row r="1933">
          <cell r="A1933" t="str">
            <v/>
          </cell>
          <cell r="B1933" t="str">
            <v>Total Intangibles</v>
          </cell>
          <cell r="C1933">
            <v>41402098</v>
          </cell>
        </row>
        <row r="1934">
          <cell r="A1934" t="str">
            <v/>
          </cell>
          <cell r="B1934" t="str">
            <v>526520. Cargos Diferidos</v>
          </cell>
          <cell r="C1934">
            <v>0</v>
          </cell>
        </row>
        <row r="1935">
          <cell r="A1935" t="str">
            <v>526520004</v>
          </cell>
          <cell r="B1935" t="str">
            <v>526520004 VTAS - DIFERIDOS PROGR.PARA COMPUTADOR</v>
          </cell>
          <cell r="C1935">
            <v>33110910</v>
          </cell>
        </row>
        <row r="1936">
          <cell r="A1936" t="str">
            <v/>
          </cell>
          <cell r="B1936" t="str">
            <v>Total Cargos Diferidos</v>
          </cell>
          <cell r="C1936">
            <v>33110910</v>
          </cell>
        </row>
        <row r="1937">
          <cell r="A1937" t="str">
            <v/>
          </cell>
          <cell r="B1937" t="str">
            <v>Total 5265 Amortizaciones y Agotamiento</v>
          </cell>
          <cell r="C1937">
            <v>74513008</v>
          </cell>
        </row>
        <row r="1938">
          <cell r="A1938" t="str">
            <v/>
          </cell>
          <cell r="B1938" t="str">
            <v>5295. Diversos</v>
          </cell>
          <cell r="C1938">
            <v>0</v>
          </cell>
        </row>
        <row r="1939">
          <cell r="A1939" t="str">
            <v/>
          </cell>
          <cell r="B1939" t="str">
            <v>529510. Libros Suscripciones,periodicos y rev</v>
          </cell>
          <cell r="C1939">
            <v>0</v>
          </cell>
        </row>
        <row r="1940">
          <cell r="A1940" t="str">
            <v>529510001</v>
          </cell>
          <cell r="B1940" t="str">
            <v>529510001 VTAS - SUSCRIPCIONES Y REVISTAS BOGOTA</v>
          </cell>
          <cell r="C1940">
            <v>1409096</v>
          </cell>
        </row>
        <row r="1941">
          <cell r="A1941" t="str">
            <v/>
          </cell>
          <cell r="B1941" t="str">
            <v>Total Libros Suscripciones,periodicos y rev</v>
          </cell>
          <cell r="C1941">
            <v>1409096</v>
          </cell>
        </row>
        <row r="1942">
          <cell r="A1942" t="str">
            <v/>
          </cell>
          <cell r="B1942" t="str">
            <v>529525. Elementos de aseo y cafeteria</v>
          </cell>
          <cell r="C1942">
            <v>0</v>
          </cell>
        </row>
        <row r="1943">
          <cell r="A1943" t="str">
            <v>529525002</v>
          </cell>
          <cell r="B1943" t="str">
            <v>529525002 VTAS - SUMINISTROS DE CAFETERIA</v>
          </cell>
          <cell r="C1943">
            <v>1280805</v>
          </cell>
        </row>
        <row r="1944">
          <cell r="A1944" t="str">
            <v/>
          </cell>
          <cell r="B1944" t="str">
            <v>Total Elementos de aseo y cafeteria</v>
          </cell>
          <cell r="C1944">
            <v>1280805</v>
          </cell>
        </row>
        <row r="1945">
          <cell r="A1945" t="str">
            <v/>
          </cell>
          <cell r="B1945" t="str">
            <v>529530. Utiles,pepeleria y fotocopias</v>
          </cell>
          <cell r="C1945">
            <v>0</v>
          </cell>
        </row>
        <row r="1946">
          <cell r="A1946" t="str">
            <v>529530001</v>
          </cell>
          <cell r="B1946" t="str">
            <v>529530001 VTAS - FOTOCOPIAS Y HELIOGRAFO</v>
          </cell>
          <cell r="C1946">
            <v>4543626</v>
          </cell>
        </row>
        <row r="1947">
          <cell r="A1947" t="str">
            <v>529530002</v>
          </cell>
          <cell r="B1947" t="str">
            <v>529530002 VTAS - PAPELERIA - UTILES DE OFICINA</v>
          </cell>
          <cell r="C1947">
            <v>934878</v>
          </cell>
        </row>
        <row r="1948">
          <cell r="A1948" t="str">
            <v>529530004</v>
          </cell>
          <cell r="B1948" t="str">
            <v>529530004 VTAS - REVELADOS ROLLOS Y OTROS</v>
          </cell>
          <cell r="C1948">
            <v>418000</v>
          </cell>
        </row>
        <row r="1949">
          <cell r="A1949" t="str">
            <v>529530005</v>
          </cell>
          <cell r="B1949" t="str">
            <v>529530005 VTAS - ENCUADERNACION</v>
          </cell>
          <cell r="C1949">
            <v>11500</v>
          </cell>
        </row>
        <row r="1950">
          <cell r="A1950" t="str">
            <v/>
          </cell>
          <cell r="B1950" t="str">
            <v>Total Utiles,pepeleria y fotocopias</v>
          </cell>
          <cell r="C1950">
            <v>5908004</v>
          </cell>
        </row>
        <row r="1951">
          <cell r="A1951" t="str">
            <v/>
          </cell>
          <cell r="B1951" t="str">
            <v>529535. Combustibles y lubricantes</v>
          </cell>
          <cell r="C1951">
            <v>0</v>
          </cell>
        </row>
        <row r="1952">
          <cell r="A1952" t="str">
            <v>529535001</v>
          </cell>
          <cell r="B1952" t="str">
            <v>529535001 VTAS - GASTOS DE COMBUSTIBLES Y LUBIRCANTES</v>
          </cell>
          <cell r="C1952">
            <v>243000</v>
          </cell>
        </row>
        <row r="1953">
          <cell r="A1953" t="str">
            <v/>
          </cell>
          <cell r="B1953" t="str">
            <v>Total Combustibles y lubricantes</v>
          </cell>
          <cell r="C1953">
            <v>243000</v>
          </cell>
        </row>
        <row r="1954">
          <cell r="A1954" t="str">
            <v/>
          </cell>
          <cell r="B1954" t="str">
            <v>529540. Envases y empaques</v>
          </cell>
          <cell r="C1954">
            <v>0</v>
          </cell>
        </row>
        <row r="1955">
          <cell r="A1955" t="str">
            <v>529540001</v>
          </cell>
          <cell r="B1955" t="str">
            <v>529540001 VTAS - EMPAQUES</v>
          </cell>
          <cell r="C1955">
            <v>382661670</v>
          </cell>
        </row>
        <row r="1956">
          <cell r="A1956" t="str">
            <v/>
          </cell>
          <cell r="B1956" t="str">
            <v>Total Envases y empaques</v>
          </cell>
          <cell r="C1956">
            <v>382661670</v>
          </cell>
        </row>
        <row r="1957">
          <cell r="A1957" t="str">
            <v/>
          </cell>
          <cell r="B1957" t="str">
            <v>529545. Taxis y buses</v>
          </cell>
          <cell r="C1957">
            <v>0</v>
          </cell>
        </row>
        <row r="1958">
          <cell r="A1958" t="str">
            <v>529545001</v>
          </cell>
          <cell r="B1958" t="str">
            <v>529545001 VTAS - TRASPORTE URBANO,TAXIS Y BUSES</v>
          </cell>
          <cell r="C1958">
            <v>15347211</v>
          </cell>
        </row>
        <row r="1959">
          <cell r="A1959" t="str">
            <v/>
          </cell>
          <cell r="B1959" t="str">
            <v>Total Taxis y buses</v>
          </cell>
          <cell r="C1959">
            <v>15347211</v>
          </cell>
        </row>
        <row r="1960">
          <cell r="A1960" t="str">
            <v/>
          </cell>
          <cell r="B1960" t="str">
            <v>529560. Casino y restaurante</v>
          </cell>
          <cell r="C1960">
            <v>0</v>
          </cell>
        </row>
        <row r="1961">
          <cell r="A1961" t="str">
            <v>529560001</v>
          </cell>
          <cell r="B1961" t="str">
            <v>529560001 VTAS - CASINO Y RESTAURANTE</v>
          </cell>
          <cell r="C1961">
            <v>40955379</v>
          </cell>
        </row>
        <row r="1962">
          <cell r="A1962" t="str">
            <v/>
          </cell>
          <cell r="B1962" t="str">
            <v>Total Casino y restaurante</v>
          </cell>
          <cell r="C1962">
            <v>40955379</v>
          </cell>
        </row>
        <row r="1963">
          <cell r="A1963" t="str">
            <v/>
          </cell>
          <cell r="B1963" t="str">
            <v>529562. Gastos reuniones y conferencias</v>
          </cell>
          <cell r="C1963">
            <v>0</v>
          </cell>
        </row>
        <row r="1964">
          <cell r="A1964" t="str">
            <v>529562002</v>
          </cell>
          <cell r="B1964" t="str">
            <v>529562002 VTAS - CONFERENCIAS SEMINAR-TALLER</v>
          </cell>
          <cell r="C1964">
            <v>2700000</v>
          </cell>
        </row>
        <row r="1965">
          <cell r="A1965" t="str">
            <v/>
          </cell>
          <cell r="B1965" t="str">
            <v>Total Gastos reuniones y conferencias</v>
          </cell>
          <cell r="C1965">
            <v>2700000</v>
          </cell>
        </row>
        <row r="1966">
          <cell r="A1966" t="str">
            <v/>
          </cell>
          <cell r="B1966" t="str">
            <v>529565. Parqueaderos</v>
          </cell>
          <cell r="C1966">
            <v>0</v>
          </cell>
        </row>
        <row r="1967">
          <cell r="A1967" t="str">
            <v>529565001</v>
          </cell>
          <cell r="B1967" t="str">
            <v>529565001 VTAS - PARQUEADEROS</v>
          </cell>
          <cell r="C1967">
            <v>1029400</v>
          </cell>
        </row>
        <row r="1968">
          <cell r="A1968" t="str">
            <v/>
          </cell>
          <cell r="B1968" t="str">
            <v>Total Parqueaderos</v>
          </cell>
          <cell r="C1968">
            <v>1029400</v>
          </cell>
        </row>
        <row r="1969">
          <cell r="A1969" t="str">
            <v/>
          </cell>
          <cell r="B1969" t="str">
            <v>529595. Otros</v>
          </cell>
          <cell r="C1969">
            <v>0</v>
          </cell>
        </row>
        <row r="1970">
          <cell r="A1970" t="str">
            <v>529595002</v>
          </cell>
          <cell r="B1970" t="str">
            <v>529595002 VTAS - RIFAS PREMIOS OBSEQUIOS</v>
          </cell>
          <cell r="C1970">
            <v>507240651</v>
          </cell>
        </row>
        <row r="1971">
          <cell r="A1971" t="str">
            <v>529595006</v>
          </cell>
          <cell r="B1971" t="str">
            <v>529595006 VTAS - ATENCION A ASOCIADOS</v>
          </cell>
          <cell r="C1971">
            <v>4432959</v>
          </cell>
        </row>
        <row r="1972">
          <cell r="A1972" t="str">
            <v>529595009</v>
          </cell>
          <cell r="B1972" t="str">
            <v>529595009 VTAS - ROTURAS - DESGUASE DE MERCANCIA</v>
          </cell>
          <cell r="C1972">
            <v>12235073</v>
          </cell>
        </row>
        <row r="1973">
          <cell r="A1973" t="str">
            <v>529595010</v>
          </cell>
          <cell r="B1973" t="str">
            <v>529595010 VTAS - OTROS SUMINISTROS</v>
          </cell>
          <cell r="C1973">
            <v>35181712</v>
          </cell>
        </row>
        <row r="1974">
          <cell r="A1974" t="str">
            <v>529595011</v>
          </cell>
          <cell r="B1974" t="str">
            <v>529595011 VTAS - IMPLEMENTACION SISTEMAS</v>
          </cell>
          <cell r="C1974">
            <v>62000</v>
          </cell>
        </row>
        <row r="1975">
          <cell r="A1975" t="str">
            <v>529595016</v>
          </cell>
          <cell r="B1975" t="str">
            <v>529595016 VTAS - EVENTOS VARIOS</v>
          </cell>
          <cell r="C1975">
            <v>208781895</v>
          </cell>
        </row>
        <row r="1976">
          <cell r="A1976" t="str">
            <v>529595020</v>
          </cell>
          <cell r="B1976" t="str">
            <v>529595020 VTAS - COMUNICACION ELECTRON.DE DATOS</v>
          </cell>
          <cell r="C1976">
            <v>4982622</v>
          </cell>
        </row>
        <row r="1977">
          <cell r="A1977" t="str">
            <v>529595024</v>
          </cell>
          <cell r="B1977" t="str">
            <v>529595024 VTAS - OTROS GTOS GENERALES</v>
          </cell>
          <cell r="C1977">
            <v>51220537</v>
          </cell>
        </row>
        <row r="1978">
          <cell r="A1978" t="str">
            <v>529595101</v>
          </cell>
          <cell r="B1978" t="str">
            <v>529595101 VTAS - DIFERENCIAS MAYORES MCÍA  ETICOS GRAVADA</v>
          </cell>
          <cell r="C1978">
            <v>0</v>
          </cell>
        </row>
        <row r="1979">
          <cell r="A1979" t="str">
            <v>529595102</v>
          </cell>
          <cell r="B1979" t="str">
            <v>529595102 VTAS - DIFERENCIAS MAYORES MCÍA  ETICOS EXENTA</v>
          </cell>
          <cell r="C1979">
            <v>0</v>
          </cell>
        </row>
        <row r="1980">
          <cell r="A1980" t="str">
            <v>529595111</v>
          </cell>
          <cell r="B1980" t="str">
            <v>529595111 VTAS - DIFERENCIAS MAYORES MCÍA  POPULARES GRAV.</v>
          </cell>
          <cell r="C1980">
            <v>2</v>
          </cell>
        </row>
        <row r="1981">
          <cell r="A1981" t="str">
            <v>529595112</v>
          </cell>
          <cell r="B1981" t="str">
            <v>529595112 VTAS - DIFERENCIAS MAYORES MCÍA  POPULARES  EXENTA</v>
          </cell>
          <cell r="C1981">
            <v>0</v>
          </cell>
        </row>
        <row r="1982">
          <cell r="A1982" t="str">
            <v>529595193</v>
          </cell>
          <cell r="B1982" t="str">
            <v>529595193 VTAS - DIFERENCIAS MENORES EN COMPRAS</v>
          </cell>
          <cell r="C1982">
            <v>29105</v>
          </cell>
        </row>
        <row r="1983">
          <cell r="A1983" t="str">
            <v/>
          </cell>
          <cell r="B1983" t="str">
            <v>Total Otros</v>
          </cell>
          <cell r="C1983">
            <v>824166556</v>
          </cell>
        </row>
        <row r="1984">
          <cell r="A1984" t="str">
            <v/>
          </cell>
          <cell r="B1984" t="str">
            <v>Total 5295 Diversos</v>
          </cell>
          <cell r="C1984">
            <v>1275701121</v>
          </cell>
        </row>
        <row r="1985">
          <cell r="A1985" t="str">
            <v/>
          </cell>
          <cell r="B1985" t="str">
            <v>Total 52. Gastos de ventas</v>
          </cell>
          <cell r="C1985">
            <v>16062671813</v>
          </cell>
        </row>
        <row r="1986">
          <cell r="A1986" t="str">
            <v/>
          </cell>
          <cell r="B1986" t="str">
            <v>53. Gastos no operacionales</v>
          </cell>
          <cell r="C1986">
            <v>0</v>
          </cell>
        </row>
        <row r="1987">
          <cell r="A1987" t="str">
            <v/>
          </cell>
          <cell r="B1987" t="str">
            <v>5310. Perdida en venta y retiro de bienes</v>
          </cell>
          <cell r="C1987">
            <v>0</v>
          </cell>
        </row>
        <row r="1988">
          <cell r="A1988" t="str">
            <v/>
          </cell>
          <cell r="B1988" t="str">
            <v>531040. Perdida por siniestros</v>
          </cell>
          <cell r="C1988">
            <v>0</v>
          </cell>
        </row>
        <row r="1989">
          <cell r="A1989" t="str">
            <v>531040001</v>
          </cell>
          <cell r="B1989" t="str">
            <v>531040001 VTAS - (DEDUCIBLE) ROBO MERCANCIA</v>
          </cell>
          <cell r="C1989">
            <v>3236646</v>
          </cell>
        </row>
        <row r="1990">
          <cell r="A1990" t="str">
            <v/>
          </cell>
          <cell r="B1990" t="str">
            <v>Perdida por siniestros</v>
          </cell>
          <cell r="C1990">
            <v>3236646</v>
          </cell>
        </row>
        <row r="1991">
          <cell r="A1991" t="str">
            <v/>
          </cell>
          <cell r="B1991" t="str">
            <v>Total 5310 Perdida en venta y retiro de biene</v>
          </cell>
          <cell r="C1991">
            <v>3236646</v>
          </cell>
        </row>
        <row r="1992">
          <cell r="A1992" t="str">
            <v/>
          </cell>
          <cell r="B1992" t="str">
            <v>5395. Gastos Diversos</v>
          </cell>
          <cell r="C1992">
            <v>0</v>
          </cell>
        </row>
        <row r="1993">
          <cell r="A1993" t="str">
            <v/>
          </cell>
          <cell r="B1993" t="str">
            <v>539520. Multas sanciones y litigios</v>
          </cell>
          <cell r="C1993">
            <v>0</v>
          </cell>
        </row>
        <row r="1994">
          <cell r="A1994" t="str">
            <v>539520000</v>
          </cell>
          <cell r="B1994" t="str">
            <v>539520000  MULTAS, SANCIONES Y LITIGIOS</v>
          </cell>
          <cell r="C1994">
            <v>2585347</v>
          </cell>
        </row>
        <row r="1995">
          <cell r="A1995" t="str">
            <v/>
          </cell>
          <cell r="B1995" t="str">
            <v>Total Multas sanciones y litigios</v>
          </cell>
          <cell r="C1995">
            <v>2585347</v>
          </cell>
        </row>
        <row r="1996">
          <cell r="A1996" t="str">
            <v/>
          </cell>
          <cell r="B1996" t="str">
            <v>539595. Otros</v>
          </cell>
          <cell r="C1996">
            <v>0</v>
          </cell>
        </row>
        <row r="1997">
          <cell r="A1997" t="str">
            <v>539595003</v>
          </cell>
          <cell r="B1997" t="str">
            <v>539595003 PERDIDA EN VENTAS DE ACTIVOS FIJOS</v>
          </cell>
          <cell r="C1997">
            <v>-6438848</v>
          </cell>
        </row>
        <row r="1998">
          <cell r="A1998" t="str">
            <v>539595005</v>
          </cell>
          <cell r="B1998" t="str">
            <v>539595005 VTAS - GASTOS LANZAMIENTO FRANQUICIAS Y MARCAS PRO</v>
          </cell>
          <cell r="C1998">
            <v>6628200</v>
          </cell>
        </row>
        <row r="1999">
          <cell r="A1999" t="str">
            <v>539595006</v>
          </cell>
          <cell r="B1999" t="str">
            <v>539595006 VTAS - IMPUESTO AL PATRIMONIO</v>
          </cell>
          <cell r="C1999">
            <v>177192000</v>
          </cell>
        </row>
        <row r="2000">
          <cell r="A2000" t="str">
            <v/>
          </cell>
          <cell r="B2000" t="str">
            <v>Total Otros</v>
          </cell>
          <cell r="C2000">
            <v>177381352</v>
          </cell>
        </row>
        <row r="2001">
          <cell r="A2001" t="str">
            <v/>
          </cell>
          <cell r="B2001" t="str">
            <v>Total 5395 Gastos Diversos</v>
          </cell>
          <cell r="C2001">
            <v>179966699</v>
          </cell>
        </row>
        <row r="2002">
          <cell r="A2002" t="str">
            <v/>
          </cell>
          <cell r="B2002" t="str">
            <v>Total 53. Gastos no operacionales</v>
          </cell>
          <cell r="C2002">
            <v>183203345</v>
          </cell>
        </row>
        <row r="2003">
          <cell r="A2003" t="str">
            <v/>
          </cell>
          <cell r="B2003" t="str">
            <v>Total  5 Gastos</v>
          </cell>
          <cell r="C2003">
            <v>29085691063</v>
          </cell>
        </row>
        <row r="2004">
          <cell r="A2004" t="str">
            <v/>
          </cell>
          <cell r="B2004" t="str">
            <v>6. Costos</v>
          </cell>
          <cell r="C2004">
            <v>0</v>
          </cell>
        </row>
        <row r="2005">
          <cell r="A2005" t="str">
            <v/>
          </cell>
          <cell r="B2005" t="str">
            <v>61. Costo de ventas y de prestacion de servi.</v>
          </cell>
          <cell r="C2005">
            <v>0</v>
          </cell>
        </row>
        <row r="2006">
          <cell r="A2006" t="str">
            <v/>
          </cell>
          <cell r="B2006" t="str">
            <v>6135. Comercio al por mayor y al por menor</v>
          </cell>
          <cell r="C2006">
            <v>0</v>
          </cell>
        </row>
        <row r="2007">
          <cell r="A2007" t="str">
            <v/>
          </cell>
          <cell r="B2007" t="str">
            <v>613538. Venta,product.aseo,farmac.medici.y ar</v>
          </cell>
          <cell r="C2007">
            <v>0</v>
          </cell>
        </row>
        <row r="2008">
          <cell r="A2008" t="str">
            <v>613538001</v>
          </cell>
          <cell r="B2008" t="str">
            <v>613538001 COSTO DE VENTAS MCÍA  EXCLUIDA  ETICOS ASOCIADOS</v>
          </cell>
          <cell r="C2008">
            <v>248061611771</v>
          </cell>
        </row>
        <row r="2009">
          <cell r="A2009" t="str">
            <v>613538002</v>
          </cell>
          <cell r="B2009" t="str">
            <v>613538002 COSTO DE VENTAS MCÍA  EXCLUUID POPULARES ASOCIADOS</v>
          </cell>
          <cell r="C2009">
            <v>36081099270</v>
          </cell>
        </row>
        <row r="2010">
          <cell r="A2010" t="str">
            <v>613538004</v>
          </cell>
          <cell r="B2010" t="str">
            <v>613538004 COSTO DE VENTAS MCÍA  GRAVADA ETICOS ASOCIADOS</v>
          </cell>
          <cell r="C2010">
            <v>3124907724</v>
          </cell>
        </row>
        <row r="2011">
          <cell r="A2011" t="str">
            <v>613538005</v>
          </cell>
          <cell r="B2011" t="str">
            <v>613538005 COSTO DE VENTAS MCÍA  GRAVADAS POPULARES ASOCIADOS</v>
          </cell>
          <cell r="C2011">
            <v>119142690805</v>
          </cell>
        </row>
        <row r="2012">
          <cell r="A2012" t="str">
            <v>613538006</v>
          </cell>
          <cell r="B2012" t="str">
            <v>613538006 COSTO DE VENTAS MCÍA  GRAVADAS  CONVENIOS ASOCIADO</v>
          </cell>
          <cell r="C2012">
            <v>14218</v>
          </cell>
        </row>
        <row r="2013">
          <cell r="A2013" t="str">
            <v>613538061</v>
          </cell>
          <cell r="B2013" t="str">
            <v>613538061 COSTO DE VENTAS CONVENIOS (FI)</v>
          </cell>
          <cell r="C2013">
            <v>-12585886</v>
          </cell>
        </row>
        <row r="2014">
          <cell r="A2014" t="str">
            <v>613538069</v>
          </cell>
          <cell r="B2014" t="str">
            <v>613538069 COSTO DE VENTAS MCÍA   CONVENIOS ASOCIADOS</v>
          </cell>
          <cell r="C2014">
            <v>1878907773</v>
          </cell>
        </row>
        <row r="2015">
          <cell r="A2015" t="str">
            <v>613538071</v>
          </cell>
          <cell r="B2015" t="str">
            <v>613538071 COSTO DE VENTAS EXCLUIDA ETICOS SINIESTROS</v>
          </cell>
          <cell r="C2015">
            <v>-114352689</v>
          </cell>
        </row>
        <row r="2016">
          <cell r="A2016" t="str">
            <v>613538072</v>
          </cell>
          <cell r="B2016" t="str">
            <v>613538072 COSTO DE VENTAS EXCLUIDA POPULARES SINIESTROS</v>
          </cell>
          <cell r="C2016">
            <v>-11601907</v>
          </cell>
        </row>
        <row r="2017">
          <cell r="A2017" t="str">
            <v>613538074</v>
          </cell>
          <cell r="B2017" t="str">
            <v>613538074 COSTO DE VENTAS GRAVADA ETICOS SINIESTROS</v>
          </cell>
          <cell r="C2017">
            <v>-641474</v>
          </cell>
        </row>
        <row r="2018">
          <cell r="A2018" t="str">
            <v>613538075</v>
          </cell>
          <cell r="B2018" t="str">
            <v>613538075 COSTO DE VENTAS GRAVADA POPULARES SINIESTROS</v>
          </cell>
          <cell r="C2018">
            <v>-31574930</v>
          </cell>
        </row>
        <row r="2019">
          <cell r="A2019" t="str">
            <v>613538081</v>
          </cell>
          <cell r="B2019" t="str">
            <v>613538081 DIFERENCIA EN COSTO MCIA EXCLUIDA ETICOS (FI)</v>
          </cell>
          <cell r="C2019">
            <v>-2047757212</v>
          </cell>
        </row>
        <row r="2020">
          <cell r="A2020" t="str">
            <v>613538082</v>
          </cell>
          <cell r="B2020" t="str">
            <v>613538082 DIFERENCIA EN COSTO MCIA EXCLUIDA POPULARES (FI)</v>
          </cell>
          <cell r="C2020">
            <v>-4228738</v>
          </cell>
        </row>
        <row r="2021">
          <cell r="A2021" t="str">
            <v>613538084</v>
          </cell>
          <cell r="B2021" t="str">
            <v>613538084 DIFERENCIA EN COSTO MCIA GRAVADA ETICOS (FI)</v>
          </cell>
          <cell r="C2021">
            <v>-1559056</v>
          </cell>
        </row>
        <row r="2022">
          <cell r="A2022" t="str">
            <v>613538085</v>
          </cell>
          <cell r="B2022" t="str">
            <v>613538085 DIFERENCIA EN COSTO MCIA GRAVADA POPULARES (FI)</v>
          </cell>
          <cell r="C2022">
            <v>-41867342</v>
          </cell>
        </row>
        <row r="2023">
          <cell r="A2023" t="str">
            <v>613538091</v>
          </cell>
          <cell r="B2023" t="str">
            <v>613538091 VARIACIONES EN PRECIOS Y LOTES DE INVENTARIO</v>
          </cell>
          <cell r="C2023">
            <v>-3670026</v>
          </cell>
        </row>
        <row r="2024">
          <cell r="A2024" t="str">
            <v>613538092</v>
          </cell>
          <cell r="B2024" t="str">
            <v>613538092 COSTO POR DIFERENCIA EN PRECIOS(VARIACIONES)</v>
          </cell>
          <cell r="C2024">
            <v>-75045375</v>
          </cell>
        </row>
        <row r="2025">
          <cell r="A2025" t="str">
            <v/>
          </cell>
          <cell r="B2025" t="str">
            <v>Total Venta,product.aseo,farmac.medici.y ar</v>
          </cell>
          <cell r="C2025">
            <v>405944346926</v>
          </cell>
        </row>
        <row r="2026">
          <cell r="A2026" t="str">
            <v/>
          </cell>
          <cell r="B2026" t="str">
            <v>Total 6135 Ccio al por mayor y al por menor</v>
          </cell>
          <cell r="C2026">
            <v>405944346926</v>
          </cell>
        </row>
        <row r="2027">
          <cell r="A2027" t="str">
            <v/>
          </cell>
          <cell r="B2027" t="str">
            <v>6150. Actividad Financiera</v>
          </cell>
          <cell r="C2027">
            <v>0</v>
          </cell>
        </row>
        <row r="2028">
          <cell r="A2028" t="str">
            <v/>
          </cell>
          <cell r="B2028" t="str">
            <v>615010. Intereses sobre depositos de ahorro</v>
          </cell>
          <cell r="C2028">
            <v>0</v>
          </cell>
        </row>
        <row r="2029">
          <cell r="A2029" t="str">
            <v>615010001</v>
          </cell>
          <cell r="B2029" t="str">
            <v>615010001 INT. SOBRE DEPOSITOS  DE  AHORRO A TERMAYC</v>
          </cell>
          <cell r="C2029">
            <v>273363193</v>
          </cell>
        </row>
        <row r="2030">
          <cell r="A2030" t="str">
            <v/>
          </cell>
          <cell r="B2030" t="str">
            <v>Total Intereses sobre depositos de ahorro</v>
          </cell>
          <cell r="C2030">
            <v>273363193</v>
          </cell>
        </row>
        <row r="2031">
          <cell r="A2031" t="str">
            <v/>
          </cell>
          <cell r="B2031" t="str">
            <v>615015. Intereses ahorro contractual</v>
          </cell>
          <cell r="C2031">
            <v>0</v>
          </cell>
        </row>
        <row r="2032">
          <cell r="A2032" t="str">
            <v>615015001</v>
          </cell>
          <cell r="B2032" t="str">
            <v>615015001 INT. SOBRE DEPOSITOS AYC</v>
          </cell>
          <cell r="C2032">
            <v>821175727</v>
          </cell>
        </row>
        <row r="2033">
          <cell r="A2033" t="str">
            <v>615015002</v>
          </cell>
          <cell r="B2033" t="str">
            <v>615015002 INT. CUBRIMIENTO CESANTIAS AYC</v>
          </cell>
          <cell r="C2033">
            <v>48712251</v>
          </cell>
        </row>
        <row r="2034">
          <cell r="A2034" t="str">
            <v>615015004</v>
          </cell>
          <cell r="B2034" t="str">
            <v>615015004 INT. SOBRE AHORRO TURISMO  AYC</v>
          </cell>
          <cell r="C2034">
            <v>5514829</v>
          </cell>
        </row>
        <row r="2035">
          <cell r="A2035" t="str">
            <v/>
          </cell>
          <cell r="B2035" t="str">
            <v>Total Intereses ahorro contractual</v>
          </cell>
          <cell r="C2035">
            <v>875402807</v>
          </cell>
        </row>
        <row r="2036">
          <cell r="A2036" t="str">
            <v/>
          </cell>
          <cell r="B2036" t="str">
            <v>Total 6150 Actividad Financiera</v>
          </cell>
          <cell r="C2036">
            <v>1148766000</v>
          </cell>
        </row>
        <row r="2037">
          <cell r="A2037" t="str">
            <v/>
          </cell>
          <cell r="B2037" t="str">
            <v>Total 61. Cto de Vtas y de prestacion de ser.</v>
          </cell>
          <cell r="C2037">
            <v>407093112926</v>
          </cell>
        </row>
        <row r="2038">
          <cell r="A2038" t="str">
            <v/>
          </cell>
          <cell r="B2038" t="str">
            <v>62. Compras</v>
          </cell>
          <cell r="C2038">
            <v>0</v>
          </cell>
        </row>
        <row r="2039">
          <cell r="A2039" t="str">
            <v/>
          </cell>
          <cell r="B2039" t="str">
            <v>6225. Devol,rebajas y descuentos en compras</v>
          </cell>
          <cell r="C2039">
            <v>0</v>
          </cell>
        </row>
        <row r="2040">
          <cell r="A2040" t="str">
            <v/>
          </cell>
          <cell r="B2040" t="str">
            <v>622505. Devol,rebajas y descuentos en compras</v>
          </cell>
          <cell r="C2040">
            <v>0</v>
          </cell>
        </row>
        <row r="2041">
          <cell r="A2041" t="str">
            <v>622505001</v>
          </cell>
          <cell r="B2041" t="str">
            <v>622505001 DEVOLUCIONES EN COSTO MCÍA  EXCLUID  ETICOS ASOCIA</v>
          </cell>
          <cell r="C2041">
            <v>-4682110778</v>
          </cell>
        </row>
        <row r="2042">
          <cell r="A2042" t="str">
            <v>622505002</v>
          </cell>
          <cell r="B2042" t="str">
            <v>622505002 DEVOLUCIONES EN COSTO MCÍA  EXCL POPULARES ASOCI</v>
          </cell>
          <cell r="C2042">
            <v>-367596265</v>
          </cell>
        </row>
        <row r="2043">
          <cell r="A2043" t="str">
            <v>622505004</v>
          </cell>
          <cell r="B2043" t="str">
            <v>622505004 DEVOLUCIONES EN COSTO MCÍA  GRAVADA ETICOS ASOCIAD</v>
          </cell>
          <cell r="C2043">
            <v>-77851974</v>
          </cell>
        </row>
        <row r="2044">
          <cell r="A2044" t="str">
            <v>622505005</v>
          </cell>
          <cell r="B2044" t="str">
            <v>622505005 DEVOLUCIONES EN COSTO MCÍA  GRAVADAS POPULARES ASO</v>
          </cell>
          <cell r="C2044">
            <v>-1124470922</v>
          </cell>
        </row>
        <row r="2045">
          <cell r="A2045" t="str">
            <v>622505006</v>
          </cell>
          <cell r="B2045" t="str">
            <v>622505006 DEVOLUCIONES EN COSTO MCÍA  GRAVADAS  CONVENIOS AS</v>
          </cell>
          <cell r="C2045">
            <v>-3</v>
          </cell>
        </row>
        <row r="2046">
          <cell r="A2046" t="str">
            <v>622505041</v>
          </cell>
          <cell r="B2046" t="str">
            <v>622505041 DEVOLUCIONES EN COSTO MCÍA  EXCLUIDA POPULARES EPS</v>
          </cell>
          <cell r="C2046">
            <v>-358120</v>
          </cell>
        </row>
        <row r="2047">
          <cell r="A2047" t="str">
            <v>622505092</v>
          </cell>
          <cell r="B2047" t="str">
            <v>622505092 DEVOLUCIONES DIFERENCIA EN PRECIOS(VARIACIONES)</v>
          </cell>
          <cell r="C2047">
            <v>358652826</v>
          </cell>
        </row>
        <row r="2048">
          <cell r="A2048" t="str">
            <v/>
          </cell>
          <cell r="B2048" t="str">
            <v>Total Devol,rebajas y descuentos en compras</v>
          </cell>
          <cell r="C2048">
            <v>-5893735236</v>
          </cell>
        </row>
        <row r="2049">
          <cell r="A2049" t="str">
            <v/>
          </cell>
          <cell r="B2049" t="str">
            <v>622510.Descuentos en compras</v>
          </cell>
          <cell r="C2049">
            <v>0</v>
          </cell>
        </row>
        <row r="2050">
          <cell r="A2050" t="str">
            <v>622510001</v>
          </cell>
          <cell r="B2050" t="str">
            <v>622510001 DTOS POR PAGO ANTICIPADO(G.FINANCIERA)</v>
          </cell>
          <cell r="C2050">
            <v>-1781705658</v>
          </cell>
        </row>
        <row r="2051">
          <cell r="A2051" t="str">
            <v>622510002</v>
          </cell>
          <cell r="B2051" t="str">
            <v>622510002 DTOS POR V/MEN  PERIODICO (MENSUAL,BIMESTRAL,TRIM)</v>
          </cell>
          <cell r="C2051">
            <v>-2504701928</v>
          </cell>
        </row>
        <row r="2052">
          <cell r="A2052" t="str">
            <v>622510003</v>
          </cell>
          <cell r="B2052" t="str">
            <v>622510003 DESCUENTOS CONFIDENCIALES (G. COMERCIAL)</v>
          </cell>
          <cell r="C2052">
            <v>-1043501262</v>
          </cell>
        </row>
        <row r="2053">
          <cell r="A2053" t="str">
            <v>622510004</v>
          </cell>
          <cell r="B2053" t="str">
            <v>622510004 DTOS POR TELEFERIA</v>
          </cell>
          <cell r="C2053">
            <v>-1443386714</v>
          </cell>
        </row>
        <row r="2054">
          <cell r="A2054" t="str">
            <v>622510005</v>
          </cell>
          <cell r="B2054" t="str">
            <v>622510005 DTOS POR PAGO OPORTUNO (GESTION COMERCIAL)</v>
          </cell>
          <cell r="C2054">
            <v>-16006118790</v>
          </cell>
        </row>
        <row r="2055">
          <cell r="A2055" t="str">
            <v>622510006</v>
          </cell>
          <cell r="B2055" t="str">
            <v>622510006 OTROS DTOS  ACTIVIDADES COMERCIALES</v>
          </cell>
          <cell r="C2055">
            <v>-371998495</v>
          </cell>
        </row>
        <row r="2056">
          <cell r="A2056" t="str">
            <v>622510007</v>
          </cell>
          <cell r="B2056" t="str">
            <v>622510007 APROVECHAMIENTOS DTOS Y OTROS</v>
          </cell>
          <cell r="C2056">
            <v>-123740759</v>
          </cell>
        </row>
        <row r="2057">
          <cell r="A2057" t="str">
            <v>622510009</v>
          </cell>
          <cell r="B2057" t="str">
            <v>622510009 DTOS X PLAN ANOTATE</v>
          </cell>
          <cell r="C2057">
            <v>-18414846</v>
          </cell>
        </row>
        <row r="2058">
          <cell r="A2058" t="str">
            <v>622510031</v>
          </cell>
          <cell r="B2058" t="str">
            <v>622510031 DESCUENTOS POR BONOS</v>
          </cell>
          <cell r="C2058">
            <v>-488945107</v>
          </cell>
        </row>
        <row r="2059">
          <cell r="A2059" t="str">
            <v>622510037</v>
          </cell>
          <cell r="B2059" t="str">
            <v>622510037 DESCUENTOS POR PLAN FIDELIDAD</v>
          </cell>
          <cell r="C2059">
            <v>-320836956</v>
          </cell>
        </row>
        <row r="2060">
          <cell r="A2060" t="str">
            <v/>
          </cell>
          <cell r="B2060" t="str">
            <v>Total Descuentos en compras</v>
          </cell>
          <cell r="C2060">
            <v>-24103350515</v>
          </cell>
        </row>
        <row r="2061">
          <cell r="A2061" t="str">
            <v/>
          </cell>
          <cell r="B2061" t="str">
            <v>Total  6225 Devol,rebajas y destos en compras</v>
          </cell>
          <cell r="C2061">
            <v>-29997085751</v>
          </cell>
        </row>
        <row r="2062">
          <cell r="A2062" t="str">
            <v/>
          </cell>
          <cell r="B2062" t="str">
            <v>Total 62 Compras</v>
          </cell>
          <cell r="C2062">
            <v>-29997085751</v>
          </cell>
        </row>
        <row r="2063">
          <cell r="A2063" t="str">
            <v/>
          </cell>
          <cell r="B2063" t="str">
            <v>Total 6 Costos</v>
          </cell>
          <cell r="C2063">
            <v>377096027175</v>
          </cell>
        </row>
        <row r="2064">
          <cell r="A2064" t="str">
            <v/>
          </cell>
          <cell r="B2064" t="str">
            <v/>
          </cell>
          <cell r="C2064">
            <v>2660673402</v>
          </cell>
        </row>
        <row r="2065">
          <cell r="A2065" t="str">
            <v>999999990</v>
          </cell>
          <cell r="B2065" t="str">
            <v>999999990 Cargue de Saldos Finanzas</v>
          </cell>
          <cell r="C2065">
            <v>0</v>
          </cell>
        </row>
        <row r="2066">
          <cell r="A2066" t="str">
            <v>999999991</v>
          </cell>
          <cell r="B2066" t="str">
            <v>999999991 Cargue de Saldos Cuentas por Cobrar</v>
          </cell>
          <cell r="C2066">
            <v>0</v>
          </cell>
        </row>
        <row r="2067">
          <cell r="A2067" t="str">
            <v>999999992</v>
          </cell>
          <cell r="B2067" t="str">
            <v>999999992 Cargue de Saldos Cuentas por Pagar</v>
          </cell>
          <cell r="C2067">
            <v>0</v>
          </cell>
        </row>
        <row r="2068">
          <cell r="A2068" t="str">
            <v>999999993</v>
          </cell>
          <cell r="B2068" t="str">
            <v>999999993 Cargue de Saldos Activos Fijos</v>
          </cell>
          <cell r="C2068">
            <v>0</v>
          </cell>
        </row>
        <row r="2069">
          <cell r="A2069" t="str">
            <v>999999994</v>
          </cell>
          <cell r="B2069" t="str">
            <v>999999994 Cargue de Saldos Materiales e Inventarios</v>
          </cell>
          <cell r="C2069">
            <v>0</v>
          </cell>
        </row>
        <row r="2070">
          <cell r="A2070" t="str">
            <v/>
          </cell>
          <cell r="B2070" t="str">
            <v/>
          </cell>
          <cell r="C2070">
            <v>0</v>
          </cell>
        </row>
        <row r="2071">
          <cell r="A2071" t="str">
            <v/>
          </cell>
          <cell r="B2071" t="str">
            <v>8. Cuentas de orden deudoras</v>
          </cell>
          <cell r="C2071">
            <v>0</v>
          </cell>
        </row>
        <row r="2072">
          <cell r="A2072" t="str">
            <v/>
          </cell>
          <cell r="B2072" t="str">
            <v>81. Deudoras contingentes</v>
          </cell>
          <cell r="C2072">
            <v>0</v>
          </cell>
        </row>
        <row r="2073">
          <cell r="A2073" t="str">
            <v/>
          </cell>
          <cell r="B2073" t="str">
            <v>8120. Intereses cartera de credito</v>
          </cell>
          <cell r="C2073">
            <v>0</v>
          </cell>
        </row>
        <row r="2074">
          <cell r="A2074" t="str">
            <v/>
          </cell>
          <cell r="B2074" t="str">
            <v>812026. Categoria C-riesgo apreciable cmo</v>
          </cell>
          <cell r="C2074">
            <v>0</v>
          </cell>
        </row>
        <row r="2075">
          <cell r="A2075" t="str">
            <v>812026001</v>
          </cell>
          <cell r="B2075" t="str">
            <v>812026001 CATEGORIA C-RIESGO APRECIABLE, CONSUMO AYC</v>
          </cell>
          <cell r="C2075">
            <v>42713485</v>
          </cell>
        </row>
        <row r="2076">
          <cell r="A2076" t="str">
            <v/>
          </cell>
          <cell r="B2076" t="str">
            <v>Total Categoria C-riesgo apreciable cmo</v>
          </cell>
          <cell r="C2076">
            <v>42713485</v>
          </cell>
        </row>
        <row r="2077">
          <cell r="A2077" t="str">
            <v/>
          </cell>
          <cell r="B2077" t="str">
            <v>812028. Categoria D-riesgo significativo cmo</v>
          </cell>
          <cell r="C2077">
            <v>0</v>
          </cell>
        </row>
        <row r="2078">
          <cell r="A2078" t="str">
            <v>812028001</v>
          </cell>
          <cell r="B2078" t="str">
            <v>812028001 CATEGORIA D-RIESGO SIGNIFICATIVO,CONSUMO AYC</v>
          </cell>
          <cell r="C2078">
            <v>0</v>
          </cell>
        </row>
        <row r="2079">
          <cell r="A2079" t="str">
            <v/>
          </cell>
          <cell r="B2079" t="str">
            <v>Total Categoria D-riesgo significativo cmo</v>
          </cell>
          <cell r="C2079">
            <v>0</v>
          </cell>
        </row>
        <row r="2080">
          <cell r="A2080" t="str">
            <v/>
          </cell>
          <cell r="B2080" t="str">
            <v>812030. Categoria E-riesgo de incobrabilidad</v>
          </cell>
          <cell r="C2080">
            <v>0</v>
          </cell>
        </row>
        <row r="2081">
          <cell r="A2081" t="str">
            <v>812030001</v>
          </cell>
          <cell r="B2081" t="str">
            <v>812030001 CATEGORIA E-RIESGO DE INCOBRABILIDAD,CONSUMO</v>
          </cell>
          <cell r="C2081">
            <v>0</v>
          </cell>
        </row>
        <row r="2082">
          <cell r="A2082" t="str">
            <v/>
          </cell>
          <cell r="B2082" t="str">
            <v>Total Categoria E-riesgo de incobrabilidad</v>
          </cell>
          <cell r="C2082">
            <v>0</v>
          </cell>
        </row>
        <row r="2083">
          <cell r="A2083" t="str">
            <v/>
          </cell>
          <cell r="B2083" t="str">
            <v>Total Intereses cartera de credito</v>
          </cell>
          <cell r="C2083">
            <v>42713485</v>
          </cell>
        </row>
        <row r="2084">
          <cell r="A2084" t="str">
            <v/>
          </cell>
          <cell r="B2084" t="str">
            <v>Total Deudoras contingentes</v>
          </cell>
          <cell r="C2084">
            <v>42713485</v>
          </cell>
        </row>
        <row r="2085">
          <cell r="A2085" t="str">
            <v/>
          </cell>
          <cell r="B2085" t="str">
            <v>83. Deudoras de control</v>
          </cell>
          <cell r="C2085">
            <v>0</v>
          </cell>
        </row>
        <row r="2086">
          <cell r="A2086" t="str">
            <v/>
          </cell>
          <cell r="B2086" t="str">
            <v>831015. Cartera de credito</v>
          </cell>
          <cell r="C2086">
            <v>0</v>
          </cell>
        </row>
        <row r="2087">
          <cell r="A2087" t="str">
            <v>831015001</v>
          </cell>
          <cell r="B2087" t="str">
            <v>831015001 CARTERA CASTIGADA POR CARTERA DE CREDITO AYC</v>
          </cell>
          <cell r="C2087">
            <v>27082145</v>
          </cell>
        </row>
        <row r="2088">
          <cell r="A2088" t="str">
            <v/>
          </cell>
          <cell r="B2088" t="str">
            <v>Total Cartera de credito</v>
          </cell>
          <cell r="C2088">
            <v>27082145</v>
          </cell>
        </row>
        <row r="2089">
          <cell r="A2089" t="str">
            <v/>
          </cell>
          <cell r="B2089" t="str">
            <v>831020. Cartera Por venta de Bienes y servic.</v>
          </cell>
          <cell r="C2089">
            <v>0</v>
          </cell>
        </row>
        <row r="2090">
          <cell r="A2090" t="str">
            <v>831020001</v>
          </cell>
          <cell r="B2090" t="str">
            <v>831020001 CARTERA CASTIGADA POR VENTA DE BIENES Y SERVICIOS</v>
          </cell>
          <cell r="C2090">
            <v>62122876</v>
          </cell>
        </row>
        <row r="2091">
          <cell r="A2091" t="str">
            <v/>
          </cell>
          <cell r="B2091" t="str">
            <v>Total Cartera Por venta de Bienes y servic.</v>
          </cell>
          <cell r="C2091">
            <v>62122876</v>
          </cell>
        </row>
        <row r="2092">
          <cell r="A2092" t="str">
            <v/>
          </cell>
          <cell r="B2092" t="str">
            <v/>
          </cell>
          <cell r="C2092">
            <v>89205021</v>
          </cell>
        </row>
        <row r="2093">
          <cell r="A2093" t="str">
            <v/>
          </cell>
          <cell r="B2093" t="str">
            <v>8320. Prop.planta y equipo totalmente depreci</v>
          </cell>
          <cell r="C2093">
            <v>0</v>
          </cell>
        </row>
        <row r="2094">
          <cell r="A2094" t="str">
            <v/>
          </cell>
          <cell r="B2094" t="str">
            <v>832015. Muebles y equipo de oficina</v>
          </cell>
          <cell r="C2094">
            <v>0</v>
          </cell>
        </row>
        <row r="2095">
          <cell r="A2095" t="str">
            <v>832015001</v>
          </cell>
          <cell r="B2095" t="str">
            <v>832015001 MUEBLES Y EQUIPO DE OFICIONA AYC</v>
          </cell>
          <cell r="C2095">
            <v>0</v>
          </cell>
        </row>
        <row r="2096">
          <cell r="A2096" t="str">
            <v>832015002</v>
          </cell>
          <cell r="B2096" t="str">
            <v>832015002 MUEBLES Y EQUIPO DE OFICIONA</v>
          </cell>
          <cell r="C2096">
            <v>73746694</v>
          </cell>
        </row>
        <row r="2097">
          <cell r="A2097" t="str">
            <v/>
          </cell>
          <cell r="B2097" t="str">
            <v>Total Muebles y equipo de oficina</v>
          </cell>
          <cell r="C2097">
            <v>73746694</v>
          </cell>
        </row>
        <row r="2098">
          <cell r="A2098" t="str">
            <v/>
          </cell>
          <cell r="B2098" t="str">
            <v>832020. Equipo de computo y comunicacion</v>
          </cell>
          <cell r="C2098">
            <v>0</v>
          </cell>
        </row>
        <row r="2099">
          <cell r="A2099" t="str">
            <v>832020001</v>
          </cell>
          <cell r="B2099" t="str">
            <v>832020001 EQUIPO TELECOMUNICACIONES  AYC</v>
          </cell>
          <cell r="C2099">
            <v>0</v>
          </cell>
        </row>
        <row r="2100">
          <cell r="A2100" t="str">
            <v>832020002</v>
          </cell>
          <cell r="B2100" t="str">
            <v>832020002 EQUIPO DE COMPUTO AYC</v>
          </cell>
          <cell r="C2100">
            <v>0</v>
          </cell>
        </row>
        <row r="2101">
          <cell r="A2101" t="str">
            <v>832020003</v>
          </cell>
          <cell r="B2101" t="str">
            <v>832020003 EQUIPO DE COMPUTO Y TELECOMUNICACIONES</v>
          </cell>
          <cell r="C2101">
            <v>1167104117</v>
          </cell>
        </row>
        <row r="2102">
          <cell r="A2102" t="str">
            <v/>
          </cell>
          <cell r="B2102" t="str">
            <v>Total Equipo de computo y comunicacion</v>
          </cell>
          <cell r="C2102">
            <v>1167104117</v>
          </cell>
        </row>
        <row r="2103">
          <cell r="A2103" t="str">
            <v/>
          </cell>
          <cell r="B2103" t="str">
            <v>832025. Maquinaria y equipo</v>
          </cell>
          <cell r="C2103">
            <v>0</v>
          </cell>
        </row>
        <row r="2104">
          <cell r="A2104" t="str">
            <v>832025001</v>
          </cell>
          <cell r="B2104" t="str">
            <v>832025001 MAQUINARIA Y EQUIPO</v>
          </cell>
          <cell r="C2104">
            <v>152867763</v>
          </cell>
        </row>
        <row r="2105">
          <cell r="A2105" t="str">
            <v/>
          </cell>
          <cell r="B2105" t="str">
            <v>Total Maquinaria y equipo</v>
          </cell>
          <cell r="C2105">
            <v>152867763</v>
          </cell>
        </row>
        <row r="2106">
          <cell r="A2106" t="str">
            <v/>
          </cell>
          <cell r="B2106" t="str">
            <v>Total Prop.planta y equipo totalmente depreci</v>
          </cell>
          <cell r="C2106">
            <v>1393718574</v>
          </cell>
        </row>
        <row r="2107">
          <cell r="A2107" t="str">
            <v/>
          </cell>
          <cell r="B2107" t="str">
            <v>8325. Aportes suscritos por cobrar</v>
          </cell>
          <cell r="C2107">
            <v>0</v>
          </cell>
        </row>
        <row r="2108">
          <cell r="A2108" t="str">
            <v/>
          </cell>
          <cell r="B2108" t="str">
            <v>832505. Aportes suscritos por cobrar</v>
          </cell>
          <cell r="C2108">
            <v>0</v>
          </cell>
        </row>
        <row r="2109">
          <cell r="A2109" t="str">
            <v>832505001</v>
          </cell>
          <cell r="B2109" t="str">
            <v>832505001 APORTES ORDINARIOS POR COBRAR A ASOCIADOS</v>
          </cell>
          <cell r="C2109">
            <v>618699184</v>
          </cell>
        </row>
        <row r="2110">
          <cell r="A2110" t="str">
            <v>832505002</v>
          </cell>
          <cell r="B2110" t="str">
            <v>832505002 CUENTAS POR COBRAR ASOCOLDRO</v>
          </cell>
          <cell r="C2110">
            <v>117304260</v>
          </cell>
        </row>
        <row r="2111">
          <cell r="A2111" t="str">
            <v>832505003</v>
          </cell>
          <cell r="B2111" t="str">
            <v>832505003 CUOTAS DE AHORROS AHORRO Y CREDITO</v>
          </cell>
          <cell r="C2111">
            <v>5304500</v>
          </cell>
        </row>
        <row r="2112">
          <cell r="A2112" t="str">
            <v/>
          </cell>
          <cell r="B2112" t="str">
            <v>Total  Aportes suscritos por cobrar</v>
          </cell>
          <cell r="C2112">
            <v>741307944</v>
          </cell>
        </row>
        <row r="2113">
          <cell r="A2113" t="str">
            <v/>
          </cell>
          <cell r="B2113" t="str">
            <v>Total  Aportes suscritos por cobrar</v>
          </cell>
          <cell r="C2113">
            <v>741307944</v>
          </cell>
        </row>
        <row r="2114">
          <cell r="A2114" t="str">
            <v/>
          </cell>
          <cell r="B2114" t="str">
            <v>8385. Otras deudas de control</v>
          </cell>
          <cell r="C2114">
            <v>0</v>
          </cell>
        </row>
        <row r="2115">
          <cell r="A2115" t="str">
            <v/>
          </cell>
          <cell r="B2115" t="str">
            <v>838505. Cheques Devueltos</v>
          </cell>
          <cell r="C2115">
            <v>0</v>
          </cell>
        </row>
        <row r="2116">
          <cell r="A2116" t="str">
            <v>838505001</v>
          </cell>
          <cell r="B2116" t="str">
            <v>838505001 CHEQUES DEVUELTOS</v>
          </cell>
          <cell r="C2116">
            <v>2000000</v>
          </cell>
        </row>
        <row r="2117">
          <cell r="A2117" t="str">
            <v/>
          </cell>
          <cell r="B2117" t="str">
            <v>Total  Cheques Devueltos</v>
          </cell>
          <cell r="C2117">
            <v>2000000</v>
          </cell>
        </row>
        <row r="2118">
          <cell r="A2118" t="str">
            <v/>
          </cell>
          <cell r="B2118" t="str">
            <v>838585. Otras</v>
          </cell>
          <cell r="C2118">
            <v>0</v>
          </cell>
        </row>
        <row r="2119">
          <cell r="A2119" t="str">
            <v>838585011</v>
          </cell>
          <cell r="B2119" t="str">
            <v>838585011 REPOS VALORIZAZION GARANTIAS POR INVERSIONES</v>
          </cell>
          <cell r="C2119">
            <v>729299836</v>
          </cell>
        </row>
        <row r="2120">
          <cell r="A2120" t="str">
            <v/>
          </cell>
          <cell r="B2120" t="str">
            <v>Total Otras</v>
          </cell>
          <cell r="C2120">
            <v>729299836</v>
          </cell>
        </row>
        <row r="2121">
          <cell r="A2121" t="str">
            <v/>
          </cell>
          <cell r="B2121" t="str">
            <v>Total Otras deudas de control</v>
          </cell>
          <cell r="C2121">
            <v>731299836</v>
          </cell>
        </row>
        <row r="2122">
          <cell r="A2122" t="str">
            <v/>
          </cell>
          <cell r="B2122" t="str">
            <v>Total Deudoras de control</v>
          </cell>
          <cell r="C2122">
            <v>2955531375</v>
          </cell>
        </row>
        <row r="2123">
          <cell r="A2123" t="str">
            <v/>
          </cell>
          <cell r="B2123" t="str">
            <v>86. Deudoras contingentes por contra</v>
          </cell>
          <cell r="C2123">
            <v>0</v>
          </cell>
        </row>
        <row r="2124">
          <cell r="A2124" t="str">
            <v/>
          </cell>
          <cell r="B2124" t="str">
            <v>8605. Deudoras contingentes por contra (CR)</v>
          </cell>
          <cell r="C2124">
            <v>0</v>
          </cell>
        </row>
        <row r="2125">
          <cell r="A2125" t="str">
            <v/>
          </cell>
          <cell r="B2125" t="str">
            <v>860501.Deudoras contingentes por contra</v>
          </cell>
          <cell r="C2125">
            <v>0</v>
          </cell>
        </row>
        <row r="2126">
          <cell r="A2126" t="str">
            <v>860501001</v>
          </cell>
          <cell r="B2126" t="str">
            <v>860501001 DEUDORAS CONTINGENTES POR CONTRA AYC</v>
          </cell>
          <cell r="C2126">
            <v>-42713485</v>
          </cell>
        </row>
        <row r="2127">
          <cell r="A2127" t="str">
            <v/>
          </cell>
          <cell r="B2127" t="str">
            <v>Total Deudoras contingentes por contra</v>
          </cell>
          <cell r="C2127">
            <v>-42713485</v>
          </cell>
        </row>
        <row r="2128">
          <cell r="A2128" t="str">
            <v/>
          </cell>
          <cell r="B2128" t="str">
            <v>Total Deudoras contingentes por contra (CR)</v>
          </cell>
          <cell r="C2128">
            <v>-42713485</v>
          </cell>
        </row>
        <row r="2129">
          <cell r="A2129" t="str">
            <v/>
          </cell>
          <cell r="B2129" t="str">
            <v>Total Deudoras contingentes por contra</v>
          </cell>
          <cell r="C2129">
            <v>-42713485</v>
          </cell>
        </row>
        <row r="2130">
          <cell r="A2130" t="str">
            <v/>
          </cell>
          <cell r="B2130" t="str">
            <v>88. Deudoras de control por contra</v>
          </cell>
          <cell r="C2130">
            <v>0</v>
          </cell>
        </row>
        <row r="2131">
          <cell r="A2131" t="str">
            <v/>
          </cell>
          <cell r="B2131" t="str">
            <v>8805. Deudoras de control por contra (CR)</v>
          </cell>
          <cell r="C2131">
            <v>0</v>
          </cell>
        </row>
        <row r="2132">
          <cell r="A2132" t="str">
            <v/>
          </cell>
          <cell r="B2132" t="str">
            <v>880501. Deudoras de control</v>
          </cell>
          <cell r="C2132">
            <v>0</v>
          </cell>
        </row>
        <row r="2133">
          <cell r="A2133" t="str">
            <v>880501002</v>
          </cell>
          <cell r="B2133" t="str">
            <v>880501002 ACTIVOS DADOS DE BAJA  AYC</v>
          </cell>
          <cell r="C2133">
            <v>0</v>
          </cell>
        </row>
        <row r="2134">
          <cell r="A2134" t="str">
            <v>880501005</v>
          </cell>
          <cell r="B2134" t="str">
            <v>880501005 ACTIVOS TOTALMENTE DEPRECIADOS</v>
          </cell>
          <cell r="C2134">
            <v>-1393718574</v>
          </cell>
        </row>
        <row r="2135">
          <cell r="A2135" t="str">
            <v/>
          </cell>
          <cell r="B2135" t="str">
            <v>Total  Deudoras de control</v>
          </cell>
          <cell r="C2135">
            <v>-1393718574</v>
          </cell>
        </row>
        <row r="2136">
          <cell r="A2136" t="str">
            <v/>
          </cell>
          <cell r="B2136" t="str">
            <v>880505. Deudoras de control por control (CR)</v>
          </cell>
          <cell r="C2136">
            <v>0</v>
          </cell>
        </row>
        <row r="2137">
          <cell r="A2137" t="str">
            <v>880505001</v>
          </cell>
          <cell r="B2137" t="str">
            <v>880505001 CARTERA CASTIGADA POR CARTERA DE CREDITO AYC</v>
          </cell>
          <cell r="C2137">
            <v>-27082145</v>
          </cell>
        </row>
        <row r="2138">
          <cell r="A2138" t="str">
            <v>880505012</v>
          </cell>
          <cell r="B2138" t="str">
            <v>880505012 APORTES ORDINARIOS POR COB .ASOCIADOS CONTRA</v>
          </cell>
          <cell r="C2138">
            <v>-618699184</v>
          </cell>
        </row>
        <row r="2139">
          <cell r="A2139" t="str">
            <v>880505013</v>
          </cell>
          <cell r="B2139" t="str">
            <v>880505013 CUENTAS POR COBRAR ASOCOLDRO</v>
          </cell>
          <cell r="C2139">
            <v>-117304260</v>
          </cell>
        </row>
        <row r="2140">
          <cell r="A2140" t="str">
            <v>880505014</v>
          </cell>
          <cell r="B2140" t="str">
            <v>880505014 CUOTAS DE AHORROS AHORRO Y CREDITO</v>
          </cell>
          <cell r="C2140">
            <v>-5304500</v>
          </cell>
        </row>
        <row r="2141">
          <cell r="A2141" t="str">
            <v>880505018</v>
          </cell>
          <cell r="B2141" t="str">
            <v>880505018 CHEQUES DEVUELTOS</v>
          </cell>
          <cell r="C2141">
            <v>-2000000</v>
          </cell>
        </row>
        <row r="2142">
          <cell r="A2142" t="str">
            <v>880505020</v>
          </cell>
          <cell r="B2142" t="str">
            <v>880505020 CARTERA CASTIGADA POR VENTA DE BIENES Y SERVICIOS</v>
          </cell>
          <cell r="C2142">
            <v>-62122876</v>
          </cell>
        </row>
        <row r="2143">
          <cell r="A2143" t="str">
            <v>880505021</v>
          </cell>
          <cell r="B2143" t="str">
            <v>880505021 REPOS VALORIZAZION GARANTIAS POR INVERSIONES (CR)</v>
          </cell>
          <cell r="C2143">
            <v>-729299836</v>
          </cell>
        </row>
        <row r="2144">
          <cell r="A2144" t="str">
            <v/>
          </cell>
          <cell r="B2144" t="str">
            <v>Total Deudoras de control por control (CR)</v>
          </cell>
          <cell r="C2144">
            <v>-1561812801</v>
          </cell>
        </row>
        <row r="2145">
          <cell r="A2145" t="str">
            <v/>
          </cell>
          <cell r="B2145" t="str">
            <v>Total Deudoras de control por contra (CR)</v>
          </cell>
          <cell r="C2145">
            <v>-2955531375</v>
          </cell>
        </row>
        <row r="2146">
          <cell r="A2146" t="str">
            <v/>
          </cell>
          <cell r="B2146" t="str">
            <v>Total Deudoras de control por contra</v>
          </cell>
          <cell r="C2146">
            <v>-2955531375</v>
          </cell>
        </row>
        <row r="2147">
          <cell r="A2147" t="str">
            <v/>
          </cell>
          <cell r="B2147" t="str">
            <v>Total Cuentas de orden deudoras</v>
          </cell>
          <cell r="C2147">
            <v>0</v>
          </cell>
        </row>
        <row r="2148">
          <cell r="A2148" t="str">
            <v/>
          </cell>
          <cell r="B2148" t="str">
            <v>9. Cuentas de orden acreedoras</v>
          </cell>
          <cell r="C2148">
            <v>0</v>
          </cell>
        </row>
        <row r="2149">
          <cell r="A2149" t="str">
            <v/>
          </cell>
          <cell r="B2149" t="str">
            <v>91. Acreedoras contingentes</v>
          </cell>
          <cell r="C2149">
            <v>0</v>
          </cell>
        </row>
        <row r="2150">
          <cell r="A2150" t="str">
            <v/>
          </cell>
          <cell r="B2150" t="str">
            <v>9115. Bienes y Valores Recibidos en Garantia</v>
          </cell>
          <cell r="C2150">
            <v>0</v>
          </cell>
        </row>
        <row r="2151">
          <cell r="A2151" t="str">
            <v/>
          </cell>
          <cell r="B2151" t="str">
            <v>911505. De Créditos Comerciales</v>
          </cell>
          <cell r="C2151">
            <v>0</v>
          </cell>
        </row>
        <row r="2152">
          <cell r="A2152" t="str">
            <v>911505001</v>
          </cell>
          <cell r="B2152" t="str">
            <v>911505001 PAGARES   AYC</v>
          </cell>
          <cell r="C2152">
            <v>-6462717469</v>
          </cell>
        </row>
        <row r="2153">
          <cell r="A2153" t="str">
            <v>911505002</v>
          </cell>
          <cell r="B2153" t="str">
            <v>911505002 POSFECHADOS   AYC</v>
          </cell>
          <cell r="C2153">
            <v>-10572332</v>
          </cell>
        </row>
        <row r="2154">
          <cell r="A2154" t="str">
            <v/>
          </cell>
          <cell r="B2154" t="str">
            <v>Total De Créditos Comerciales</v>
          </cell>
          <cell r="C2154">
            <v>-6473289801</v>
          </cell>
        </row>
        <row r="2155">
          <cell r="A2155" t="str">
            <v/>
          </cell>
          <cell r="B2155" t="str">
            <v>911510. De Créditos de Consumo</v>
          </cell>
          <cell r="C2155">
            <v>0</v>
          </cell>
        </row>
        <row r="2156">
          <cell r="A2156" t="str">
            <v>911510001</v>
          </cell>
          <cell r="B2156" t="str">
            <v>911510001 PAGARES   AYC</v>
          </cell>
          <cell r="C2156">
            <v>-26653068122</v>
          </cell>
        </row>
        <row r="2157">
          <cell r="A2157" t="str">
            <v>911510002</v>
          </cell>
          <cell r="B2157" t="str">
            <v>911510002 POSFECHADOS   AYC</v>
          </cell>
          <cell r="C2157">
            <v>-352510624</v>
          </cell>
        </row>
        <row r="2158">
          <cell r="A2158" t="str">
            <v/>
          </cell>
          <cell r="B2158" t="str">
            <v>Total De Créditos de Consumo</v>
          </cell>
          <cell r="C2158">
            <v>-27005578746</v>
          </cell>
        </row>
        <row r="2159">
          <cell r="A2159" t="str">
            <v/>
          </cell>
          <cell r="B2159" t="str">
            <v>Total Bienes y Valores Recib Garantia</v>
          </cell>
          <cell r="C2159">
            <v>-33478868547</v>
          </cell>
        </row>
        <row r="2160">
          <cell r="A2160" t="str">
            <v/>
          </cell>
          <cell r="B2160" t="str">
            <v>9125. Creditos aprobados no desembolsados</v>
          </cell>
          <cell r="C2160">
            <v>0</v>
          </cell>
        </row>
        <row r="2161">
          <cell r="A2161" t="str">
            <v/>
          </cell>
          <cell r="B2161" t="str">
            <v>912505. Creditos aprobados no desembolsados</v>
          </cell>
          <cell r="C2161">
            <v>0</v>
          </cell>
        </row>
        <row r="2162">
          <cell r="A2162" t="str">
            <v>912505001</v>
          </cell>
          <cell r="B2162" t="str">
            <v>912505001 TOTAL CREDITOS  APROBADOS NO DESEMBOLS AYC</v>
          </cell>
          <cell r="C2162">
            <v>-1157574996</v>
          </cell>
        </row>
        <row r="2163">
          <cell r="A2163" t="str">
            <v/>
          </cell>
          <cell r="B2163" t="str">
            <v>Total Creditos aprobados no desembolsados</v>
          </cell>
          <cell r="C2163">
            <v>-1157574996</v>
          </cell>
        </row>
        <row r="2164">
          <cell r="A2164" t="str">
            <v/>
          </cell>
          <cell r="B2164" t="str">
            <v>Total Creditos aprobados no desembolsados</v>
          </cell>
          <cell r="C2164">
            <v>-1157574996</v>
          </cell>
        </row>
        <row r="2165">
          <cell r="A2165" t="str">
            <v/>
          </cell>
          <cell r="B2165" t="str">
            <v>9110. Bienes y valores en garantia</v>
          </cell>
          <cell r="C2165">
            <v>0</v>
          </cell>
        </row>
        <row r="2166">
          <cell r="A2166" t="str">
            <v/>
          </cell>
          <cell r="B2166" t="str">
            <v>911005. Creditos comerciales</v>
          </cell>
          <cell r="C2166">
            <v>0</v>
          </cell>
        </row>
        <row r="2167">
          <cell r="A2167" t="str">
            <v>911005001</v>
          </cell>
          <cell r="B2167" t="str">
            <v>911005001 TOTAL CREDITOS COMERCIALES  AYC</v>
          </cell>
          <cell r="C2167">
            <v>0</v>
          </cell>
        </row>
        <row r="2168">
          <cell r="A2168" t="str">
            <v>911005002</v>
          </cell>
          <cell r="B2168" t="str">
            <v>911005002 HIPOTECAS    AYC</v>
          </cell>
          <cell r="C2168">
            <v>-5158578357</v>
          </cell>
        </row>
        <row r="2169">
          <cell r="A2169" t="str">
            <v/>
          </cell>
          <cell r="B2169" t="str">
            <v>Total  Creditos comerciales</v>
          </cell>
          <cell r="C2169">
            <v>-5158578357</v>
          </cell>
        </row>
        <row r="2170">
          <cell r="A2170" t="str">
            <v/>
          </cell>
          <cell r="B2170" t="str">
            <v>911010. Bienes y valores en garantia</v>
          </cell>
          <cell r="C2170">
            <v>0</v>
          </cell>
        </row>
        <row r="2171">
          <cell r="A2171" t="str">
            <v>911010001</v>
          </cell>
          <cell r="B2171" t="str">
            <v>911010001 TOTAL CREDITOS DE CONSUMO AYC</v>
          </cell>
          <cell r="C2171">
            <v>0</v>
          </cell>
        </row>
        <row r="2172">
          <cell r="A2172" t="str">
            <v>911010002</v>
          </cell>
          <cell r="B2172" t="str">
            <v>911010002 HIPOTECAS    AYC</v>
          </cell>
          <cell r="C2172">
            <v>-19762103534</v>
          </cell>
        </row>
        <row r="2173">
          <cell r="A2173" t="str">
            <v>911010003</v>
          </cell>
          <cell r="B2173" t="str">
            <v>911010003 OTROS   AYC</v>
          </cell>
          <cell r="C2173">
            <v>-308850000</v>
          </cell>
        </row>
        <row r="2174">
          <cell r="A2174" t="str">
            <v/>
          </cell>
          <cell r="B2174" t="str">
            <v>Total Bienes y valores en garantia</v>
          </cell>
          <cell r="C2174">
            <v>-20070953534</v>
          </cell>
        </row>
        <row r="2175">
          <cell r="A2175" t="str">
            <v/>
          </cell>
          <cell r="B2175" t="str">
            <v>Total Bienes y valores en garantia</v>
          </cell>
          <cell r="C2175">
            <v>-25229531891</v>
          </cell>
        </row>
        <row r="2176">
          <cell r="A2176" t="str">
            <v/>
          </cell>
          <cell r="B2176" t="str">
            <v>Total Acreedoras contingentes</v>
          </cell>
          <cell r="C2176">
            <v>-59865975434</v>
          </cell>
        </row>
        <row r="2177">
          <cell r="A2177" t="str">
            <v/>
          </cell>
          <cell r="B2177" t="str">
            <v>96. Acreedoras contingentes por contra</v>
          </cell>
          <cell r="C2177">
            <v>0</v>
          </cell>
        </row>
        <row r="2178">
          <cell r="A2178" t="str">
            <v/>
          </cell>
          <cell r="B2178" t="str">
            <v>9605. Acreedoras contingentes por contra</v>
          </cell>
          <cell r="C2178">
            <v>0</v>
          </cell>
        </row>
        <row r="2179">
          <cell r="A2179" t="str">
            <v/>
          </cell>
          <cell r="B2179" t="str">
            <v>960501. Comercial Garantia Admisible (DB)</v>
          </cell>
          <cell r="C2179">
            <v>0</v>
          </cell>
        </row>
        <row r="2180">
          <cell r="A2180" t="str">
            <v>960501001</v>
          </cell>
          <cell r="B2180" t="str">
            <v>960501001 ACREEDORES CONTINGENTES POR EL CONTRA AYC</v>
          </cell>
          <cell r="C2180">
            <v>0</v>
          </cell>
        </row>
        <row r="2181">
          <cell r="A2181" t="str">
            <v>960501002</v>
          </cell>
          <cell r="B2181" t="str">
            <v>960501002 CREDITOS APROBADOS NO DESEM AYC</v>
          </cell>
          <cell r="C2181">
            <v>1157574996</v>
          </cell>
        </row>
        <row r="2182">
          <cell r="A2182" t="str">
            <v>960501003</v>
          </cell>
          <cell r="B2182" t="str">
            <v>960501003 HIPOTECAS AYC</v>
          </cell>
          <cell r="C2182">
            <v>5158578356</v>
          </cell>
        </row>
        <row r="2183">
          <cell r="A2183" t="str">
            <v/>
          </cell>
          <cell r="B2183" t="str">
            <v>Total Comercial Garantia Admisible (DB)</v>
          </cell>
          <cell r="C2183">
            <v>6316153352</v>
          </cell>
        </row>
        <row r="2184">
          <cell r="A2184" t="str">
            <v/>
          </cell>
          <cell r="B2184" t="str">
            <v>960502. Consumo Garantia Admisible (DB)</v>
          </cell>
          <cell r="C2184">
            <v>0</v>
          </cell>
        </row>
        <row r="2185">
          <cell r="A2185" t="str">
            <v>960502001</v>
          </cell>
          <cell r="B2185" t="str">
            <v>960502001 PAGARES  AYC</v>
          </cell>
          <cell r="C2185">
            <v>0</v>
          </cell>
        </row>
        <row r="2186">
          <cell r="A2186" t="str">
            <v>960502002</v>
          </cell>
          <cell r="B2186" t="str">
            <v>960502002 HIPOTECAS  AYC</v>
          </cell>
          <cell r="C2186">
            <v>19762103534</v>
          </cell>
        </row>
        <row r="2187">
          <cell r="A2187" t="str">
            <v>960502003</v>
          </cell>
          <cell r="B2187" t="str">
            <v>960502003 OTROS   AYC</v>
          </cell>
          <cell r="C2187">
            <v>308850000</v>
          </cell>
        </row>
        <row r="2188">
          <cell r="A2188" t="str">
            <v/>
          </cell>
          <cell r="B2188" t="str">
            <v>Total Consumo Garantia Admisible (DB)</v>
          </cell>
          <cell r="C2188">
            <v>20070953534</v>
          </cell>
        </row>
        <row r="2189">
          <cell r="A2189" t="str">
            <v/>
          </cell>
          <cell r="B2189" t="str">
            <v>960503. Comercial Garantia No Admisible (DB)</v>
          </cell>
          <cell r="C2189">
            <v>0</v>
          </cell>
        </row>
        <row r="2190">
          <cell r="A2190" t="str">
            <v>960503001</v>
          </cell>
          <cell r="B2190" t="str">
            <v>960503001 PAGARES  AYC</v>
          </cell>
          <cell r="C2190">
            <v>6462717468</v>
          </cell>
        </row>
        <row r="2191">
          <cell r="A2191" t="str">
            <v>960503002</v>
          </cell>
          <cell r="B2191" t="str">
            <v>960503002 POSFECHADOS   AYC</v>
          </cell>
          <cell r="C2191">
            <v>10572332</v>
          </cell>
        </row>
        <row r="2192">
          <cell r="A2192" t="str">
            <v/>
          </cell>
          <cell r="B2192" t="str">
            <v>Total Comercial Garantia No Admisible (DB)</v>
          </cell>
          <cell r="C2192">
            <v>6473289800</v>
          </cell>
        </row>
        <row r="2193">
          <cell r="A2193" t="str">
            <v/>
          </cell>
          <cell r="B2193" t="str">
            <v>960504.  Consumo Gatantia No Admisible (DB)</v>
          </cell>
          <cell r="C2193">
            <v>0</v>
          </cell>
        </row>
        <row r="2194">
          <cell r="A2194" t="str">
            <v>960504001</v>
          </cell>
          <cell r="B2194" t="str">
            <v>960504001 PAGARES   AYC</v>
          </cell>
          <cell r="C2194">
            <v>26653068124</v>
          </cell>
        </row>
        <row r="2195">
          <cell r="A2195" t="str">
            <v>960504002</v>
          </cell>
          <cell r="B2195" t="str">
            <v>960504002 POSFECHADOS   AYC</v>
          </cell>
          <cell r="C2195">
            <v>352510624</v>
          </cell>
        </row>
        <row r="2196">
          <cell r="A2196" t="str">
            <v/>
          </cell>
          <cell r="B2196" t="str">
            <v>Total  Consumo Gatantia No Admisible (DB)</v>
          </cell>
          <cell r="C2196">
            <v>27005578748</v>
          </cell>
        </row>
        <row r="2197">
          <cell r="A2197" t="str">
            <v/>
          </cell>
          <cell r="B2197" t="str">
            <v>Total Acreedoras contingentes por contra</v>
          </cell>
          <cell r="C2197">
            <v>59865975434</v>
          </cell>
        </row>
        <row r="2198">
          <cell r="A2198" t="str">
            <v/>
          </cell>
          <cell r="B2198" t="str">
            <v>Total Acreedoras contingentes por contra</v>
          </cell>
          <cell r="C2198">
            <v>59865975434</v>
          </cell>
        </row>
        <row r="2199">
          <cell r="A2199" t="str">
            <v/>
          </cell>
          <cell r="B2199" t="str">
            <v>Total Cuentas de orden acreedoras</v>
          </cell>
          <cell r="C2199">
            <v>0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YG0003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CUENTAS"/>
      <sheetName val="CENTROS DE COSTOS"/>
      <sheetName val="UEN"/>
      <sheetName val="PROYECTOS"/>
      <sheetName val="Hoja1"/>
      <sheetName val="PROVISION"/>
    </sheetNames>
    <sheetDataSet>
      <sheetData sheetId="0"/>
      <sheetData sheetId="1">
        <row r="2">
          <cell r="A2">
            <v>100</v>
          </cell>
        </row>
        <row r="3">
          <cell r="A3">
            <v>101</v>
          </cell>
        </row>
        <row r="4">
          <cell r="A4">
            <v>200</v>
          </cell>
        </row>
        <row r="5">
          <cell r="A5">
            <v>300</v>
          </cell>
        </row>
        <row r="6">
          <cell r="A6">
            <v>310</v>
          </cell>
        </row>
        <row r="7">
          <cell r="A7">
            <v>320</v>
          </cell>
        </row>
        <row r="8">
          <cell r="A8">
            <v>330</v>
          </cell>
        </row>
        <row r="9">
          <cell r="A9">
            <v>400</v>
          </cell>
        </row>
        <row r="10">
          <cell r="A10">
            <v>500</v>
          </cell>
        </row>
        <row r="11">
          <cell r="A11">
            <v>520</v>
          </cell>
        </row>
        <row r="12">
          <cell r="A12">
            <v>521</v>
          </cell>
        </row>
        <row r="13">
          <cell r="A13">
            <v>530</v>
          </cell>
        </row>
        <row r="14">
          <cell r="A14">
            <v>540</v>
          </cell>
        </row>
        <row r="15">
          <cell r="A15">
            <v>541</v>
          </cell>
        </row>
        <row r="16">
          <cell r="A16">
            <v>600</v>
          </cell>
        </row>
        <row r="17">
          <cell r="A17">
            <v>610</v>
          </cell>
        </row>
        <row r="18">
          <cell r="A18">
            <v>620</v>
          </cell>
        </row>
        <row r="19">
          <cell r="A19">
            <v>630</v>
          </cell>
        </row>
        <row r="20">
          <cell r="A20">
            <v>700</v>
          </cell>
        </row>
        <row r="21">
          <cell r="A21">
            <v>710</v>
          </cell>
        </row>
        <row r="22">
          <cell r="A22">
            <v>711</v>
          </cell>
        </row>
        <row r="23">
          <cell r="A23">
            <v>720</v>
          </cell>
        </row>
        <row r="24">
          <cell r="A24">
            <v>730</v>
          </cell>
        </row>
        <row r="25">
          <cell r="A25">
            <v>800</v>
          </cell>
        </row>
        <row r="26">
          <cell r="A26">
            <v>900</v>
          </cell>
        </row>
        <row r="27">
          <cell r="A27">
            <v>1000</v>
          </cell>
        </row>
        <row r="28">
          <cell r="A28">
            <v>1010</v>
          </cell>
        </row>
        <row r="29">
          <cell r="A29">
            <v>1011</v>
          </cell>
        </row>
        <row r="30">
          <cell r="A30">
            <v>1012</v>
          </cell>
        </row>
        <row r="31">
          <cell r="A31">
            <v>1020</v>
          </cell>
        </row>
        <row r="32">
          <cell r="A32">
            <v>1100</v>
          </cell>
        </row>
        <row r="33">
          <cell r="A33">
            <v>1110</v>
          </cell>
        </row>
        <row r="34">
          <cell r="A34">
            <v>1120</v>
          </cell>
        </row>
        <row r="35">
          <cell r="A35">
            <v>1130</v>
          </cell>
        </row>
        <row r="36">
          <cell r="A36">
            <v>1140</v>
          </cell>
        </row>
        <row r="37">
          <cell r="A37">
            <v>1150</v>
          </cell>
        </row>
        <row r="38">
          <cell r="A38">
            <v>1200</v>
          </cell>
        </row>
        <row r="39">
          <cell r="A39">
            <v>1210</v>
          </cell>
        </row>
        <row r="40">
          <cell r="A40">
            <v>1211</v>
          </cell>
        </row>
        <row r="41">
          <cell r="A41">
            <v>1212</v>
          </cell>
        </row>
        <row r="42">
          <cell r="A42">
            <v>1213</v>
          </cell>
        </row>
        <row r="43">
          <cell r="A43">
            <v>1220</v>
          </cell>
        </row>
        <row r="44">
          <cell r="A44">
            <v>1221</v>
          </cell>
        </row>
        <row r="45">
          <cell r="A45">
            <v>1222</v>
          </cell>
        </row>
        <row r="46">
          <cell r="A46">
            <v>1230</v>
          </cell>
        </row>
        <row r="47">
          <cell r="A47">
            <v>1240</v>
          </cell>
        </row>
        <row r="48">
          <cell r="A48">
            <v>1250</v>
          </cell>
        </row>
        <row r="49">
          <cell r="A49">
            <v>1300</v>
          </cell>
        </row>
        <row r="50">
          <cell r="A50">
            <v>1310</v>
          </cell>
        </row>
        <row r="51">
          <cell r="A51">
            <v>1320</v>
          </cell>
        </row>
        <row r="52">
          <cell r="A52">
            <v>1330</v>
          </cell>
        </row>
        <row r="53">
          <cell r="A53">
            <v>1400</v>
          </cell>
        </row>
        <row r="54">
          <cell r="A54">
            <v>1410</v>
          </cell>
        </row>
        <row r="55">
          <cell r="A55">
            <v>1420</v>
          </cell>
        </row>
        <row r="56">
          <cell r="A56">
            <v>1500</v>
          </cell>
        </row>
      </sheetData>
      <sheetData sheetId="2"/>
      <sheetData sheetId="3"/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mar98"/>
      <sheetName val="abr-24-98"/>
      <sheetName val="MAY-98"/>
      <sheetName val="JUN-98"/>
      <sheetName val="JUL-15-98"/>
      <sheetName val="JUL-30-98 "/>
      <sheetName val="ago-24"/>
      <sheetName val="sep-16"/>
      <sheetName val="sep-30"/>
      <sheetName val="oct-15"/>
      <sheetName val="oct-31"/>
      <sheetName val="NOV-17"/>
      <sheetName val="NOV-17 (2)"/>
      <sheetName val="Inver-sep"/>
      <sheetName val="Hoja1"/>
      <sheetName val="DIC-23"/>
      <sheetName val="DIC-31"/>
      <sheetName val="RESUMEN"/>
      <sheetName val="DIC-31 (2)"/>
      <sheetName val="Hoja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2">
          <cell r="A2">
            <v>1101</v>
          </cell>
          <cell r="B2" t="str">
            <v>CONSEJO DIRECTIVO</v>
          </cell>
        </row>
        <row r="3">
          <cell r="A3">
            <v>1201</v>
          </cell>
          <cell r="B3" t="str">
            <v>PRESIDENCIA</v>
          </cell>
        </row>
        <row r="4">
          <cell r="A4">
            <v>1202</v>
          </cell>
          <cell r="B4" t="str">
            <v>AUDITORIA INTERNA</v>
          </cell>
        </row>
        <row r="5">
          <cell r="A5">
            <v>1300</v>
          </cell>
          <cell r="B5" t="str">
            <v>VICEPRESIDENCIA DE NEGOCIOS</v>
          </cell>
        </row>
        <row r="6">
          <cell r="A6">
            <v>130101</v>
          </cell>
          <cell r="B6" t="str">
            <v>GERENCIA DE OPERACIONES</v>
          </cell>
        </row>
        <row r="7">
          <cell r="A7">
            <v>130102</v>
          </cell>
          <cell r="B7" t="str">
            <v>CUMPLIMIENTO Y TRASPASOS</v>
          </cell>
        </row>
        <row r="8">
          <cell r="A8">
            <v>130103</v>
          </cell>
          <cell r="B8" t="str">
            <v>OFICIAL DE GARANTIAS</v>
          </cell>
        </row>
        <row r="9">
          <cell r="A9">
            <v>130104</v>
          </cell>
          <cell r="B9" t="str">
            <v>OFICIAL DE COMPENSACION</v>
          </cell>
        </row>
        <row r="10">
          <cell r="A10">
            <v>130105</v>
          </cell>
          <cell r="B10" t="str">
            <v>C.A.C. Y RUEDA DE NEGOCIACION</v>
          </cell>
        </row>
        <row r="11">
          <cell r="A11">
            <v>130106</v>
          </cell>
          <cell r="B11" t="str">
            <v>OFICINA MEDELLIN</v>
          </cell>
        </row>
        <row r="12">
          <cell r="A12">
            <v>130107</v>
          </cell>
          <cell r="B12" t="str">
            <v>OFICINA NORTE</v>
          </cell>
        </row>
        <row r="13">
          <cell r="A13">
            <v>130201</v>
          </cell>
          <cell r="B13" t="str">
            <v>RELACIONES EXTERNAS</v>
          </cell>
        </row>
        <row r="14">
          <cell r="A14">
            <v>130202</v>
          </cell>
          <cell r="B14" t="str">
            <v>BIBLIOTECA</v>
          </cell>
        </row>
        <row r="15">
          <cell r="A15">
            <v>130301</v>
          </cell>
          <cell r="B15" t="str">
            <v>GERENCIA TECNICA</v>
          </cell>
        </row>
        <row r="16">
          <cell r="A16">
            <v>130302</v>
          </cell>
          <cell r="B16" t="str">
            <v>ANALISIS ECONOMICO</v>
          </cell>
        </row>
        <row r="17">
          <cell r="A17">
            <v>130303</v>
          </cell>
          <cell r="B17" t="str">
            <v>DESARROLO Y ANALISIS DE PRODUCTOS</v>
          </cell>
        </row>
        <row r="18">
          <cell r="A18">
            <v>130304</v>
          </cell>
          <cell r="B18" t="str">
            <v>INFORMACION</v>
          </cell>
        </row>
        <row r="19">
          <cell r="A19">
            <v>130401</v>
          </cell>
          <cell r="B19" t="str">
            <v>GERENCIA DESARROLLO DEL MERCADO</v>
          </cell>
        </row>
        <row r="20">
          <cell r="A20" t="str">
            <v>140000</v>
          </cell>
          <cell r="B20" t="str">
            <v>VICEP FINANCIERA Y ADMINISTRATIVA</v>
          </cell>
        </row>
        <row r="21">
          <cell r="A21">
            <v>140101</v>
          </cell>
          <cell r="B21" t="str">
            <v>DIRECCION DE SISTEMAS</v>
          </cell>
        </row>
        <row r="22">
          <cell r="A22">
            <v>140102</v>
          </cell>
          <cell r="B22" t="str">
            <v>SISTEMAS</v>
          </cell>
        </row>
        <row r="23">
          <cell r="A23">
            <v>140103</v>
          </cell>
          <cell r="B23" t="str">
            <v>COORDINACION DESARROLLO</v>
          </cell>
        </row>
        <row r="24">
          <cell r="A24">
            <v>140201</v>
          </cell>
          <cell r="B24" t="str">
            <v>DIRECCION COMERCIAL</v>
          </cell>
        </row>
        <row r="25">
          <cell r="A25">
            <v>140202</v>
          </cell>
          <cell r="B25" t="str">
            <v>COORDINADORA COMERCIAL</v>
          </cell>
        </row>
        <row r="26">
          <cell r="A26">
            <v>140203</v>
          </cell>
          <cell r="B26" t="str">
            <v>ASISTENTE COMERCIAL</v>
          </cell>
        </row>
        <row r="27">
          <cell r="A27">
            <v>140301</v>
          </cell>
          <cell r="B27" t="str">
            <v>DIVISION DE CONTABILIDAD</v>
          </cell>
        </row>
        <row r="28">
          <cell r="A28">
            <v>140302</v>
          </cell>
          <cell r="B28" t="str">
            <v>DIVISION PRESUPUESTO Y TESORERIA</v>
          </cell>
        </row>
        <row r="29">
          <cell r="A29">
            <v>140401</v>
          </cell>
          <cell r="B29" t="str">
            <v>DIRECCION SERVICIOS ADMINISTRATIVOS</v>
          </cell>
        </row>
        <row r="30">
          <cell r="A30">
            <v>140402</v>
          </cell>
          <cell r="B30" t="str">
            <v>CORRESPONDENCIA</v>
          </cell>
        </row>
        <row r="31">
          <cell r="A31">
            <v>140403</v>
          </cell>
          <cell r="B31" t="str">
            <v>PUBLICACIONES</v>
          </cell>
        </row>
        <row r="32">
          <cell r="A32">
            <v>140404</v>
          </cell>
          <cell r="B32" t="str">
            <v>ARCHIVO Y ALMACEN</v>
          </cell>
        </row>
        <row r="33">
          <cell r="A33">
            <v>140405</v>
          </cell>
          <cell r="B33" t="str">
            <v>MANTENIMIENTO</v>
          </cell>
        </row>
        <row r="34">
          <cell r="A34">
            <v>140406</v>
          </cell>
          <cell r="B34" t="str">
            <v>ASEO Y CAFETERIA</v>
          </cell>
        </row>
        <row r="35">
          <cell r="A35">
            <v>140407</v>
          </cell>
          <cell r="B35" t="str">
            <v>CONMUTADOR</v>
          </cell>
        </row>
        <row r="36">
          <cell r="A36">
            <v>140501</v>
          </cell>
          <cell r="B36" t="str">
            <v>DIRECCION DE RECURSOS HUMANOS</v>
          </cell>
        </row>
        <row r="37">
          <cell r="A37">
            <v>140502</v>
          </cell>
          <cell r="B37" t="str">
            <v>COORDINACION DESARROLLO HUMANO</v>
          </cell>
        </row>
        <row r="38">
          <cell r="A38">
            <v>140503</v>
          </cell>
          <cell r="B38" t="str">
            <v>COORDINACION DE NOMINA</v>
          </cell>
        </row>
        <row r="39">
          <cell r="A39" t="str">
            <v>1500</v>
          </cell>
          <cell r="B39" t="str">
            <v>VICEPR. JURIDICA Y SECRETARIA GENERAL</v>
          </cell>
        </row>
        <row r="40">
          <cell r="A40" t="str">
            <v>150101</v>
          </cell>
          <cell r="B40" t="str">
            <v>DIRECCION JURIDICA</v>
          </cell>
        </row>
        <row r="41">
          <cell r="A41" t="str">
            <v>1502</v>
          </cell>
          <cell r="B41" t="str">
            <v>DIRECCION DE SEGUIMIENTO</v>
          </cell>
        </row>
        <row r="42">
          <cell r="A42" t="str">
            <v>150201</v>
          </cell>
          <cell r="B42" t="str">
            <v>SUBDIRECCION DE OPERACION Y ANALISIS FIN</v>
          </cell>
        </row>
        <row r="43">
          <cell r="A43" t="str">
            <v>150202</v>
          </cell>
          <cell r="B43" t="str">
            <v>COORDINACION DE INSPECCION</v>
          </cell>
        </row>
        <row r="44">
          <cell r="A44" t="str">
            <v>1601</v>
          </cell>
          <cell r="B44" t="str">
            <v>ENLACE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mar98"/>
      <sheetName val="abr-24-98"/>
      <sheetName val="MAY-98"/>
      <sheetName val="JUN-98"/>
      <sheetName val="JUL-15-98"/>
      <sheetName val="JUL-30-98 "/>
      <sheetName val="ago-24"/>
      <sheetName val="sep-16"/>
      <sheetName val="sep-30"/>
      <sheetName val="oct-15"/>
      <sheetName val="oct-31"/>
      <sheetName val="NOV-17"/>
      <sheetName val="NOV-17 (2)"/>
      <sheetName val="Inver-sep"/>
      <sheetName val="Hoja1"/>
      <sheetName val="DIC-23"/>
      <sheetName val="DIC-31"/>
      <sheetName val="RESUMEN"/>
      <sheetName val="DIC-31 (2)"/>
      <sheetName val="Hoja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2">
          <cell r="A2">
            <v>1101</v>
          </cell>
          <cell r="B2" t="str">
            <v>CONSEJO DIRECTIVO</v>
          </cell>
        </row>
        <row r="3">
          <cell r="A3">
            <v>1201</v>
          </cell>
          <cell r="B3" t="str">
            <v>PRESIDENCIA</v>
          </cell>
        </row>
        <row r="4">
          <cell r="A4">
            <v>1202</v>
          </cell>
          <cell r="B4" t="str">
            <v>AUDITORIA INTERNA</v>
          </cell>
        </row>
        <row r="5">
          <cell r="A5">
            <v>1300</v>
          </cell>
          <cell r="B5" t="str">
            <v>VICEPRESIDENCIA DE NEGOCIOS</v>
          </cell>
        </row>
        <row r="6">
          <cell r="A6">
            <v>130101</v>
          </cell>
          <cell r="B6" t="str">
            <v>GERENCIA DE OPERACIONES</v>
          </cell>
        </row>
        <row r="7">
          <cell r="A7">
            <v>130102</v>
          </cell>
          <cell r="B7" t="str">
            <v>CUMPLIMIENTO Y TRASPASOS</v>
          </cell>
        </row>
        <row r="8">
          <cell r="A8">
            <v>130103</v>
          </cell>
          <cell r="B8" t="str">
            <v>OFICIAL DE GARANTIAS</v>
          </cell>
        </row>
        <row r="9">
          <cell r="A9">
            <v>130104</v>
          </cell>
          <cell r="B9" t="str">
            <v>OFICIAL DE COMPENSACION</v>
          </cell>
        </row>
        <row r="10">
          <cell r="A10">
            <v>130105</v>
          </cell>
          <cell r="B10" t="str">
            <v>C.A.C. Y RUEDA DE NEGOCIACION</v>
          </cell>
        </row>
        <row r="11">
          <cell r="A11">
            <v>130106</v>
          </cell>
          <cell r="B11" t="str">
            <v>OFICINA MEDELLIN</v>
          </cell>
        </row>
        <row r="12">
          <cell r="A12">
            <v>130107</v>
          </cell>
          <cell r="B12" t="str">
            <v>OFICINA NORTE</v>
          </cell>
        </row>
        <row r="13">
          <cell r="A13">
            <v>130201</v>
          </cell>
          <cell r="B13" t="str">
            <v>RELACIONES EXTERNAS</v>
          </cell>
        </row>
        <row r="14">
          <cell r="A14">
            <v>130202</v>
          </cell>
          <cell r="B14" t="str">
            <v>BIBLIOTECA</v>
          </cell>
        </row>
        <row r="15">
          <cell r="A15">
            <v>130301</v>
          </cell>
          <cell r="B15" t="str">
            <v>GERENCIA TECNICA</v>
          </cell>
        </row>
        <row r="16">
          <cell r="A16">
            <v>130302</v>
          </cell>
          <cell r="B16" t="str">
            <v>ANALISIS ECONOMICO</v>
          </cell>
        </row>
        <row r="17">
          <cell r="A17">
            <v>130303</v>
          </cell>
          <cell r="B17" t="str">
            <v>DESARROLO Y ANALISIS DE PRODUCTOS</v>
          </cell>
        </row>
        <row r="18">
          <cell r="A18">
            <v>130304</v>
          </cell>
          <cell r="B18" t="str">
            <v>INFORMACION</v>
          </cell>
        </row>
        <row r="19">
          <cell r="A19">
            <v>130401</v>
          </cell>
          <cell r="B19" t="str">
            <v>GERENCIA DESARROLLO DEL MERCADO</v>
          </cell>
        </row>
        <row r="20">
          <cell r="A20" t="str">
            <v>140000</v>
          </cell>
          <cell r="B20" t="str">
            <v>VICEP FINANCIERA Y ADMINISTRATIVA</v>
          </cell>
        </row>
        <row r="21">
          <cell r="A21">
            <v>140101</v>
          </cell>
          <cell r="B21" t="str">
            <v>DIRECCION DE SISTEMAS</v>
          </cell>
        </row>
        <row r="22">
          <cell r="A22">
            <v>140102</v>
          </cell>
          <cell r="B22" t="str">
            <v>SISTEMAS</v>
          </cell>
        </row>
        <row r="23">
          <cell r="A23">
            <v>140103</v>
          </cell>
          <cell r="B23" t="str">
            <v>COORDINACION DESARROLLO</v>
          </cell>
        </row>
        <row r="24">
          <cell r="A24">
            <v>140201</v>
          </cell>
          <cell r="B24" t="str">
            <v>DIRECCION COMERCIAL</v>
          </cell>
        </row>
        <row r="25">
          <cell r="A25">
            <v>140202</v>
          </cell>
          <cell r="B25" t="str">
            <v>COORDINADORA COMERCIAL</v>
          </cell>
        </row>
        <row r="26">
          <cell r="A26">
            <v>140203</v>
          </cell>
          <cell r="B26" t="str">
            <v>ASISTENTE COMERCIAL</v>
          </cell>
        </row>
        <row r="27">
          <cell r="A27">
            <v>140301</v>
          </cell>
          <cell r="B27" t="str">
            <v>DIVISION DE CONTABILIDAD</v>
          </cell>
        </row>
        <row r="28">
          <cell r="A28">
            <v>140302</v>
          </cell>
          <cell r="B28" t="str">
            <v>DIVISION PRESUPUESTO Y TESORERIA</v>
          </cell>
        </row>
        <row r="29">
          <cell r="A29">
            <v>140401</v>
          </cell>
          <cell r="B29" t="str">
            <v>DIRECCION SERVICIOS ADMINISTRATIVOS</v>
          </cell>
        </row>
        <row r="30">
          <cell r="A30">
            <v>140402</v>
          </cell>
          <cell r="B30" t="str">
            <v>CORRESPONDENCIA</v>
          </cell>
        </row>
        <row r="31">
          <cell r="A31">
            <v>140403</v>
          </cell>
          <cell r="B31" t="str">
            <v>PUBLICACIONES</v>
          </cell>
        </row>
        <row r="32">
          <cell r="A32">
            <v>140404</v>
          </cell>
          <cell r="B32" t="str">
            <v>ARCHIVO Y ALMACEN</v>
          </cell>
        </row>
        <row r="33">
          <cell r="A33">
            <v>140405</v>
          </cell>
          <cell r="B33" t="str">
            <v>MANTENIMIENTO</v>
          </cell>
        </row>
        <row r="34">
          <cell r="A34">
            <v>140406</v>
          </cell>
          <cell r="B34" t="str">
            <v>ASEO Y CAFETERIA</v>
          </cell>
        </row>
        <row r="35">
          <cell r="A35">
            <v>140407</v>
          </cell>
          <cell r="B35" t="str">
            <v>CONMUTADOR</v>
          </cell>
        </row>
        <row r="36">
          <cell r="A36">
            <v>140501</v>
          </cell>
          <cell r="B36" t="str">
            <v>DIRECCION DE RECURSOS HUMANOS</v>
          </cell>
        </row>
        <row r="37">
          <cell r="A37">
            <v>140502</v>
          </cell>
          <cell r="B37" t="str">
            <v>COORDINACION DESARROLLO HUMANO</v>
          </cell>
        </row>
        <row r="38">
          <cell r="A38">
            <v>140503</v>
          </cell>
          <cell r="B38" t="str">
            <v>COORDINACION DE NOMINA</v>
          </cell>
        </row>
        <row r="39">
          <cell r="A39" t="str">
            <v>1500</v>
          </cell>
          <cell r="B39" t="str">
            <v>VICEPR. JURIDICA Y SECRETARIA GENERAL</v>
          </cell>
        </row>
        <row r="40">
          <cell r="A40" t="str">
            <v>150101</v>
          </cell>
          <cell r="B40" t="str">
            <v>DIRECCION JURIDICA</v>
          </cell>
        </row>
        <row r="41">
          <cell r="A41" t="str">
            <v>1502</v>
          </cell>
          <cell r="B41" t="str">
            <v>DIRECCION DE SEGUIMIENTO</v>
          </cell>
        </row>
        <row r="42">
          <cell r="A42" t="str">
            <v>150201</v>
          </cell>
          <cell r="B42" t="str">
            <v>SUBDIRECCION DE OPERACION Y ANALISIS FIN</v>
          </cell>
        </row>
        <row r="43">
          <cell r="A43" t="str">
            <v>150202</v>
          </cell>
          <cell r="B43" t="str">
            <v>COORDINACION DE INSPECCION</v>
          </cell>
        </row>
        <row r="44">
          <cell r="A44" t="str">
            <v>1601</v>
          </cell>
          <cell r="B44" t="str">
            <v>ENLACE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CUENTAS"/>
      <sheetName val="CENTROS DE COSTOS"/>
      <sheetName val="UEN"/>
      <sheetName val="PROYECTOS"/>
      <sheetName val="Hoja1"/>
      <sheetName val="PROVISION"/>
    </sheetNames>
    <sheetDataSet>
      <sheetData sheetId="0" refreshError="1">
        <row r="2">
          <cell r="A2" t="str">
            <v>26</v>
          </cell>
          <cell r="B2" t="str">
            <v xml:space="preserve">	PASIVOS ESTIM Y PROVISIONES</v>
          </cell>
        </row>
        <row r="3">
          <cell r="A3" t="str">
            <v>2605</v>
          </cell>
          <cell r="B3" t="str">
            <v xml:space="preserve">PARA GASTOS                   </v>
          </cell>
        </row>
        <row r="4">
          <cell r="A4" t="str">
            <v>260505</v>
          </cell>
          <cell r="B4" t="str">
            <v>HONORARIOS</v>
          </cell>
        </row>
        <row r="5">
          <cell r="A5" t="str">
            <v>26050500</v>
          </cell>
          <cell r="B5" t="str">
            <v>HONORARIOS</v>
          </cell>
        </row>
        <row r="6">
          <cell r="A6" t="str">
            <v>260515</v>
          </cell>
          <cell r="B6" t="str">
            <v>CONTRIBUCIONES Y AFILIACIONES</v>
          </cell>
        </row>
        <row r="7">
          <cell r="A7" t="str">
            <v>26051500</v>
          </cell>
          <cell r="B7" t="str">
            <v>CONTRIBUCIONES Y AFILIACIONES</v>
          </cell>
        </row>
        <row r="8">
          <cell r="A8" t="str">
            <v>260520</v>
          </cell>
          <cell r="B8" t="str">
            <v>SEGUROS</v>
          </cell>
        </row>
        <row r="9">
          <cell r="A9" t="str">
            <v>26052001</v>
          </cell>
          <cell r="B9" t="str">
            <v>INCENDIO MANEJO Y TERREMOTO</v>
          </cell>
        </row>
        <row r="10">
          <cell r="A10" t="str">
            <v>26052003</v>
          </cell>
          <cell r="B10" t="str">
            <v>CORRIENTE DEBIL EQUIPO ELECTRO</v>
          </cell>
        </row>
        <row r="11">
          <cell r="A11" t="str">
            <v>26052006</v>
          </cell>
          <cell r="B11" t="str">
            <v>SEGURO DE RESPONSABILIDAD CIVI</v>
          </cell>
        </row>
        <row r="12">
          <cell r="A12" t="str">
            <v>26052007</v>
          </cell>
          <cell r="B12" t="str">
            <v>RIESGOS FINANCIEROS INFIDELIDA</v>
          </cell>
        </row>
        <row r="13">
          <cell r="A13" t="str">
            <v>260525</v>
          </cell>
          <cell r="B13" t="str">
            <v>SERVICIOS</v>
          </cell>
        </row>
        <row r="14">
          <cell r="A14" t="str">
            <v>26052500</v>
          </cell>
          <cell r="B14" t="str">
            <v>SERVICIOS</v>
          </cell>
        </row>
        <row r="15">
          <cell r="A15" t="str">
            <v>260535</v>
          </cell>
          <cell r="B15" t="str">
            <v>MANTENIMIENTO Y REPARACIONES</v>
          </cell>
        </row>
        <row r="16">
          <cell r="A16" t="str">
            <v>26053500</v>
          </cell>
          <cell r="B16" t="str">
            <v>MANTENIMIENTO Y REPARACIONES</v>
          </cell>
        </row>
        <row r="17">
          <cell r="A17" t="str">
            <v>260595</v>
          </cell>
          <cell r="B17" t="str">
            <v>OTROS</v>
          </cell>
        </row>
        <row r="18">
          <cell r="A18" t="str">
            <v>26059501</v>
          </cell>
          <cell r="B18" t="str">
            <v>UTILES</v>
          </cell>
        </row>
        <row r="19">
          <cell r="A19" t="str">
            <v>26059502</v>
          </cell>
          <cell r="B19" t="str">
            <v>PAPELERIA</v>
          </cell>
        </row>
        <row r="20">
          <cell r="A20" t="str">
            <v>26059503</v>
          </cell>
          <cell r="B20" t="str">
            <v>FOTOCOPIAS</v>
          </cell>
        </row>
        <row r="21">
          <cell r="A21" t="str">
            <v>26059510</v>
          </cell>
          <cell r="B21" t="str">
            <v>DIVULGACION Y PUBLICIDAD</v>
          </cell>
        </row>
        <row r="22">
          <cell r="A22" t="str">
            <v>26059513</v>
          </cell>
          <cell r="B22" t="str">
            <v>PROPAGANDA</v>
          </cell>
        </row>
        <row r="23">
          <cell r="A23" t="str">
            <v>26059514</v>
          </cell>
          <cell r="B23" t="str">
            <v>CONCURSO PORTAFOLIO</v>
          </cell>
        </row>
        <row r="24">
          <cell r="A24" t="str">
            <v>26059515</v>
          </cell>
          <cell r="B24" t="str">
            <v>SEMINARIOS Y SIMPOSIOS</v>
          </cell>
        </row>
        <row r="25">
          <cell r="A25" t="str">
            <v>26059517</v>
          </cell>
          <cell r="B25" t="str">
            <v>CONGRESO NAL MERCADO DE CAPITA</v>
          </cell>
        </row>
        <row r="26">
          <cell r="A26" t="str">
            <v>26059521</v>
          </cell>
          <cell r="B26" t="str">
            <v>HORAS EXTRAS</v>
          </cell>
        </row>
        <row r="27">
          <cell r="A27" t="str">
            <v>26059522</v>
          </cell>
          <cell r="B27" t="str">
            <v>SALARIO INTEGRAL</v>
          </cell>
        </row>
        <row r="28">
          <cell r="A28" t="str">
            <v>26059523</v>
          </cell>
          <cell r="B28" t="str">
            <v>ACTIVIDADES RECREATIVAS</v>
          </cell>
        </row>
        <row r="29">
          <cell r="A29" t="str">
            <v>26059524</v>
          </cell>
          <cell r="B29" t="str">
            <v>SEGURIDAD SOCIAL</v>
          </cell>
        </row>
        <row r="30">
          <cell r="A30" t="str">
            <v>26059525</v>
          </cell>
          <cell r="B30" t="str">
            <v>INDEMNIZACIONES</v>
          </cell>
        </row>
        <row r="31">
          <cell r="A31" t="str">
            <v>26059526</v>
          </cell>
          <cell r="B31" t="str">
            <v>SUELDOS</v>
          </cell>
        </row>
        <row r="32">
          <cell r="A32" t="str">
            <v>26059527</v>
          </cell>
          <cell r="B32" t="str">
            <v>BONIFICACIONES</v>
          </cell>
        </row>
        <row r="33">
          <cell r="A33" t="str">
            <v>26059528</v>
          </cell>
          <cell r="B33" t="str">
            <v>SEMINARIOS</v>
          </cell>
        </row>
        <row r="34">
          <cell r="A34" t="str">
            <v>26059529</v>
          </cell>
          <cell r="B34" t="str">
            <v>MONETIZACION SENA</v>
          </cell>
        </row>
        <row r="35">
          <cell r="A35" t="str">
            <v>26059540</v>
          </cell>
          <cell r="B35" t="str">
            <v>APORTES BID</v>
          </cell>
        </row>
        <row r="36">
          <cell r="A36" t="str">
            <v>26059560</v>
          </cell>
          <cell r="B36" t="str">
            <v>RELACIONES PUBLICAS</v>
          </cell>
        </row>
        <row r="37">
          <cell r="A37" t="str">
            <v>26059561</v>
          </cell>
          <cell r="B37" t="str">
            <v>ATENCIONES COMISIONISTAS</v>
          </cell>
        </row>
        <row r="38">
          <cell r="A38" t="str">
            <v>26059562</v>
          </cell>
          <cell r="B38" t="str">
            <v>ATENCIONES TARJETAS DE CREDITO</v>
          </cell>
        </row>
        <row r="39">
          <cell r="A39" t="str">
            <v>26059563</v>
          </cell>
          <cell r="B39" t="str">
            <v>OTRAS ATENCIONES</v>
          </cell>
        </row>
        <row r="40">
          <cell r="A40" t="str">
            <v>26059564</v>
          </cell>
          <cell r="B40" t="str">
            <v>ATENCIONES EN CLUBES</v>
          </cell>
        </row>
        <row r="41">
          <cell r="A41" t="str">
            <v>26059570</v>
          </cell>
          <cell r="B41" t="str">
            <v>GASTOS DE VIAJE</v>
          </cell>
        </row>
        <row r="42">
          <cell r="A42" t="str">
            <v>26059599</v>
          </cell>
          <cell r="B42" t="str">
            <v>OPEX PROYECTOS</v>
          </cell>
        </row>
        <row r="43">
          <cell r="A43" t="str">
            <v>2610</v>
          </cell>
          <cell r="B43" t="str">
            <v xml:space="preserve">PARA OBLIGACIONES LABORALES   </v>
          </cell>
        </row>
        <row r="44">
          <cell r="A44" t="str">
            <v>261005</v>
          </cell>
          <cell r="B44" t="str">
            <v>CESANTIAS</v>
          </cell>
        </row>
        <row r="45">
          <cell r="A45" t="str">
            <v>26100501</v>
          </cell>
          <cell r="B45" t="str">
            <v>PROVISION</v>
          </cell>
        </row>
        <row r="46">
          <cell r="A46" t="str">
            <v>26100502</v>
          </cell>
          <cell r="B46" t="str">
            <v>PAGOS PARCIALES</v>
          </cell>
        </row>
        <row r="47">
          <cell r="A47" t="str">
            <v>26100503</v>
          </cell>
          <cell r="B47" t="str">
            <v>PAGOS DEFINITIVOS</v>
          </cell>
        </row>
        <row r="48">
          <cell r="A48" t="str">
            <v>261010</v>
          </cell>
          <cell r="B48" t="str">
            <v>INTERESES SOBRE CESANTIAS</v>
          </cell>
        </row>
        <row r="49">
          <cell r="A49" t="str">
            <v>26101001</v>
          </cell>
          <cell r="B49" t="str">
            <v>PROVISION</v>
          </cell>
        </row>
        <row r="50">
          <cell r="A50" t="str">
            <v>26101002</v>
          </cell>
          <cell r="B50" t="str">
            <v>PAGOS</v>
          </cell>
        </row>
        <row r="51">
          <cell r="A51" t="str">
            <v>261015</v>
          </cell>
          <cell r="B51" t="str">
            <v>VACACIONES</v>
          </cell>
        </row>
        <row r="52">
          <cell r="A52" t="str">
            <v>26101501</v>
          </cell>
          <cell r="B52" t="str">
            <v>PROVISION</v>
          </cell>
        </row>
        <row r="53">
          <cell r="A53" t="str">
            <v>26101502</v>
          </cell>
          <cell r="B53" t="str">
            <v>PAGOS</v>
          </cell>
        </row>
        <row r="54">
          <cell r="A54" t="str">
            <v>261020</v>
          </cell>
          <cell r="B54" t="str">
            <v>PRIMA DE SERVICIOS</v>
          </cell>
        </row>
        <row r="55">
          <cell r="A55" t="str">
            <v>26102001</v>
          </cell>
          <cell r="B55" t="str">
            <v>PROVISION</v>
          </cell>
        </row>
        <row r="56">
          <cell r="A56" t="str">
            <v>26102002</v>
          </cell>
          <cell r="B56" t="str">
            <v>PAGOS</v>
          </cell>
        </row>
        <row r="57">
          <cell r="A57" t="str">
            <v>261025</v>
          </cell>
          <cell r="B57" t="str">
            <v>PRESTACIONES EXTRALEGALES</v>
          </cell>
        </row>
        <row r="58">
          <cell r="A58" t="str">
            <v>26102511</v>
          </cell>
          <cell r="B58" t="str">
            <v>PROVISION</v>
          </cell>
        </row>
        <row r="59">
          <cell r="A59" t="str">
            <v>26102512</v>
          </cell>
          <cell r="B59" t="str">
            <v>PAGOS</v>
          </cell>
        </row>
        <row r="60">
          <cell r="A60" t="str">
            <v>26102521</v>
          </cell>
          <cell r="B60" t="str">
            <v>PROVISION</v>
          </cell>
        </row>
        <row r="61">
          <cell r="A61" t="str">
            <v>26102522</v>
          </cell>
          <cell r="B61" t="str">
            <v>PAGOS</v>
          </cell>
        </row>
        <row r="62">
          <cell r="A62" t="str">
            <v>26102531</v>
          </cell>
          <cell r="B62" t="str">
            <v>PROVISION</v>
          </cell>
        </row>
        <row r="63">
          <cell r="A63" t="str">
            <v>26102532</v>
          </cell>
          <cell r="B63" t="str">
            <v>PAGOS</v>
          </cell>
        </row>
        <row r="64">
          <cell r="A64" t="str">
            <v>26102533</v>
          </cell>
          <cell r="B64" t="str">
            <v>PROVISIO COMPENSACION VARIABLE</v>
          </cell>
        </row>
        <row r="65">
          <cell r="A65" t="str">
            <v>26102541</v>
          </cell>
          <cell r="B65" t="str">
            <v>PROVISION</v>
          </cell>
        </row>
        <row r="66">
          <cell r="A66" t="str">
            <v>26102542</v>
          </cell>
          <cell r="B66" t="str">
            <v>PAGOS</v>
          </cell>
        </row>
        <row r="67">
          <cell r="A67" t="str">
            <v>261095</v>
          </cell>
          <cell r="B67" t="str">
            <v>OTRAS</v>
          </cell>
        </row>
        <row r="68">
          <cell r="A68" t="str">
            <v>26109501</v>
          </cell>
          <cell r="B68" t="str">
            <v>APORTES EPS</v>
          </cell>
        </row>
        <row r="69">
          <cell r="A69" t="str">
            <v>26109502</v>
          </cell>
          <cell r="B69" t="str">
            <v>APORTES PENSION</v>
          </cell>
        </row>
        <row r="70">
          <cell r="A70" t="str">
            <v>26109503</v>
          </cell>
          <cell r="B70" t="str">
            <v>APORTES SOLIDARIDAD Y LEY 797</v>
          </cell>
        </row>
        <row r="71">
          <cell r="A71" t="str">
            <v>26109504</v>
          </cell>
          <cell r="B71" t="str">
            <v>APORTES VOLUNTARIOS</v>
          </cell>
        </row>
        <row r="72">
          <cell r="A72" t="str">
            <v>26109505</v>
          </cell>
          <cell r="B72" t="str">
            <v>APORTES ARP</v>
          </cell>
        </row>
        <row r="73">
          <cell r="A73" t="str">
            <v>2615</v>
          </cell>
          <cell r="B73" t="str">
            <v xml:space="preserve">PARA OBLIGACIONES FISCALES    </v>
          </cell>
        </row>
        <row r="74">
          <cell r="A74" t="str">
            <v>261505</v>
          </cell>
          <cell r="B74" t="str">
            <v>DE RENTA Y COMPLEMENTARIOS</v>
          </cell>
        </row>
        <row r="75">
          <cell r="A75" t="str">
            <v>26150501</v>
          </cell>
          <cell r="B75" t="str">
            <v>PRESENTE AÑO</v>
          </cell>
        </row>
        <row r="76">
          <cell r="A76" t="str">
            <v>261510</v>
          </cell>
          <cell r="B76" t="str">
            <v>DE INDUSTRIA Y COMERCIO</v>
          </cell>
        </row>
        <row r="77">
          <cell r="A77" t="str">
            <v>26151001</v>
          </cell>
          <cell r="B77" t="str">
            <v>INDUSTRIA Y COMERCIO</v>
          </cell>
        </row>
        <row r="78">
          <cell r="A78" t="str">
            <v>26151095</v>
          </cell>
          <cell r="B78" t="str">
            <v>PAGOS INDUSTRIA Y COMERCIO</v>
          </cell>
        </row>
        <row r="79">
          <cell r="A79" t="str">
            <v>5</v>
          </cell>
          <cell r="B79" t="str">
            <v xml:space="preserve">GASTOS </v>
          </cell>
        </row>
        <row r="80">
          <cell r="A80" t="str">
            <v>51</v>
          </cell>
          <cell r="B80" t="str">
            <v>OPERAC DE ADMINISTRACION</v>
          </cell>
        </row>
        <row r="81">
          <cell r="A81" t="str">
            <v>5105</v>
          </cell>
          <cell r="B81" t="str">
            <v xml:space="preserve">GASTOS DEL PERSONAL           </v>
          </cell>
        </row>
        <row r="82">
          <cell r="A82" t="str">
            <v>510503</v>
          </cell>
          <cell r="B82" t="str">
            <v>SALARIO INTEGRAL</v>
          </cell>
        </row>
        <row r="83">
          <cell r="A83" t="str">
            <v>51050301</v>
          </cell>
          <cell r="B83" t="str">
            <v>SALARIO INTEGRAL</v>
          </cell>
        </row>
        <row r="84">
          <cell r="A84" t="str">
            <v>510506</v>
          </cell>
          <cell r="B84" t="str">
            <v>SUELDOS</v>
          </cell>
        </row>
        <row r="85">
          <cell r="A85" t="str">
            <v>51050601</v>
          </cell>
          <cell r="B85" t="str">
            <v>SUELDOS</v>
          </cell>
        </row>
        <row r="86">
          <cell r="A86" t="str">
            <v>51050602</v>
          </cell>
          <cell r="B86" t="str">
            <v>PROVISION SUELDOS</v>
          </cell>
        </row>
        <row r="87">
          <cell r="A87" t="str">
            <v>510512</v>
          </cell>
          <cell r="B87" t="str">
            <v>HORAS EXTRAS Y RECARGOS</v>
          </cell>
        </row>
        <row r="88">
          <cell r="A88" t="str">
            <v>51051201</v>
          </cell>
          <cell r="B88" t="str">
            <v>HORAS EXTRAS</v>
          </cell>
        </row>
        <row r="89">
          <cell r="A89" t="str">
            <v>51051202</v>
          </cell>
          <cell r="B89" t="str">
            <v>RECARGOS</v>
          </cell>
        </row>
        <row r="90">
          <cell r="A90" t="str">
            <v>510521</v>
          </cell>
          <cell r="B90" t="str">
            <v>INCAPACIDADES</v>
          </cell>
        </row>
        <row r="91">
          <cell r="A91" t="str">
            <v>51052100</v>
          </cell>
          <cell r="B91" t="str">
            <v>INCAPACIDADES</v>
          </cell>
        </row>
        <row r="92">
          <cell r="A92" t="str">
            <v>510524</v>
          </cell>
          <cell r="B92" t="str">
            <v>SUBSIDIO DE TRANSPORTE</v>
          </cell>
        </row>
        <row r="93">
          <cell r="A93" t="str">
            <v>51052400</v>
          </cell>
          <cell r="B93" t="str">
            <v>SUBSIDIO DE TRANSPORTE</v>
          </cell>
        </row>
        <row r="94">
          <cell r="A94" t="str">
            <v>510527</v>
          </cell>
          <cell r="B94" t="str">
            <v>CESANTIAS</v>
          </cell>
        </row>
        <row r="95">
          <cell r="A95" t="str">
            <v>51052700</v>
          </cell>
          <cell r="B95" t="str">
            <v>CESANTIAS</v>
          </cell>
        </row>
        <row r="96">
          <cell r="A96" t="str">
            <v>510530</v>
          </cell>
          <cell r="B96" t="str">
            <v>INTERESES SOBRE CESANTIAS</v>
          </cell>
        </row>
        <row r="97">
          <cell r="A97" t="str">
            <v>51053000</v>
          </cell>
          <cell r="B97" t="str">
            <v>INTERESES SOBRE CESANTIAS</v>
          </cell>
        </row>
        <row r="98">
          <cell r="A98" t="str">
            <v>510533</v>
          </cell>
          <cell r="B98" t="str">
            <v>PRIMA DE SERVICIOS</v>
          </cell>
        </row>
        <row r="99">
          <cell r="A99" t="str">
            <v>51053300</v>
          </cell>
          <cell r="B99" t="str">
            <v>PRIMA DE SERVICIOS</v>
          </cell>
        </row>
        <row r="100">
          <cell r="A100" t="str">
            <v>510536</v>
          </cell>
          <cell r="B100" t="str">
            <v>VACACIONES</v>
          </cell>
        </row>
        <row r="101">
          <cell r="A101" t="str">
            <v>51053600</v>
          </cell>
          <cell r="B101" t="str">
            <v>VACACIONES</v>
          </cell>
        </row>
        <row r="102">
          <cell r="A102" t="str">
            <v>510539</v>
          </cell>
          <cell r="B102" t="str">
            <v>PRIMA DE VACACIONES</v>
          </cell>
        </row>
        <row r="103">
          <cell r="A103" t="str">
            <v>51053901</v>
          </cell>
          <cell r="B103" t="str">
            <v>PRIMA DE VACACIONES</v>
          </cell>
        </row>
        <row r="104">
          <cell r="A104" t="str">
            <v>510542</v>
          </cell>
          <cell r="B104" t="str">
            <v>AUXILIOS A TRABAJADORES</v>
          </cell>
        </row>
        <row r="105">
          <cell r="A105" t="str">
            <v>51054201</v>
          </cell>
          <cell r="B105" t="str">
            <v>AUXILIO DE ALIMENTACION</v>
          </cell>
        </row>
        <row r="106">
          <cell r="A106" t="str">
            <v>51054202</v>
          </cell>
          <cell r="B106" t="str">
            <v>AUXILIO SODEXHO GASOLINA</v>
          </cell>
        </row>
        <row r="107">
          <cell r="A107" t="str">
            <v>51054203</v>
          </cell>
          <cell r="B107" t="str">
            <v>AUXILIO MEDICO</v>
          </cell>
        </row>
        <row r="108">
          <cell r="A108" t="str">
            <v>51054204</v>
          </cell>
          <cell r="B108" t="str">
            <v>AUXILIO DE TRASLADO</v>
          </cell>
        </row>
        <row r="109">
          <cell r="A109" t="str">
            <v>51054205</v>
          </cell>
          <cell r="B109" t="str">
            <v>AUXILIO FUNERARIO</v>
          </cell>
        </row>
        <row r="110">
          <cell r="A110" t="str">
            <v>51054206</v>
          </cell>
          <cell r="B110" t="str">
            <v>AUXILIO SODEXHO CANASTA</v>
          </cell>
        </row>
        <row r="111">
          <cell r="A111" t="str">
            <v>51054207</v>
          </cell>
          <cell r="B111" t="str">
            <v>AUXILIO OPTICO</v>
          </cell>
        </row>
        <row r="112">
          <cell r="A112" t="str">
            <v>510545</v>
          </cell>
          <cell r="B112" t="str">
            <v>BONIFICACIONES</v>
          </cell>
        </row>
        <row r="113">
          <cell r="A113" t="str">
            <v>51054501</v>
          </cell>
          <cell r="B113" t="str">
            <v>BONIFICACION ORDINARIA</v>
          </cell>
        </row>
        <row r="114">
          <cell r="A114" t="str">
            <v>51054502</v>
          </cell>
          <cell r="B114" t="str">
            <v>BONIFICACION POR QUINQUENIO</v>
          </cell>
        </row>
        <row r="115">
          <cell r="A115" t="str">
            <v>51054503</v>
          </cell>
          <cell r="B115" t="str">
            <v>BONIFICACION POR RETIRO</v>
          </cell>
        </row>
        <row r="116">
          <cell r="A116" t="str">
            <v>51054504</v>
          </cell>
          <cell r="B116" t="str">
            <v>COMPENSACION VARIABLE</v>
          </cell>
        </row>
        <row r="117">
          <cell r="A117" t="str">
            <v>51054505</v>
          </cell>
          <cell r="B117" t="str">
            <v>BONO FIN DE AÑO</v>
          </cell>
        </row>
        <row r="118">
          <cell r="A118" t="str">
            <v>51054506</v>
          </cell>
          <cell r="B118" t="str">
            <v>BONO EXTRAORDINARIO</v>
          </cell>
        </row>
        <row r="119">
          <cell r="A119" t="str">
            <v>51054507</v>
          </cell>
          <cell r="B119" t="str">
            <v>BONIFICACION NO SALARIAL</v>
          </cell>
        </row>
        <row r="120">
          <cell r="A120" t="str">
            <v>510548</v>
          </cell>
          <cell r="B120" t="str">
            <v>DOTACION Y SUMINISTRO A TRABAJ</v>
          </cell>
        </row>
        <row r="121">
          <cell r="A121" t="str">
            <v>51054801</v>
          </cell>
          <cell r="B121" t="str">
            <v>DOTACION LEGAL</v>
          </cell>
        </row>
        <row r="122">
          <cell r="A122" t="str">
            <v>51054802</v>
          </cell>
          <cell r="B122" t="str">
            <v>DOTACION EXTRALEGAL</v>
          </cell>
        </row>
        <row r="123">
          <cell r="A123" t="str">
            <v>510551</v>
          </cell>
          <cell r="B123" t="str">
            <v>SEGUROS</v>
          </cell>
        </row>
        <row r="124">
          <cell r="A124" t="str">
            <v>51055100</v>
          </cell>
          <cell r="B124" t="str">
            <v>SEGUROS</v>
          </cell>
        </row>
        <row r="125">
          <cell r="A125" t="str">
            <v>510554</v>
          </cell>
          <cell r="B125" t="str">
            <v>INDEMNIZACIONES LABORALES</v>
          </cell>
        </row>
        <row r="126">
          <cell r="A126" t="str">
            <v>51055400</v>
          </cell>
          <cell r="B126" t="str">
            <v>INDEMNIZACIONES LABORALES</v>
          </cell>
        </row>
        <row r="127">
          <cell r="A127" t="str">
            <v>510560</v>
          </cell>
          <cell r="B127" t="str">
            <v>CAPACITACION AL PERSONAL</v>
          </cell>
        </row>
        <row r="128">
          <cell r="A128" t="str">
            <v>51056001</v>
          </cell>
          <cell r="B128" t="str">
            <v>CAPACITACION ESPECIA Y DIPLOM</v>
          </cell>
        </row>
        <row r="129">
          <cell r="A129" t="str">
            <v>51056002</v>
          </cell>
          <cell r="B129" t="str">
            <v>CAPACITACION CURSOS BRECHAS</v>
          </cell>
        </row>
        <row r="130">
          <cell r="A130" t="str">
            <v>51056004</v>
          </cell>
          <cell r="B130" t="str">
            <v>CAPACITACION CURSOS BVC</v>
          </cell>
        </row>
        <row r="131">
          <cell r="A131" t="str">
            <v>51056005</v>
          </cell>
          <cell r="B131" t="str">
            <v>CAPACITACION DESARROLLO</v>
          </cell>
        </row>
        <row r="132">
          <cell r="A132" t="str">
            <v>510563</v>
          </cell>
          <cell r="B132" t="str">
            <v>GASTOS DEPORTIVOS Y DE RECREAC</v>
          </cell>
        </row>
        <row r="133">
          <cell r="A133" t="str">
            <v>51056301</v>
          </cell>
          <cell r="B133" t="str">
            <v>BIENESTAR DEPORTES</v>
          </cell>
        </row>
        <row r="134">
          <cell r="A134" t="str">
            <v>51056302</v>
          </cell>
          <cell r="B134" t="str">
            <v>BIENESTAR  EVENTOS</v>
          </cell>
        </row>
        <row r="135">
          <cell r="A135" t="str">
            <v>51056303</v>
          </cell>
          <cell r="B135" t="str">
            <v>BIENESTAR OBSEQUIOS Y DETALLES</v>
          </cell>
        </row>
        <row r="136">
          <cell r="A136" t="str">
            <v>510566</v>
          </cell>
          <cell r="B136" t="str">
            <v>APORTES POR SALUD</v>
          </cell>
        </row>
        <row r="137">
          <cell r="A137" t="str">
            <v>51056601</v>
          </cell>
          <cell r="B137" t="str">
            <v>EMPRESAS PROMOTORAS DE SALUD</v>
          </cell>
        </row>
        <row r="138">
          <cell r="A138" t="str">
            <v>51056602</v>
          </cell>
          <cell r="B138" t="str">
            <v>MEDICINA PREPAGADA</v>
          </cell>
        </row>
        <row r="139">
          <cell r="A139" t="str">
            <v>51056603</v>
          </cell>
          <cell r="B139" t="str">
            <v>APORTES ARP</v>
          </cell>
        </row>
        <row r="140">
          <cell r="A140" t="str">
            <v>510567</v>
          </cell>
          <cell r="B140" t="str">
            <v>APORTES POR PENSIONES</v>
          </cell>
        </row>
        <row r="141">
          <cell r="A141" t="str">
            <v>51056701</v>
          </cell>
          <cell r="B141" t="str">
            <v>FONDOS DE PENSIONES OBLIGAT</v>
          </cell>
        </row>
        <row r="142">
          <cell r="A142" t="str">
            <v>51056702</v>
          </cell>
          <cell r="B142" t="str">
            <v>FONDO PENSIONES VOLUNTARIAS</v>
          </cell>
        </row>
        <row r="143">
          <cell r="A143" t="str">
            <v>51056703</v>
          </cell>
          <cell r="B143" t="str">
            <v>AFC - AHORRO FOM.CONTRUCC.</v>
          </cell>
        </row>
        <row r="144">
          <cell r="A144" t="str">
            <v>510569</v>
          </cell>
          <cell r="B144" t="str">
            <v>APORTES CAJAS DE COMPENSACION</v>
          </cell>
        </row>
        <row r="145">
          <cell r="A145" t="str">
            <v>51056900</v>
          </cell>
          <cell r="B145" t="str">
            <v>APORTES CAJAS DE COMPENSACION</v>
          </cell>
        </row>
        <row r="146">
          <cell r="A146" t="str">
            <v>510572</v>
          </cell>
          <cell r="B146" t="str">
            <v>APORTES I.C.B.F.</v>
          </cell>
        </row>
        <row r="147">
          <cell r="A147" t="str">
            <v>51057200</v>
          </cell>
          <cell r="B147" t="str">
            <v>APORTES I.C.B.F.</v>
          </cell>
        </row>
        <row r="148">
          <cell r="A148" t="str">
            <v>510575</v>
          </cell>
          <cell r="B148" t="str">
            <v>APORTES AL SENA</v>
          </cell>
        </row>
        <row r="149">
          <cell r="A149" t="str">
            <v>51057500</v>
          </cell>
          <cell r="B149" t="str">
            <v>APORTES AL SENA</v>
          </cell>
        </row>
        <row r="150">
          <cell r="A150" t="str">
            <v>510595</v>
          </cell>
          <cell r="B150" t="str">
            <v>OTROS</v>
          </cell>
        </row>
        <row r="151">
          <cell r="A151" t="str">
            <v>51059501</v>
          </cell>
          <cell r="B151" t="str">
            <v>APORTES FONBOLSA</v>
          </cell>
        </row>
        <row r="152">
          <cell r="A152" t="str">
            <v>51059502</v>
          </cell>
          <cell r="B152" t="str">
            <v>CARNETIZACION EMPLEADOS</v>
          </cell>
        </row>
        <row r="153">
          <cell r="A153" t="str">
            <v>51059503</v>
          </cell>
          <cell r="B153" t="str">
            <v>SELECCION DE PERSONAL</v>
          </cell>
        </row>
        <row r="154">
          <cell r="A154" t="str">
            <v>51059504</v>
          </cell>
          <cell r="B154" t="str">
            <v>DESARROLLO</v>
          </cell>
        </row>
        <row r="155">
          <cell r="A155" t="str">
            <v>51059505</v>
          </cell>
          <cell r="B155" t="str">
            <v>MONETIZACION SENA</v>
          </cell>
        </row>
        <row r="156">
          <cell r="A156" t="str">
            <v>51059506</v>
          </cell>
          <cell r="B156" t="str">
            <v>CUOTA SOSTENIMIENTO APREN SENA</v>
          </cell>
        </row>
        <row r="157">
          <cell r="A157" t="str">
            <v>51059507</v>
          </cell>
          <cell r="B157" t="str">
            <v>CUOTA SOSTENIMIENTO PASANTES</v>
          </cell>
        </row>
        <row r="158">
          <cell r="A158" t="str">
            <v>51059508</v>
          </cell>
          <cell r="B158" t="str">
            <v>SALUD OCUPACIONAL</v>
          </cell>
        </row>
        <row r="159">
          <cell r="A159" t="str">
            <v>5110</v>
          </cell>
          <cell r="B159" t="str">
            <v xml:space="preserve">HONORARIOS                    </v>
          </cell>
        </row>
        <row r="160">
          <cell r="A160" t="str">
            <v>511005</v>
          </cell>
          <cell r="B160" t="str">
            <v>JUNTA DIRECTIVA</v>
          </cell>
        </row>
        <row r="161">
          <cell r="A161" t="str">
            <v>51100501</v>
          </cell>
          <cell r="B161" t="str">
            <v>CONSEJO DIRECTIVO</v>
          </cell>
        </row>
        <row r="162">
          <cell r="A162" t="str">
            <v>51100502</v>
          </cell>
          <cell r="B162" t="str">
            <v>CAMARA DE LA BOLSA</v>
          </cell>
        </row>
        <row r="163">
          <cell r="A163" t="str">
            <v>511010</v>
          </cell>
          <cell r="B163" t="str">
            <v>REVISORIA FISCAL</v>
          </cell>
        </row>
        <row r="164">
          <cell r="A164" t="str">
            <v>51101000</v>
          </cell>
          <cell r="B164" t="str">
            <v>REVISORIA FISCAL</v>
          </cell>
        </row>
        <row r="165">
          <cell r="A165" t="str">
            <v>511015</v>
          </cell>
          <cell r="B165" t="str">
            <v>AUDITORIA EXTERNA</v>
          </cell>
        </row>
        <row r="166">
          <cell r="A166" t="str">
            <v>51101500</v>
          </cell>
          <cell r="B166" t="str">
            <v>AUDITORIA EXTERNA</v>
          </cell>
        </row>
        <row r="167">
          <cell r="A167" t="str">
            <v>511025</v>
          </cell>
          <cell r="B167" t="str">
            <v>ASESORIA JURIDICA</v>
          </cell>
        </row>
        <row r="168">
          <cell r="A168" t="str">
            <v>51102500</v>
          </cell>
          <cell r="B168" t="str">
            <v>ASESORIA JURIDICA</v>
          </cell>
        </row>
        <row r="169">
          <cell r="A169" t="str">
            <v>51102501</v>
          </cell>
          <cell r="B169" t="str">
            <v>ASESORIA TRIBUTARIA</v>
          </cell>
        </row>
        <row r="170">
          <cell r="A170" t="str">
            <v>51102502</v>
          </cell>
          <cell r="B170" t="str">
            <v>ASESORIA LABORAL</v>
          </cell>
        </row>
        <row r="171">
          <cell r="A171" t="str">
            <v>51102504</v>
          </cell>
          <cell r="B171" t="str">
            <v>ASESORIA LEGAL</v>
          </cell>
        </row>
        <row r="172">
          <cell r="A172" t="str">
            <v>511035</v>
          </cell>
          <cell r="B172" t="str">
            <v>ASESORIA TECNICA</v>
          </cell>
        </row>
        <row r="173">
          <cell r="A173" t="str">
            <v>51103510</v>
          </cell>
          <cell r="B173" t="str">
            <v>ASESORIA DE SISTEMAS</v>
          </cell>
        </row>
        <row r="174">
          <cell r="A174" t="str">
            <v>51103530</v>
          </cell>
          <cell r="B174" t="str">
            <v>ASESORIA TECNOLOGICA</v>
          </cell>
        </row>
        <row r="175">
          <cell r="A175" t="str">
            <v>511095</v>
          </cell>
          <cell r="B175" t="str">
            <v>OTROS</v>
          </cell>
        </row>
        <row r="176">
          <cell r="A176" t="str">
            <v>51109502</v>
          </cell>
          <cell r="B176" t="str">
            <v>DOCENTES FORMACION BURSATIL</v>
          </cell>
        </row>
        <row r="177">
          <cell r="A177" t="str">
            <v>51109503</v>
          </cell>
          <cell r="B177" t="str">
            <v>ASESORIAS DESARROLLO DE PRODUC</v>
          </cell>
        </row>
        <row r="178">
          <cell r="A178" t="str">
            <v>51109504</v>
          </cell>
          <cell r="B178" t="str">
            <v>PROYECTOS</v>
          </cell>
        </row>
        <row r="179">
          <cell r="A179" t="str">
            <v>51109505</v>
          </cell>
          <cell r="B179" t="str">
            <v>COMITE DE REGULACION</v>
          </cell>
        </row>
        <row r="180">
          <cell r="A180" t="str">
            <v>51109506</v>
          </cell>
          <cell r="B180" t="str">
            <v>COMITE DE GOBIERNO CORPORATIVO</v>
          </cell>
        </row>
        <row r="181">
          <cell r="A181" t="str">
            <v>51109507</v>
          </cell>
          <cell r="B181" t="str">
            <v>COMITE AUDITORIA</v>
          </cell>
        </row>
        <row r="182">
          <cell r="A182" t="str">
            <v>51109508</v>
          </cell>
          <cell r="B182" t="str">
            <v>COMITE ADMINISTRATIVO Y FINANC</v>
          </cell>
        </row>
        <row r="183">
          <cell r="A183" t="str">
            <v>51109595</v>
          </cell>
          <cell r="B183" t="str">
            <v>OTROS</v>
          </cell>
        </row>
        <row r="184">
          <cell r="A184" t="str">
            <v>5115</v>
          </cell>
          <cell r="B184" t="str">
            <v xml:space="preserve">IMPUESTOS                     </v>
          </cell>
        </row>
        <row r="185">
          <cell r="A185" t="str">
            <v>511505</v>
          </cell>
          <cell r="B185" t="str">
            <v>INDUSTRIA Y COMERCIO</v>
          </cell>
        </row>
        <row r="186">
          <cell r="A186" t="str">
            <v>51150500</v>
          </cell>
          <cell r="B186" t="str">
            <v>INDUSTRIA Y COMERCIO</v>
          </cell>
        </row>
        <row r="187">
          <cell r="A187" t="str">
            <v>511510</v>
          </cell>
          <cell r="B187" t="str">
            <v>DE TIMBRES</v>
          </cell>
        </row>
        <row r="188">
          <cell r="A188" t="str">
            <v>51151000</v>
          </cell>
          <cell r="B188" t="str">
            <v>DE TIMBRES</v>
          </cell>
        </row>
        <row r="189">
          <cell r="A189" t="str">
            <v>511515</v>
          </cell>
          <cell r="B189" t="str">
            <v>A LA PROPIEDAD RAIZ</v>
          </cell>
        </row>
        <row r="190">
          <cell r="A190" t="str">
            <v>51151501</v>
          </cell>
          <cell r="B190" t="str">
            <v>PREDIAL</v>
          </cell>
        </row>
        <row r="191">
          <cell r="A191" t="str">
            <v>511530</v>
          </cell>
          <cell r="B191" t="str">
            <v>DE VEHICULOS</v>
          </cell>
        </row>
        <row r="192">
          <cell r="A192" t="str">
            <v>51153001</v>
          </cell>
          <cell r="B192" t="str">
            <v>VEHICULOS</v>
          </cell>
        </row>
        <row r="193">
          <cell r="A193" t="str">
            <v>511595</v>
          </cell>
          <cell r="B193" t="str">
            <v>OTROS</v>
          </cell>
        </row>
        <row r="194">
          <cell r="A194" t="str">
            <v>51159501</v>
          </cell>
          <cell r="B194" t="str">
            <v>ENTIDADES DEL ESTADO</v>
          </cell>
        </row>
        <row r="195">
          <cell r="A195" t="str">
            <v>51159502</v>
          </cell>
          <cell r="B195" t="str">
            <v>APROXIMACION MULTIPLOS DE MIL</v>
          </cell>
        </row>
        <row r="196">
          <cell r="A196" t="str">
            <v>51159503</v>
          </cell>
          <cell r="B196" t="str">
            <v>IMPUESTO A LAS TRANSACCIONES F</v>
          </cell>
        </row>
        <row r="197">
          <cell r="A197" t="str">
            <v>51159504</v>
          </cell>
          <cell r="B197" t="str">
            <v>IMPUESTO AL PATRIMONIO</v>
          </cell>
        </row>
        <row r="198">
          <cell r="A198" t="str">
            <v>5120</v>
          </cell>
          <cell r="B198" t="str">
            <v xml:space="preserve">ARRENDAMIENTOS                </v>
          </cell>
        </row>
        <row r="199">
          <cell r="A199" t="str">
            <v>512005</v>
          </cell>
          <cell r="B199" t="str">
            <v>EDIFICACIONES</v>
          </cell>
        </row>
        <row r="200">
          <cell r="A200" t="str">
            <v>51200500</v>
          </cell>
          <cell r="B200" t="str">
            <v>EDIFICACIONES</v>
          </cell>
        </row>
        <row r="201">
          <cell r="A201" t="str">
            <v>512010</v>
          </cell>
          <cell r="B201" t="str">
            <v>EQUIPO DE OFICINA</v>
          </cell>
        </row>
        <row r="202">
          <cell r="A202" t="str">
            <v>51201001</v>
          </cell>
          <cell r="B202" t="str">
            <v>EQUIPOS ELECTRONICOS</v>
          </cell>
        </row>
        <row r="203">
          <cell r="A203" t="str">
            <v>512015</v>
          </cell>
          <cell r="B203" t="str">
            <v>EQUIPO DE COMUNICACION Y COMPU</v>
          </cell>
        </row>
        <row r="204">
          <cell r="A204" t="str">
            <v>51201500</v>
          </cell>
          <cell r="B204" t="str">
            <v>EQUIPO DE COMUNICACION Y COMPU</v>
          </cell>
        </row>
        <row r="205">
          <cell r="A205" t="str">
            <v>512095</v>
          </cell>
          <cell r="B205" t="str">
            <v>OTROS</v>
          </cell>
        </row>
        <row r="206">
          <cell r="A206" t="str">
            <v>51209501</v>
          </cell>
          <cell r="B206" t="str">
            <v>ARRENDAMIENTO DE SOFWARE</v>
          </cell>
        </row>
        <row r="207">
          <cell r="A207" t="str">
            <v>51209502</v>
          </cell>
          <cell r="B207" t="str">
            <v>VEHICULOS</v>
          </cell>
        </row>
        <row r="208">
          <cell r="A208" t="str">
            <v>51209505</v>
          </cell>
          <cell r="B208" t="str">
            <v>PLANTA ELECTRICA (BANCO DE CAR</v>
          </cell>
        </row>
        <row r="209">
          <cell r="A209" t="str">
            <v>51209506</v>
          </cell>
          <cell r="B209" t="str">
            <v>DATACENTER ALTERNO</v>
          </cell>
        </row>
        <row r="210">
          <cell r="A210" t="str">
            <v>51209507</v>
          </cell>
          <cell r="B210" t="str">
            <v>OTROS</v>
          </cell>
        </row>
        <row r="211">
          <cell r="A211" t="str">
            <v>51209508</v>
          </cell>
          <cell r="B211" t="str">
            <v>STAND PARA EVENTOS</v>
          </cell>
        </row>
        <row r="212">
          <cell r="A212" t="str">
            <v>5125</v>
          </cell>
          <cell r="B212" t="str">
            <v xml:space="preserve">CONTRIBUCIONES Y AFILIACIONES </v>
          </cell>
        </row>
        <row r="213">
          <cell r="A213" t="str">
            <v>512505</v>
          </cell>
          <cell r="B213" t="str">
            <v>CONTRIBUCIONES</v>
          </cell>
        </row>
        <row r="214">
          <cell r="A214" t="str">
            <v>51250500</v>
          </cell>
          <cell r="B214" t="str">
            <v>CONTRIBUCIONES</v>
          </cell>
        </row>
        <row r="215">
          <cell r="A215" t="str">
            <v>512510</v>
          </cell>
          <cell r="B215" t="str">
            <v>AFILIACIONES</v>
          </cell>
        </row>
        <row r="216">
          <cell r="A216" t="str">
            <v>51251000</v>
          </cell>
          <cell r="B216" t="str">
            <v>AFILIACIONES</v>
          </cell>
        </row>
        <row r="217">
          <cell r="A217" t="str">
            <v>5130</v>
          </cell>
          <cell r="B217" t="str">
            <v xml:space="preserve">SEGUROS                       </v>
          </cell>
        </row>
        <row r="218">
          <cell r="A218" t="str">
            <v>513010</v>
          </cell>
          <cell r="B218" t="str">
            <v>CUMPLIMIENTO</v>
          </cell>
        </row>
        <row r="219">
          <cell r="A219" t="str">
            <v>51301001</v>
          </cell>
          <cell r="B219" t="str">
            <v>POLIZA DE MINCOMUNICACIONES</v>
          </cell>
        </row>
        <row r="220">
          <cell r="A220" t="str">
            <v>51301002</v>
          </cell>
          <cell r="B220" t="str">
            <v>WINSET</v>
          </cell>
        </row>
        <row r="221">
          <cell r="A221" t="str">
            <v>51301003</v>
          </cell>
          <cell r="B221" t="str">
            <v>POR CONTRATOS REALIZADOS</v>
          </cell>
        </row>
        <row r="222">
          <cell r="A222" t="str">
            <v>513095</v>
          </cell>
          <cell r="B222" t="str">
            <v>OTROS</v>
          </cell>
        </row>
        <row r="223">
          <cell r="A223" t="str">
            <v>51309503</v>
          </cell>
          <cell r="B223" t="str">
            <v>SEGURO DE VEHICULOS</v>
          </cell>
        </row>
        <row r="224">
          <cell r="A224" t="str">
            <v>51309505</v>
          </cell>
          <cell r="B224" t="str">
            <v>RIESGOS FINANCIEROS</v>
          </cell>
        </row>
        <row r="225">
          <cell r="A225" t="str">
            <v>51309506</v>
          </cell>
          <cell r="B225" t="str">
            <v>RESPONSABILIDAD CIVIL GASTOS A</v>
          </cell>
        </row>
        <row r="226">
          <cell r="A226" t="str">
            <v>51309507</v>
          </cell>
          <cell r="B226" t="str">
            <v>MULTIRIESGO</v>
          </cell>
        </row>
        <row r="227">
          <cell r="A227" t="str">
            <v>51309508</v>
          </cell>
          <cell r="B227" t="str">
            <v>TRANSPORTE</v>
          </cell>
        </row>
        <row r="228">
          <cell r="A228" t="str">
            <v>5135</v>
          </cell>
          <cell r="B228" t="str">
            <v xml:space="preserve">SERVICIOS                     </v>
          </cell>
        </row>
        <row r="229">
          <cell r="A229" t="str">
            <v>513505</v>
          </cell>
          <cell r="B229" t="str">
            <v>ASEO Y VIGILANCIA</v>
          </cell>
        </row>
        <row r="230">
          <cell r="A230" t="str">
            <v>51350500</v>
          </cell>
          <cell r="B230" t="str">
            <v>ADMINISTRACION CALI</v>
          </cell>
        </row>
        <row r="231">
          <cell r="A231" t="str">
            <v>51350501</v>
          </cell>
          <cell r="B231" t="str">
            <v>ASEO</v>
          </cell>
        </row>
        <row r="232">
          <cell r="A232" t="str">
            <v>51350502</v>
          </cell>
          <cell r="B232" t="str">
            <v>VIGILANCIA</v>
          </cell>
        </row>
        <row r="233">
          <cell r="A233" t="str">
            <v>51350503</v>
          </cell>
          <cell r="B233" t="str">
            <v>ACTUALIZACION BASES DE DATOS</v>
          </cell>
        </row>
        <row r="234">
          <cell r="A234" t="str">
            <v>513510</v>
          </cell>
          <cell r="B234" t="str">
            <v>TEMPORALES</v>
          </cell>
        </row>
        <row r="235">
          <cell r="A235" t="str">
            <v>51351001</v>
          </cell>
          <cell r="B235" t="str">
            <v>OFICINA</v>
          </cell>
        </row>
        <row r="236">
          <cell r="A236" t="str">
            <v>51351002</v>
          </cell>
          <cell r="B236" t="str">
            <v>MENSAJERIA</v>
          </cell>
        </row>
        <row r="237">
          <cell r="A237" t="str">
            <v>51351003</v>
          </cell>
          <cell r="B237" t="str">
            <v>ASEO Y CAFETERIA</v>
          </cell>
        </row>
        <row r="238">
          <cell r="A238" t="str">
            <v>513525</v>
          </cell>
          <cell r="B238" t="str">
            <v>ACUEDUCTO Y ALCANTARILLADO</v>
          </cell>
        </row>
        <row r="239">
          <cell r="A239" t="str">
            <v>51352500</v>
          </cell>
          <cell r="B239" t="str">
            <v>ACUEDUCTO Y ALCANTARILLADO</v>
          </cell>
        </row>
        <row r="240">
          <cell r="A240" t="str">
            <v>513530</v>
          </cell>
          <cell r="B240" t="str">
            <v>ENERGIA ELECTRICA</v>
          </cell>
        </row>
        <row r="241">
          <cell r="A241" t="str">
            <v>51353000</v>
          </cell>
          <cell r="B241" t="str">
            <v>ENERGIA ELECTRICA</v>
          </cell>
        </row>
        <row r="242">
          <cell r="A242" t="str">
            <v>513535</v>
          </cell>
          <cell r="B242" t="str">
            <v>TELEFONO</v>
          </cell>
        </row>
        <row r="243">
          <cell r="A243" t="str">
            <v>51353501</v>
          </cell>
          <cell r="B243" t="str">
            <v>TELEFONOS OFICINAS</v>
          </cell>
        </row>
        <row r="244">
          <cell r="A244" t="str">
            <v>51353503</v>
          </cell>
          <cell r="B244" t="str">
            <v>TARJETAS PREPAGO CELULAR</v>
          </cell>
        </row>
        <row r="245">
          <cell r="A245" t="str">
            <v>51353504</v>
          </cell>
          <cell r="B245" t="str">
            <v>TELEFONOS DISCADOS</v>
          </cell>
        </row>
        <row r="246">
          <cell r="A246" t="str">
            <v>51353505</v>
          </cell>
          <cell r="B246" t="str">
            <v>TARJETAS INTERNET</v>
          </cell>
        </row>
        <row r="247">
          <cell r="A247" t="str">
            <v>513540</v>
          </cell>
          <cell r="B247" t="str">
            <v>CORREO, PORTES Y TELEGRAMAS</v>
          </cell>
        </row>
        <row r="248">
          <cell r="A248" t="str">
            <v>51354000</v>
          </cell>
          <cell r="B248" t="str">
            <v>CORREO, PORTES Y TELEGRAMAS</v>
          </cell>
        </row>
        <row r="249">
          <cell r="A249" t="str">
            <v>513550</v>
          </cell>
          <cell r="B249" t="str">
            <v>TRANSPORTES, FLETES Y ACARREOS</v>
          </cell>
        </row>
        <row r="250">
          <cell r="A250" t="str">
            <v>51355000</v>
          </cell>
          <cell r="B250" t="str">
            <v>TRASPORTES FLETES Y ACARREOS</v>
          </cell>
        </row>
        <row r="251">
          <cell r="A251" t="str">
            <v>513555</v>
          </cell>
          <cell r="B251" t="str">
            <v>ADMINISTRACION INMUEBLES</v>
          </cell>
        </row>
        <row r="252">
          <cell r="A252" t="str">
            <v>51355500</v>
          </cell>
          <cell r="B252" t="str">
            <v>ADMINISTRACION INMUEBLES</v>
          </cell>
        </row>
        <row r="253">
          <cell r="A253" t="str">
            <v>513560</v>
          </cell>
          <cell r="B253" t="str">
            <v>SUSCRIPCIONES</v>
          </cell>
        </row>
        <row r="254">
          <cell r="A254" t="str">
            <v>51356001</v>
          </cell>
          <cell r="B254" t="str">
            <v>A PERIODICOS</v>
          </cell>
        </row>
        <row r="255">
          <cell r="A255" t="str">
            <v>51356002</v>
          </cell>
          <cell r="B255" t="str">
            <v>A REVISTAS</v>
          </cell>
        </row>
        <row r="256">
          <cell r="A256" t="str">
            <v>51356003</v>
          </cell>
          <cell r="B256" t="str">
            <v>A CODIGOS</v>
          </cell>
        </row>
        <row r="257">
          <cell r="A257" t="str">
            <v>51356004</v>
          </cell>
          <cell r="B257" t="str">
            <v>A PAGINAS DE INTERNET</v>
          </cell>
        </row>
        <row r="258">
          <cell r="A258" t="str">
            <v>51356005</v>
          </cell>
          <cell r="B258" t="str">
            <v>A TELEVISION SATELITAL</v>
          </cell>
        </row>
        <row r="259">
          <cell r="A259" t="str">
            <v>513595</v>
          </cell>
          <cell r="B259" t="str">
            <v>OTROS</v>
          </cell>
        </row>
        <row r="260">
          <cell r="A260" t="str">
            <v>51359501</v>
          </cell>
          <cell r="B260" t="str">
            <v>CUSTODIA Y ADMON DE TITULOS</v>
          </cell>
        </row>
        <row r="261">
          <cell r="A261" t="str">
            <v>51359502</v>
          </cell>
          <cell r="B261" t="str">
            <v>SERVICIOS ESP DE COMUNICACION</v>
          </cell>
        </row>
        <row r="262">
          <cell r="A262" t="str">
            <v>51359503</v>
          </cell>
          <cell r="B262" t="str">
            <v>SELECCION DE PERSONAL</v>
          </cell>
        </row>
        <row r="263">
          <cell r="A263" t="str">
            <v>51359504</v>
          </cell>
          <cell r="B263" t="str">
            <v>CONSULTA A LA CENTRAL DE INFOR</v>
          </cell>
        </row>
        <row r="264">
          <cell r="A264" t="str">
            <v>51359505</v>
          </cell>
          <cell r="B264" t="str">
            <v>SISTEMA MONITOR</v>
          </cell>
        </row>
        <row r="265">
          <cell r="A265" t="str">
            <v>51359506</v>
          </cell>
          <cell r="B265" t="str">
            <v>CUSTODIA Y CONSERVACION ARCHIV</v>
          </cell>
        </row>
        <row r="266">
          <cell r="A266" t="str">
            <v>51359507</v>
          </cell>
          <cell r="B266" t="str">
            <v>PAGINA WEB</v>
          </cell>
        </row>
        <row r="267">
          <cell r="A267" t="str">
            <v>51359508</v>
          </cell>
          <cell r="B267" t="str">
            <v>PLAN DE CONTINGENCIA</v>
          </cell>
        </row>
        <row r="268">
          <cell r="A268" t="str">
            <v>51359509</v>
          </cell>
          <cell r="B268" t="str">
            <v>OTROS SERVICIOS</v>
          </cell>
        </row>
        <row r="269">
          <cell r="A269" t="str">
            <v>51359510</v>
          </cell>
          <cell r="B269" t="str">
            <v>CLASIFICACION CORRESPONDENCIA</v>
          </cell>
        </row>
        <row r="270">
          <cell r="A270" t="str">
            <v>51359511</v>
          </cell>
          <cell r="B270" t="str">
            <v>APOYO OPERATIVO DIGITADORES</v>
          </cell>
        </row>
        <row r="271">
          <cell r="A271" t="str">
            <v>5136</v>
          </cell>
          <cell r="B271" t="str">
            <v xml:space="preserve">DIVULGACION Y PUBLICIDAD      </v>
          </cell>
        </row>
        <row r="272">
          <cell r="A272" t="str">
            <v>513605</v>
          </cell>
          <cell r="B272" t="str">
            <v>DIVULGACION</v>
          </cell>
        </row>
        <row r="273">
          <cell r="A273" t="str">
            <v>51360500</v>
          </cell>
          <cell r="B273" t="str">
            <v>DIVULGACION Y PUBLICIDAD</v>
          </cell>
        </row>
        <row r="274">
          <cell r="A274" t="str">
            <v>51360501</v>
          </cell>
          <cell r="B274" t="str">
            <v>AVISOS Y TRANSMISIONES</v>
          </cell>
        </row>
        <row r="275">
          <cell r="A275" t="str">
            <v>51360502</v>
          </cell>
          <cell r="B275" t="str">
            <v>MERCADEO</v>
          </cell>
        </row>
        <row r="276">
          <cell r="A276" t="str">
            <v>51360503</v>
          </cell>
          <cell r="B276" t="str">
            <v>COMUNICACION INTERNA</v>
          </cell>
        </row>
        <row r="277">
          <cell r="A277" t="str">
            <v>51360504</v>
          </cell>
          <cell r="B277" t="str">
            <v>CAPACITACION CLIENTES</v>
          </cell>
        </row>
        <row r="278">
          <cell r="A278" t="str">
            <v>51360505</v>
          </cell>
          <cell r="B278" t="str">
            <v>EVENTOS</v>
          </cell>
        </row>
        <row r="279">
          <cell r="A279" t="str">
            <v>51360509</v>
          </cell>
          <cell r="B279" t="str">
            <v>PATROCINIOS</v>
          </cell>
        </row>
        <row r="280">
          <cell r="A280" t="str">
            <v>513610</v>
          </cell>
          <cell r="B280" t="str">
            <v>PUBLICIDAD</v>
          </cell>
        </row>
        <row r="281">
          <cell r="A281" t="str">
            <v>51361001</v>
          </cell>
          <cell r="B281" t="str">
            <v>PROPAGANDA</v>
          </cell>
        </row>
        <row r="282">
          <cell r="A282" t="str">
            <v>51361002</v>
          </cell>
          <cell r="B282" t="str">
            <v>SEMINARIOS</v>
          </cell>
        </row>
        <row r="283">
          <cell r="A283" t="str">
            <v>51361003</v>
          </cell>
          <cell r="B283" t="str">
            <v>MARTILLOS-DEMOCRATIZ Y SUBAST</v>
          </cell>
        </row>
        <row r="284">
          <cell r="A284" t="str">
            <v>51361004</v>
          </cell>
          <cell r="B284" t="str">
            <v>CONCURSO BOLSA MILLONARIA</v>
          </cell>
        </row>
        <row r="285">
          <cell r="A285" t="str">
            <v>51361005</v>
          </cell>
          <cell r="B285" t="str">
            <v>FOTOGRAFIAS</v>
          </cell>
        </row>
        <row r="286">
          <cell r="A286" t="str">
            <v>51361006</v>
          </cell>
          <cell r="B286" t="str">
            <v>CONCURSO PORTAFOLIO</v>
          </cell>
        </row>
        <row r="287">
          <cell r="A287" t="str">
            <v>51361007</v>
          </cell>
          <cell r="B287" t="str">
            <v>CONCURSO JUGADA MAESTRA</v>
          </cell>
        </row>
        <row r="288">
          <cell r="A288" t="str">
            <v>51361008</v>
          </cell>
          <cell r="B288" t="str">
            <v>CONGRESOS</v>
          </cell>
        </row>
        <row r="289">
          <cell r="A289" t="str">
            <v>51361009</v>
          </cell>
          <cell r="B289" t="str">
            <v>PATROCINIOS</v>
          </cell>
        </row>
        <row r="290">
          <cell r="A290" t="str">
            <v>5137</v>
          </cell>
          <cell r="B290" t="str">
            <v xml:space="preserve">RELACIONES PUBLICAS           </v>
          </cell>
        </row>
        <row r="291">
          <cell r="A291" t="str">
            <v>513705</v>
          </cell>
          <cell r="B291" t="str">
            <v>RELACIONES PUBLICAS</v>
          </cell>
        </row>
        <row r="292">
          <cell r="A292" t="str">
            <v>51370502</v>
          </cell>
          <cell r="B292" t="str">
            <v>ATENCIONES EN CLUBES</v>
          </cell>
        </row>
        <row r="293">
          <cell r="A293" t="str">
            <v>51370503</v>
          </cell>
          <cell r="B293" t="str">
            <v>ATENCIONES CON TARJETA CREDITO</v>
          </cell>
        </row>
        <row r="294">
          <cell r="A294" t="str">
            <v>51370504</v>
          </cell>
          <cell r="B294" t="str">
            <v>ATENCION CONSEJO DIRECTIVO</v>
          </cell>
        </row>
        <row r="295">
          <cell r="A295" t="str">
            <v>51370505</v>
          </cell>
          <cell r="B295" t="str">
            <v>ATENCIONES COMISIONISTAS</v>
          </cell>
        </row>
        <row r="296">
          <cell r="A296" t="str">
            <v>51370506</v>
          </cell>
          <cell r="B296" t="str">
            <v>OTRAS ATENCIONES</v>
          </cell>
        </row>
        <row r="297">
          <cell r="A297" t="str">
            <v>51370507</v>
          </cell>
          <cell r="B297" t="str">
            <v>CUOTAS DE SOSTENIMIENTO CLUBES</v>
          </cell>
        </row>
        <row r="298">
          <cell r="A298" t="str">
            <v>51370508</v>
          </cell>
          <cell r="B298" t="str">
            <v>ATENCIONES FIN DE AÑO</v>
          </cell>
        </row>
        <row r="299">
          <cell r="A299" t="str">
            <v>51370509</v>
          </cell>
          <cell r="B299" t="str">
            <v>EVENTOS</v>
          </cell>
        </row>
        <row r="300">
          <cell r="A300" t="str">
            <v>5138</v>
          </cell>
          <cell r="B300" t="str">
            <v>UTILES, PAPELERIA Y FOTOCOPIAS</v>
          </cell>
        </row>
        <row r="301">
          <cell r="A301" t="str">
            <v>513805</v>
          </cell>
          <cell r="B301" t="str">
            <v>UTILES</v>
          </cell>
        </row>
        <row r="302">
          <cell r="A302" t="str">
            <v>51380500</v>
          </cell>
          <cell r="B302" t="str">
            <v>UTILES</v>
          </cell>
        </row>
        <row r="303">
          <cell r="A303" t="str">
            <v>51380501</v>
          </cell>
          <cell r="B303" t="str">
            <v>UTILES</v>
          </cell>
        </row>
        <row r="304">
          <cell r="A304" t="str">
            <v>51380502</v>
          </cell>
          <cell r="B304" t="str">
            <v>INSUMOS IMPRESORAS</v>
          </cell>
        </row>
        <row r="305">
          <cell r="A305" t="str">
            <v>513810</v>
          </cell>
          <cell r="B305" t="str">
            <v>PAPELERIA</v>
          </cell>
        </row>
        <row r="306">
          <cell r="A306" t="str">
            <v>51381000</v>
          </cell>
          <cell r="B306" t="str">
            <v>PAPELERIA</v>
          </cell>
        </row>
        <row r="307">
          <cell r="A307" t="str">
            <v>51381001</v>
          </cell>
          <cell r="B307" t="str">
            <v>PAPELERIA</v>
          </cell>
        </row>
        <row r="308">
          <cell r="A308" t="str">
            <v>51381002</v>
          </cell>
          <cell r="B308" t="str">
            <v>TARJETAS DE PRESENTACION</v>
          </cell>
        </row>
        <row r="309">
          <cell r="A309" t="str">
            <v>513815</v>
          </cell>
          <cell r="B309" t="str">
            <v>FOTOCOPIAS</v>
          </cell>
        </row>
        <row r="310">
          <cell r="A310" t="str">
            <v>51381500</v>
          </cell>
          <cell r="B310" t="str">
            <v>FOTOCOPIAS</v>
          </cell>
        </row>
        <row r="311">
          <cell r="A311" t="str">
            <v>51381501</v>
          </cell>
          <cell r="B311" t="str">
            <v>FOTOCOPIAS</v>
          </cell>
        </row>
        <row r="312">
          <cell r="A312" t="str">
            <v>51381502</v>
          </cell>
          <cell r="B312" t="str">
            <v>ANILLADOS</v>
          </cell>
        </row>
        <row r="313">
          <cell r="A313" t="str">
            <v>51381503</v>
          </cell>
          <cell r="B313" t="str">
            <v>SCANNER</v>
          </cell>
        </row>
        <row r="314">
          <cell r="A314" t="str">
            <v>5140</v>
          </cell>
          <cell r="B314" t="str">
            <v xml:space="preserve">ASAMBLEAS Y SIMPOSIOS         </v>
          </cell>
        </row>
        <row r="315">
          <cell r="A315" t="str">
            <v>514005</v>
          </cell>
          <cell r="B315" t="str">
            <v>ASAMBLEAS Y SIMPOSIOS</v>
          </cell>
        </row>
        <row r="316">
          <cell r="A316" t="str">
            <v>51400501</v>
          </cell>
          <cell r="B316" t="str">
            <v>GASTOS POR ASAMBLEA</v>
          </cell>
        </row>
        <row r="317">
          <cell r="A317" t="str">
            <v>5141</v>
          </cell>
          <cell r="B317" t="str">
            <v xml:space="preserve">GASTOS LEGALES                </v>
          </cell>
        </row>
        <row r="318">
          <cell r="A318" t="str">
            <v>514105</v>
          </cell>
          <cell r="B318" t="str">
            <v>NOTARIALES</v>
          </cell>
        </row>
        <row r="319">
          <cell r="A319" t="str">
            <v>51410500</v>
          </cell>
          <cell r="B319" t="str">
            <v>REGISTRO MERCANTIL</v>
          </cell>
        </row>
        <row r="320">
          <cell r="A320" t="str">
            <v>514110</v>
          </cell>
          <cell r="B320" t="str">
            <v>REGISTRO MERCANTIL</v>
          </cell>
        </row>
        <row r="321">
          <cell r="A321" t="str">
            <v>51411000</v>
          </cell>
          <cell r="B321" t="str">
            <v>REGISTRO MERCANTIL</v>
          </cell>
        </row>
        <row r="322">
          <cell r="A322" t="str">
            <v>514115</v>
          </cell>
          <cell r="B322" t="str">
            <v>TRAMITES Y  LICENCIAS</v>
          </cell>
        </row>
        <row r="323">
          <cell r="A323" t="str">
            <v>51411500</v>
          </cell>
          <cell r="B323" t="str">
            <v>TRAMITES Y LICENCIAS</v>
          </cell>
        </row>
        <row r="324">
          <cell r="A324" t="str">
            <v>514195</v>
          </cell>
          <cell r="B324" t="str">
            <v>OTROS</v>
          </cell>
        </row>
        <row r="325">
          <cell r="A325" t="str">
            <v>51419500</v>
          </cell>
          <cell r="B325" t="str">
            <v>OTROS</v>
          </cell>
        </row>
        <row r="326">
          <cell r="A326" t="str">
            <v>5145</v>
          </cell>
          <cell r="B326" t="str">
            <v xml:space="preserve">MANTENIMIENTO Y REPARACIONES  </v>
          </cell>
        </row>
        <row r="327">
          <cell r="A327" t="str">
            <v>514512</v>
          </cell>
          <cell r="B327" t="str">
            <v>EDIFICACIONES</v>
          </cell>
        </row>
        <row r="328">
          <cell r="A328" t="str">
            <v>51451200</v>
          </cell>
          <cell r="B328" t="str">
            <v>EDIFICACIONES</v>
          </cell>
        </row>
        <row r="329">
          <cell r="A329" t="str">
            <v>514516</v>
          </cell>
          <cell r="B329" t="str">
            <v>EQUIPOS DE OFICINA</v>
          </cell>
        </row>
        <row r="330">
          <cell r="A330" t="str">
            <v>51451601</v>
          </cell>
          <cell r="B330" t="str">
            <v>EQUIPOS DE ASEO</v>
          </cell>
        </row>
        <row r="331">
          <cell r="A331" t="str">
            <v>51451602</v>
          </cell>
          <cell r="B331" t="str">
            <v>RECARGA EXTINTORES</v>
          </cell>
        </row>
        <row r="332">
          <cell r="A332" t="str">
            <v>51451603</v>
          </cell>
          <cell r="B332" t="str">
            <v>RELOJ MARCADOR</v>
          </cell>
        </row>
        <row r="333">
          <cell r="A333" t="str">
            <v>51451604</v>
          </cell>
          <cell r="B333" t="str">
            <v>FOTOCOPIADORAS</v>
          </cell>
        </row>
        <row r="334">
          <cell r="A334" t="str">
            <v>51451606</v>
          </cell>
          <cell r="B334" t="str">
            <v>MUEBLES</v>
          </cell>
        </row>
        <row r="335">
          <cell r="A335" t="str">
            <v>51451607</v>
          </cell>
          <cell r="B335" t="str">
            <v>VIDEO BEAM</v>
          </cell>
        </row>
        <row r="336">
          <cell r="A336" t="str">
            <v>51451613</v>
          </cell>
          <cell r="B336" t="str">
            <v>CONMUTADOR</v>
          </cell>
        </row>
        <row r="337">
          <cell r="A337" t="str">
            <v>51451615</v>
          </cell>
          <cell r="B337" t="str">
            <v>PISO FALSO</v>
          </cell>
        </row>
        <row r="338">
          <cell r="A338" t="str">
            <v>51451616</v>
          </cell>
          <cell r="B338" t="str">
            <v>AMBIENTAL MAQUINAS</v>
          </cell>
        </row>
        <row r="339">
          <cell r="A339" t="str">
            <v>51451622</v>
          </cell>
          <cell r="B339" t="str">
            <v>LECTORES PISOS</v>
          </cell>
        </row>
        <row r="340">
          <cell r="A340" t="str">
            <v>51451630</v>
          </cell>
          <cell r="B340" t="str">
            <v>OTROS EQUIPOS</v>
          </cell>
        </row>
        <row r="341">
          <cell r="A341" t="str">
            <v>514520</v>
          </cell>
          <cell r="B341" t="str">
            <v>EQUIPO DE COMPUTACION Y COMUNI</v>
          </cell>
        </row>
        <row r="342">
          <cell r="A342" t="str">
            <v>51452003</v>
          </cell>
          <cell r="B342" t="str">
            <v>U.P.S. MANTENIMIENTO</v>
          </cell>
        </row>
        <row r="343">
          <cell r="A343" t="str">
            <v>51452004</v>
          </cell>
          <cell r="B343" t="str">
            <v>MICROCOMPUTADORES E IMPRESORAS</v>
          </cell>
        </row>
        <row r="344">
          <cell r="A344" t="str">
            <v>51452005</v>
          </cell>
          <cell r="B344" t="str">
            <v>SOFTWARE REPLICADOR CONTINGENC</v>
          </cell>
        </row>
        <row r="345">
          <cell r="A345" t="str">
            <v>51452007</v>
          </cell>
          <cell r="B345" t="str">
            <v>PLANTA ELECTRICA</v>
          </cell>
        </row>
        <row r="346">
          <cell r="A346" t="str">
            <v>51452009</v>
          </cell>
          <cell r="B346" t="str">
            <v>AIRE ACONDICIONADO</v>
          </cell>
        </row>
        <row r="347">
          <cell r="A347" t="str">
            <v>51452013</v>
          </cell>
          <cell r="B347" t="str">
            <v>EQUIPOS TANDEM Y SUN</v>
          </cell>
        </row>
        <row r="348">
          <cell r="A348" t="str">
            <v>51452014</v>
          </cell>
          <cell r="B348" t="str">
            <v>APLICACIONES DE SISTEMAS</v>
          </cell>
        </row>
        <row r="349">
          <cell r="A349" t="str">
            <v>51452020</v>
          </cell>
          <cell r="B349" t="str">
            <v>EQUIPOS DE COMUNICACION</v>
          </cell>
        </row>
        <row r="350">
          <cell r="A350" t="str">
            <v>51452021</v>
          </cell>
          <cell r="B350" t="str">
            <v>BASES DE DATOS</v>
          </cell>
        </row>
        <row r="351">
          <cell r="A351" t="str">
            <v>514524</v>
          </cell>
          <cell r="B351" t="str">
            <v>EQUIPO DE TRANSPORTE</v>
          </cell>
        </row>
        <row r="352">
          <cell r="A352" t="str">
            <v>51452400</v>
          </cell>
          <cell r="B352" t="str">
            <v>EQUIPO DE TRANSPORTE</v>
          </cell>
        </row>
        <row r="353">
          <cell r="A353" t="str">
            <v>5150</v>
          </cell>
          <cell r="B353" t="str">
            <v xml:space="preserve">ADECUACION E INSTALACION      </v>
          </cell>
        </row>
        <row r="354">
          <cell r="A354" t="str">
            <v>515005</v>
          </cell>
          <cell r="B354" t="str">
            <v>INSTALACIONES ELECTRICAS</v>
          </cell>
        </row>
        <row r="355">
          <cell r="A355" t="str">
            <v>51500501</v>
          </cell>
          <cell r="B355" t="str">
            <v>ADECUACIONES E INSTALACIONES</v>
          </cell>
        </row>
        <row r="356">
          <cell r="A356" t="str">
            <v>515010</v>
          </cell>
          <cell r="B356" t="str">
            <v>ARREGLOS ORNAMENTALES</v>
          </cell>
        </row>
        <row r="357">
          <cell r="A357" t="str">
            <v>51501000</v>
          </cell>
          <cell r="B357" t="str">
            <v>ARREGLOS ORNAMENTALES</v>
          </cell>
        </row>
        <row r="358">
          <cell r="A358" t="str">
            <v>515015</v>
          </cell>
          <cell r="B358" t="str">
            <v>REPARACIONES LOCATIVAS</v>
          </cell>
        </row>
        <row r="359">
          <cell r="A359" t="str">
            <v>51501500</v>
          </cell>
          <cell r="B359" t="str">
            <v>REPARACIONES LOCATIVAS</v>
          </cell>
        </row>
        <row r="360">
          <cell r="A360" t="str">
            <v>51501501</v>
          </cell>
          <cell r="B360" t="str">
            <v>REPARACIONES LOCATIVAS</v>
          </cell>
        </row>
        <row r="361">
          <cell r="A361" t="str">
            <v>515095</v>
          </cell>
          <cell r="B361" t="str">
            <v>OTROS</v>
          </cell>
        </row>
        <row r="362">
          <cell r="A362" t="str">
            <v>51509500</v>
          </cell>
          <cell r="B362" t="str">
            <v>OTROS</v>
          </cell>
        </row>
        <row r="363">
          <cell r="A363" t="str">
            <v>5155</v>
          </cell>
          <cell r="B363" t="str">
            <v xml:space="preserve">GASTOS DE VIAJE               </v>
          </cell>
        </row>
        <row r="364">
          <cell r="A364" t="str">
            <v>515505</v>
          </cell>
          <cell r="B364" t="str">
            <v>ALOJAMIENTO Y MANUTENCION</v>
          </cell>
        </row>
        <row r="365">
          <cell r="A365" t="str">
            <v>51550501</v>
          </cell>
          <cell r="B365" t="str">
            <v>ALOJAMIENTO</v>
          </cell>
        </row>
        <row r="366">
          <cell r="A366" t="str">
            <v>51550502</v>
          </cell>
          <cell r="B366" t="str">
            <v>ALIMENTACION Y REFRIGERIOS</v>
          </cell>
        </row>
        <row r="367">
          <cell r="A367" t="str">
            <v>51550503</v>
          </cell>
          <cell r="B367" t="str">
            <v>OTROS</v>
          </cell>
        </row>
        <row r="368">
          <cell r="A368" t="str">
            <v>515515</v>
          </cell>
          <cell r="B368" t="str">
            <v>PASAJES AEREOS</v>
          </cell>
        </row>
        <row r="369">
          <cell r="A369" t="str">
            <v>51551501</v>
          </cell>
          <cell r="B369" t="str">
            <v>FUNCIONARIOS BOLSA</v>
          </cell>
        </row>
        <row r="370">
          <cell r="A370" t="str">
            <v>51551502</v>
          </cell>
          <cell r="B370" t="str">
            <v>CONSEJO DIRECTIVO</v>
          </cell>
        </row>
        <row r="371">
          <cell r="A371" t="str">
            <v>51551503</v>
          </cell>
          <cell r="B371" t="str">
            <v>OTROS</v>
          </cell>
        </row>
        <row r="372">
          <cell r="A372" t="str">
            <v>515525</v>
          </cell>
          <cell r="B372" t="str">
            <v>MOVILIZACIONES</v>
          </cell>
        </row>
        <row r="373">
          <cell r="A373" t="str">
            <v>51552501</v>
          </cell>
          <cell r="B373" t="str">
            <v>FUNCIONARIOS BOLSA</v>
          </cell>
        </row>
        <row r="374">
          <cell r="A374" t="str">
            <v>51552502</v>
          </cell>
          <cell r="B374" t="str">
            <v>OTROS</v>
          </cell>
        </row>
        <row r="375">
          <cell r="A375" t="str">
            <v>515555</v>
          </cell>
          <cell r="B375" t="str">
            <v>OTROS</v>
          </cell>
        </row>
        <row r="376">
          <cell r="A376" t="str">
            <v>51555501</v>
          </cell>
          <cell r="B376" t="str">
            <v>OTROS</v>
          </cell>
        </row>
        <row r="377">
          <cell r="A377" t="str">
            <v>515595</v>
          </cell>
          <cell r="B377" t="str">
            <v>OTROS</v>
          </cell>
        </row>
        <row r="378">
          <cell r="A378" t="str">
            <v>51559501</v>
          </cell>
          <cell r="B378" t="str">
            <v>FUNCIONARIOS BOLSA</v>
          </cell>
        </row>
        <row r="379">
          <cell r="A379" t="str">
            <v>51559510</v>
          </cell>
          <cell r="B379" t="str">
            <v>OTROS GASTOS DE VIAJE</v>
          </cell>
        </row>
        <row r="380">
          <cell r="A380" t="str">
            <v>51559520</v>
          </cell>
          <cell r="B380" t="str">
            <v>TRAMITES LEGALES</v>
          </cell>
        </row>
        <row r="381">
          <cell r="A381" t="str">
            <v>51559530</v>
          </cell>
          <cell r="B381" t="str">
            <v>VIATICOS DE MIEMBROS CONSEJO</v>
          </cell>
        </row>
        <row r="382">
          <cell r="A382" t="str">
            <v>5160</v>
          </cell>
          <cell r="B382" t="str">
            <v xml:space="preserve">DEPRECIACIONES                </v>
          </cell>
        </row>
        <row r="383">
          <cell r="A383" t="str">
            <v>516012</v>
          </cell>
          <cell r="B383" t="str">
            <v>EDIFICACIONES</v>
          </cell>
        </row>
        <row r="384">
          <cell r="A384" t="str">
            <v>51601201</v>
          </cell>
          <cell r="B384" t="str">
            <v>EDIFICACION CALLE 72 CON CRA 7</v>
          </cell>
        </row>
        <row r="385">
          <cell r="A385" t="str">
            <v>516016</v>
          </cell>
          <cell r="B385" t="str">
            <v>EQUIPO DE OFICINA</v>
          </cell>
        </row>
        <row r="386">
          <cell r="A386" t="str">
            <v>51601601</v>
          </cell>
          <cell r="B386" t="str">
            <v>MUEBLES Y ENSERES</v>
          </cell>
        </row>
        <row r="387">
          <cell r="A387" t="str">
            <v>51601602</v>
          </cell>
          <cell r="B387" t="str">
            <v>EQUIPO ELECTRONICO</v>
          </cell>
        </row>
        <row r="388">
          <cell r="A388" t="str">
            <v>51601603</v>
          </cell>
          <cell r="B388" t="str">
            <v>PANTALLAS DE PLASMA</v>
          </cell>
        </row>
        <row r="389">
          <cell r="A389" t="str">
            <v>516020</v>
          </cell>
          <cell r="B389" t="str">
            <v>EQUIPO DE COMPUTACION Y COMUNI</v>
          </cell>
        </row>
        <row r="390">
          <cell r="A390" t="str">
            <v>51602002</v>
          </cell>
          <cell r="B390" t="str">
            <v>MICROCOMPUTADORES</v>
          </cell>
        </row>
        <row r="391">
          <cell r="A391" t="str">
            <v>51602003</v>
          </cell>
          <cell r="B391" t="str">
            <v>SERVIDORES</v>
          </cell>
        </row>
        <row r="392">
          <cell r="A392" t="str">
            <v>51602004</v>
          </cell>
          <cell r="B392" t="str">
            <v>EQUIPO DE COMUNICACIONES</v>
          </cell>
        </row>
        <row r="393">
          <cell r="A393" t="str">
            <v>51602005</v>
          </cell>
          <cell r="B393" t="str">
            <v>PLANTA ELECTRICA</v>
          </cell>
        </row>
        <row r="394">
          <cell r="A394" t="str">
            <v>51602006</v>
          </cell>
          <cell r="B394" t="str">
            <v>U.P.S.</v>
          </cell>
        </row>
        <row r="395">
          <cell r="A395" t="str">
            <v>51602007</v>
          </cell>
          <cell r="B395" t="str">
            <v>COMPUTADOR TANDEM</v>
          </cell>
        </row>
        <row r="396">
          <cell r="A396" t="str">
            <v>51602012</v>
          </cell>
          <cell r="B396" t="str">
            <v>BACK OFFICCE</v>
          </cell>
        </row>
        <row r="397">
          <cell r="A397" t="str">
            <v>516024</v>
          </cell>
          <cell r="B397" t="str">
            <v>EQUIPO DE TRANSPORTE</v>
          </cell>
        </row>
        <row r="398">
          <cell r="A398" t="str">
            <v>51602401</v>
          </cell>
          <cell r="B398" t="str">
            <v>VEHICULOS</v>
          </cell>
        </row>
        <row r="399">
          <cell r="A399" t="str">
            <v>5165</v>
          </cell>
          <cell r="B399" t="str">
            <v xml:space="preserve">AMORTIZACIONES                </v>
          </cell>
        </row>
        <row r="400">
          <cell r="A400" t="str">
            <v>516505</v>
          </cell>
          <cell r="B400" t="str">
            <v>ACTIVOS INTANGIBLES</v>
          </cell>
        </row>
        <row r="401">
          <cell r="A401" t="str">
            <v>51650501</v>
          </cell>
          <cell r="B401" t="str">
            <v>NOMBRE MEDELLIN</v>
          </cell>
        </row>
        <row r="402">
          <cell r="A402" t="str">
            <v>51650502</v>
          </cell>
          <cell r="B402" t="str">
            <v>NOMBRE BOGOTA</v>
          </cell>
        </row>
        <row r="403">
          <cell r="A403" t="str">
            <v>516520</v>
          </cell>
          <cell r="B403" t="str">
            <v>ESTUDIOS INVESTIGACIONES Y PRO</v>
          </cell>
        </row>
        <row r="404">
          <cell r="A404" t="str">
            <v>51652001</v>
          </cell>
          <cell r="B404" t="str">
            <v>HONORARIOS</v>
          </cell>
        </row>
        <row r="405">
          <cell r="A405" t="str">
            <v>51652002</v>
          </cell>
          <cell r="B405" t="str">
            <v>IMPUESTOS</v>
          </cell>
        </row>
        <row r="406">
          <cell r="A406" t="str">
            <v>51652003</v>
          </cell>
          <cell r="B406" t="str">
            <v>ARRENDAMIENTOS</v>
          </cell>
        </row>
        <row r="407">
          <cell r="A407" t="str">
            <v>51652004</v>
          </cell>
          <cell r="B407" t="str">
            <v>SERVICIOS TEMPORALES OFICINA</v>
          </cell>
        </row>
        <row r="408">
          <cell r="A408" t="str">
            <v>51652005</v>
          </cell>
          <cell r="B408" t="str">
            <v>SERVICIOS GENERALES</v>
          </cell>
        </row>
        <row r="409">
          <cell r="A409" t="str">
            <v>51652006</v>
          </cell>
          <cell r="B409" t="str">
            <v>DIVULGACION Y PUBLICIDAD</v>
          </cell>
        </row>
        <row r="410">
          <cell r="A410" t="str">
            <v>51652007</v>
          </cell>
          <cell r="B410" t="str">
            <v>RELACIONES PUBLICAS</v>
          </cell>
        </row>
        <row r="411">
          <cell r="A411" t="str">
            <v>51652008</v>
          </cell>
          <cell r="B411" t="str">
            <v>PAPELERIA</v>
          </cell>
        </row>
        <row r="412">
          <cell r="A412" t="str">
            <v>51652009</v>
          </cell>
          <cell r="B412" t="str">
            <v>GASTOS DE VIAJE</v>
          </cell>
        </row>
        <row r="413">
          <cell r="A413" t="str">
            <v>51652010</v>
          </cell>
          <cell r="B413" t="str">
            <v>OTROS GASTOS</v>
          </cell>
        </row>
        <row r="414">
          <cell r="A414" t="str">
            <v>51652011</v>
          </cell>
          <cell r="B414" t="str">
            <v>CAPACITACION</v>
          </cell>
        </row>
        <row r="415">
          <cell r="A415" t="str">
            <v>51652012</v>
          </cell>
          <cell r="B415" t="str">
            <v>CASINO Y RESTAURANTE PROYECTOS</v>
          </cell>
        </row>
        <row r="416">
          <cell r="A416" t="str">
            <v>51652013</v>
          </cell>
          <cell r="B416" t="str">
            <v>TAXIS Y BUSES</v>
          </cell>
        </row>
        <row r="417">
          <cell r="A417" t="str">
            <v>51652014</v>
          </cell>
          <cell r="B417" t="str">
            <v>ADMINISTRACION INMUEBLES</v>
          </cell>
        </row>
        <row r="418">
          <cell r="A418" t="str">
            <v>51652015</v>
          </cell>
          <cell r="B418" t="str">
            <v>GASTOS LEGALES</v>
          </cell>
        </row>
        <row r="419">
          <cell r="A419" t="str">
            <v>51652016</v>
          </cell>
          <cell r="B419" t="str">
            <v>SERVICIOS</v>
          </cell>
        </row>
        <row r="420">
          <cell r="A420" t="str">
            <v>51652017</v>
          </cell>
          <cell r="B420" t="str">
            <v>SERVICIOS PUBLICOS</v>
          </cell>
        </row>
        <row r="421">
          <cell r="A421" t="str">
            <v>51652018</v>
          </cell>
          <cell r="B421" t="str">
            <v>ELEMENTOS DE ASEO Y CAFETERIA</v>
          </cell>
        </row>
        <row r="422">
          <cell r="A422" t="str">
            <v>51652019</v>
          </cell>
          <cell r="B422" t="str">
            <v>SISTEMA ELECTRONICO DE SEGURID</v>
          </cell>
        </row>
        <row r="423">
          <cell r="A423" t="str">
            <v>51652020</v>
          </cell>
          <cell r="B423" t="str">
            <v>MTO EQUIPO DE COMPUTO Y COMUNI</v>
          </cell>
        </row>
        <row r="424">
          <cell r="A424" t="str">
            <v>51652021</v>
          </cell>
          <cell r="B424" t="str">
            <v>VIGILANCIA</v>
          </cell>
        </row>
        <row r="425">
          <cell r="A425" t="str">
            <v>51652022</v>
          </cell>
          <cell r="B425" t="str">
            <v>SERVICIO DE ASEO</v>
          </cell>
        </row>
        <row r="426">
          <cell r="A426" t="str">
            <v>51652099</v>
          </cell>
          <cell r="B426" t="str">
            <v>ACCIONES Y DERIVADOS OMX</v>
          </cell>
        </row>
        <row r="427">
          <cell r="A427" t="str">
            <v>516525</v>
          </cell>
          <cell r="B427" t="str">
            <v>PROGRAMAS PARA COMPUTADOR (SOF</v>
          </cell>
        </row>
        <row r="428">
          <cell r="A428" t="str">
            <v>51652501</v>
          </cell>
          <cell r="B428" t="str">
            <v>SEGUIM.SISTEMA (INFRAEST TECNO</v>
          </cell>
        </row>
        <row r="429">
          <cell r="A429" t="str">
            <v>51652502</v>
          </cell>
          <cell r="B429" t="str">
            <v>LICENCIAMIENTO SOFTWARE APLICA</v>
          </cell>
        </row>
        <row r="430">
          <cell r="A430" t="str">
            <v>51652503</v>
          </cell>
          <cell r="B430" t="str">
            <v>MANTENIMIENTO DE SOFTWARE</v>
          </cell>
        </row>
        <row r="431">
          <cell r="A431" t="str">
            <v>51652504</v>
          </cell>
          <cell r="B431" t="str">
            <v>SOFTWARE BASICO</v>
          </cell>
        </row>
        <row r="432">
          <cell r="A432" t="str">
            <v>51652505</v>
          </cell>
          <cell r="B432" t="str">
            <v>SERVICIOS GAP ANALYSIS</v>
          </cell>
        </row>
        <row r="433">
          <cell r="A433" t="str">
            <v>51652506</v>
          </cell>
          <cell r="B433" t="str">
            <v>SYSTEM INTEGRATION</v>
          </cell>
        </row>
        <row r="434">
          <cell r="A434" t="str">
            <v>51652507</v>
          </cell>
          <cell r="B434" t="str">
            <v>SERVICIOS ESPECIALIZADOS</v>
          </cell>
        </row>
        <row r="435">
          <cell r="A435" t="str">
            <v>51652508</v>
          </cell>
          <cell r="B435" t="str">
            <v>QA TECNICO</v>
          </cell>
        </row>
        <row r="436">
          <cell r="A436" t="str">
            <v>51652509</v>
          </cell>
          <cell r="B436" t="str">
            <v>DESARROLLADORES</v>
          </cell>
        </row>
        <row r="437">
          <cell r="A437" t="str">
            <v>51652510</v>
          </cell>
          <cell r="B437" t="str">
            <v>ADMINISTRADOR DE LA PLATAFORMA</v>
          </cell>
        </row>
        <row r="438">
          <cell r="A438" t="str">
            <v>51652511</v>
          </cell>
          <cell r="B438" t="str">
            <v>MEJORAS</v>
          </cell>
        </row>
        <row r="439">
          <cell r="A439" t="str">
            <v>51652512</v>
          </cell>
          <cell r="B439" t="str">
            <v>OTROS</v>
          </cell>
        </row>
        <row r="440">
          <cell r="A440" t="str">
            <v>51652513</v>
          </cell>
          <cell r="B440" t="str">
            <v>SOFTWARE APLICATIVO</v>
          </cell>
        </row>
        <row r="441">
          <cell r="A441" t="str">
            <v>51652514</v>
          </cell>
          <cell r="B441" t="str">
            <v>SOFTWARE CONECTOR</v>
          </cell>
        </row>
        <row r="442">
          <cell r="A442" t="str">
            <v>51652515</v>
          </cell>
          <cell r="B442" t="str">
            <v>INSTALACION</v>
          </cell>
        </row>
        <row r="443">
          <cell r="A443" t="str">
            <v>51652516</v>
          </cell>
          <cell r="B443" t="str">
            <v>SOFTWARE PARA MICROCOMPUTADORE</v>
          </cell>
        </row>
        <row r="444">
          <cell r="A444" t="str">
            <v>51652517</v>
          </cell>
          <cell r="B444" t="str">
            <v>SOFTWARE PARA COMPUTADORES</v>
          </cell>
        </row>
        <row r="445">
          <cell r="A445" t="str">
            <v>51652518</v>
          </cell>
          <cell r="B445" t="str">
            <v>SOFTWARE PARA EL MEC (S.C.0)</v>
          </cell>
        </row>
        <row r="446">
          <cell r="A446" t="str">
            <v>51652519</v>
          </cell>
          <cell r="B446" t="str">
            <v>TTV'S</v>
          </cell>
        </row>
        <row r="447">
          <cell r="A447" t="str">
            <v>51652520</v>
          </cell>
          <cell r="B447" t="str">
            <v>SOFTWARE PARA INFORMIX</v>
          </cell>
        </row>
        <row r="448">
          <cell r="A448" t="str">
            <v>51652521</v>
          </cell>
          <cell r="B448" t="str">
            <v>SOFTWARE PARA SIMULTANEAS</v>
          </cell>
        </row>
        <row r="449">
          <cell r="A449" t="str">
            <v>51652522</v>
          </cell>
          <cell r="B449" t="str">
            <v>SOFTWARE DEUDA PUBLICA</v>
          </cell>
        </row>
        <row r="450">
          <cell r="A450" t="str">
            <v>51652523</v>
          </cell>
          <cell r="B450" t="str">
            <v>SOFTWARE PARA TANDEM</v>
          </cell>
        </row>
        <row r="451">
          <cell r="A451" t="str">
            <v>51652524</v>
          </cell>
          <cell r="B451" t="str">
            <v>LICENCIAS SIOPEL</v>
          </cell>
        </row>
        <row r="452">
          <cell r="A452" t="str">
            <v>51652525</v>
          </cell>
          <cell r="B452" t="str">
            <v>INFOVAL</v>
          </cell>
        </row>
        <row r="453">
          <cell r="A453" t="str">
            <v>516595</v>
          </cell>
          <cell r="B453" t="str">
            <v>OTRAS</v>
          </cell>
        </row>
        <row r="454">
          <cell r="A454" t="str">
            <v>51659501</v>
          </cell>
          <cell r="B454" t="str">
            <v>C0NTRIBUCIONES</v>
          </cell>
        </row>
        <row r="455">
          <cell r="A455" t="str">
            <v>51659502</v>
          </cell>
          <cell r="B455" t="str">
            <v>AVISO EDIFICIO BOGOTA</v>
          </cell>
        </row>
        <row r="456">
          <cell r="A456" t="str">
            <v>51659503</v>
          </cell>
          <cell r="B456" t="str">
            <v>AVISO EDIFICIO MEDELLIN</v>
          </cell>
        </row>
        <row r="457">
          <cell r="A457" t="str">
            <v>5195</v>
          </cell>
          <cell r="B457" t="str">
            <v xml:space="preserve">DIVERSOS                      </v>
          </cell>
        </row>
        <row r="458">
          <cell r="A458" t="str">
            <v>519505</v>
          </cell>
          <cell r="B458" t="str">
            <v>COMISIONES</v>
          </cell>
        </row>
        <row r="459">
          <cell r="A459" t="str">
            <v>51950501</v>
          </cell>
          <cell r="B459" t="str">
            <v>COMISION VALES SODEXHO</v>
          </cell>
        </row>
        <row r="460">
          <cell r="A460" t="str">
            <v>51950502</v>
          </cell>
          <cell r="B460" t="str">
            <v>COMISIONES VALE SERVICIO TAXI</v>
          </cell>
        </row>
        <row r="461">
          <cell r="A461" t="str">
            <v>519520</v>
          </cell>
          <cell r="B461" t="str">
            <v>ELEMENTOS DE ASEO Y CAFETERIA</v>
          </cell>
        </row>
        <row r="462">
          <cell r="A462" t="str">
            <v>51952001</v>
          </cell>
          <cell r="B462" t="str">
            <v>ELEMENTOS DE ASEO</v>
          </cell>
        </row>
        <row r="463">
          <cell r="A463" t="str">
            <v>51952002</v>
          </cell>
          <cell r="B463" t="str">
            <v>ELEMENTOS DE CAFETERIA</v>
          </cell>
        </row>
        <row r="464">
          <cell r="A464" t="str">
            <v>519525</v>
          </cell>
          <cell r="B464" t="str">
            <v>UTILES, PAPELERIA Y FOTOCOPIAS</v>
          </cell>
        </row>
        <row r="465">
          <cell r="A465" t="str">
            <v>51952500</v>
          </cell>
          <cell r="B465" t="str">
            <v>UTILES, PAPELERIA Y FOTOCOPIAS</v>
          </cell>
        </row>
        <row r="466">
          <cell r="A466" t="str">
            <v>51952501</v>
          </cell>
          <cell r="B466" t="str">
            <v>IMPRESION EXTERNA</v>
          </cell>
        </row>
        <row r="467">
          <cell r="A467" t="str">
            <v>519530</v>
          </cell>
          <cell r="B467" t="str">
            <v>COMBUSTIBLES Y LUBRICANTES</v>
          </cell>
        </row>
        <row r="468">
          <cell r="A468" t="str">
            <v>51953000</v>
          </cell>
          <cell r="B468" t="str">
            <v>COMBUSTIBLES Y LUBRICANTES</v>
          </cell>
        </row>
        <row r="469">
          <cell r="A469" t="str">
            <v>519540</v>
          </cell>
          <cell r="B469" t="str">
            <v>TAXIS Y BUSES</v>
          </cell>
        </row>
        <row r="470">
          <cell r="A470" t="str">
            <v>51954000</v>
          </cell>
          <cell r="B470" t="str">
            <v>TAXIS Y BUSES</v>
          </cell>
        </row>
        <row r="471">
          <cell r="A471" t="str">
            <v>519555</v>
          </cell>
          <cell r="B471" t="str">
            <v>CASINO Y RESTAURANTE</v>
          </cell>
        </row>
        <row r="472">
          <cell r="A472" t="str">
            <v>51955500</v>
          </cell>
          <cell r="B472" t="str">
            <v>CASINO Y RESTAURANTE</v>
          </cell>
        </row>
        <row r="473">
          <cell r="A473" t="str">
            <v>51955501</v>
          </cell>
          <cell r="B473" t="str">
            <v>A EMPLEADOS</v>
          </cell>
        </row>
        <row r="474">
          <cell r="A474" t="str">
            <v>51955502</v>
          </cell>
          <cell r="B474" t="str">
            <v>A COMISIONISTAS</v>
          </cell>
        </row>
        <row r="475">
          <cell r="A475" t="str">
            <v>51955515</v>
          </cell>
          <cell r="B475" t="str">
            <v>A EMPLEADOS</v>
          </cell>
        </row>
        <row r="476">
          <cell r="A476" t="str">
            <v>519560</v>
          </cell>
          <cell r="B476" t="str">
            <v>PARQUEADEROS</v>
          </cell>
        </row>
        <row r="477">
          <cell r="A477" t="str">
            <v>51956000</v>
          </cell>
          <cell r="B477" t="str">
            <v>PARQUEADEROS</v>
          </cell>
        </row>
        <row r="478">
          <cell r="A478" t="str">
            <v>519595</v>
          </cell>
          <cell r="B478" t="str">
            <v>OTROS</v>
          </cell>
        </row>
        <row r="479">
          <cell r="A479" t="str">
            <v>51959500</v>
          </cell>
          <cell r="B479" t="str">
            <v>OTROS</v>
          </cell>
        </row>
        <row r="480">
          <cell r="A480" t="str">
            <v>51959501</v>
          </cell>
          <cell r="B480" t="str">
            <v>AMPLIFICACION DE SONIDO</v>
          </cell>
        </row>
        <row r="481">
          <cell r="A481" t="str">
            <v>51959502</v>
          </cell>
          <cell r="B481" t="str">
            <v>PANTALLAS PLASMA</v>
          </cell>
        </row>
        <row r="482">
          <cell r="A482" t="str">
            <v>51959511</v>
          </cell>
          <cell r="B482" t="str">
            <v>BASES DE DATOS EN MEDIO MAGNET</v>
          </cell>
        </row>
        <row r="483">
          <cell r="A483" t="str">
            <v>51959521</v>
          </cell>
          <cell r="B483" t="str">
            <v>LIBROS PARA BIBLIOTECA</v>
          </cell>
        </row>
        <row r="484">
          <cell r="A484" t="str">
            <v>51959522</v>
          </cell>
          <cell r="B484" t="str">
            <v>LIBROS PARA OTRAS DEPENDENCIAS</v>
          </cell>
        </row>
        <row r="485">
          <cell r="A485" t="str">
            <v>51959523</v>
          </cell>
          <cell r="B485" t="str">
            <v>EMPASTE DE LIBROS</v>
          </cell>
        </row>
        <row r="486">
          <cell r="A486" t="str">
            <v>51959540</v>
          </cell>
          <cell r="B486" t="str">
            <v>INCENTIVO OPERACIÓN MARTILLO</v>
          </cell>
        </row>
        <row r="487">
          <cell r="A487" t="str">
            <v>51959580</v>
          </cell>
          <cell r="B487" t="str">
            <v>VARIOS</v>
          </cell>
        </row>
        <row r="488">
          <cell r="A488" t="str">
            <v>51959599</v>
          </cell>
          <cell r="B488" t="str">
            <v>PROVISION OPEX PROYECTOS</v>
          </cell>
        </row>
        <row r="489">
          <cell r="A489" t="str">
            <v>5199</v>
          </cell>
          <cell r="B489" t="str">
            <v xml:space="preserve">PROVISIONES                   </v>
          </cell>
        </row>
        <row r="490">
          <cell r="A490" t="str">
            <v>519910</v>
          </cell>
          <cell r="B490" t="str">
            <v>DEUDORES</v>
          </cell>
        </row>
        <row r="491">
          <cell r="A491" t="str">
            <v>51991050</v>
          </cell>
          <cell r="B491" t="str">
            <v>CARTERA DUDOSO RECAUDO</v>
          </cell>
        </row>
        <row r="492">
          <cell r="A492" t="str">
            <v>53</v>
          </cell>
          <cell r="B492" t="str">
            <v>NO OPERACIONALES</v>
          </cell>
        </row>
        <row r="493">
          <cell r="A493" t="str">
            <v>5305</v>
          </cell>
          <cell r="B493" t="str">
            <v xml:space="preserve">FINANCIEROS                   </v>
          </cell>
        </row>
        <row r="494">
          <cell r="A494" t="str">
            <v>530505</v>
          </cell>
          <cell r="B494" t="str">
            <v>GASTOS BANCARIOS</v>
          </cell>
        </row>
        <row r="495">
          <cell r="A495" t="str">
            <v>53050500</v>
          </cell>
          <cell r="B495" t="str">
            <v>GASTOS BANCARIOS</v>
          </cell>
        </row>
        <row r="496">
          <cell r="A496" t="str">
            <v>530515</v>
          </cell>
          <cell r="B496" t="str">
            <v>COMISIONES</v>
          </cell>
        </row>
        <row r="497">
          <cell r="A497" t="str">
            <v>53051500</v>
          </cell>
          <cell r="B497" t="str">
            <v>COMISIONES</v>
          </cell>
        </row>
        <row r="498">
          <cell r="A498" t="str">
            <v>530520</v>
          </cell>
          <cell r="B498" t="str">
            <v>INTERESES</v>
          </cell>
        </row>
        <row r="499">
          <cell r="A499" t="str">
            <v>53052001</v>
          </cell>
          <cell r="B499" t="str">
            <v>INTERESES BANCARIOS</v>
          </cell>
        </row>
        <row r="500">
          <cell r="A500" t="str">
            <v>53052002</v>
          </cell>
          <cell r="B500" t="str">
            <v>LEASING INMUEBLE</v>
          </cell>
        </row>
        <row r="501">
          <cell r="A501" t="str">
            <v>53052003</v>
          </cell>
          <cell r="B501" t="str">
            <v>LEASING OTROS</v>
          </cell>
        </row>
        <row r="502">
          <cell r="A502" t="str">
            <v>53052004</v>
          </cell>
          <cell r="B502" t="str">
            <v>INTERESES REPO</v>
          </cell>
        </row>
        <row r="503">
          <cell r="A503" t="str">
            <v>530525</v>
          </cell>
          <cell r="B503" t="str">
            <v>DIFERENCIA EN CAMBIO</v>
          </cell>
        </row>
        <row r="504">
          <cell r="A504" t="str">
            <v>53052500</v>
          </cell>
          <cell r="B504" t="str">
            <v>DIFERENCIA EN CAMBIO</v>
          </cell>
        </row>
        <row r="505">
          <cell r="A505" t="str">
            <v>5310</v>
          </cell>
          <cell r="B505" t="str">
            <v>PERDIDA EN VENTA Y RETIRO DE B</v>
          </cell>
        </row>
        <row r="506">
          <cell r="A506" t="str">
            <v>531035</v>
          </cell>
          <cell r="B506" t="str">
            <v>PERDIDA POR RETIRO DE PROP PLA</v>
          </cell>
        </row>
        <row r="507">
          <cell r="A507" t="str">
            <v>53103501</v>
          </cell>
          <cell r="B507" t="str">
            <v>EQUIPO DE COMPUTO</v>
          </cell>
        </row>
        <row r="508">
          <cell r="A508" t="str">
            <v>53103502</v>
          </cell>
          <cell r="B508" t="str">
            <v>EQUIPO ELECTRONICO</v>
          </cell>
        </row>
        <row r="509">
          <cell r="A509" t="str">
            <v>53103505</v>
          </cell>
          <cell r="B509" t="str">
            <v>VEHICULOS</v>
          </cell>
        </row>
        <row r="510">
          <cell r="A510" t="str">
            <v>53103506</v>
          </cell>
          <cell r="B510" t="str">
            <v>EQUIPO DE TRANSPORTE</v>
          </cell>
        </row>
        <row r="511">
          <cell r="A511" t="str">
            <v>5314</v>
          </cell>
          <cell r="B511" t="str">
            <v>GASTOS NO DEDUCIBLES DEL IMPUE</v>
          </cell>
        </row>
        <row r="512">
          <cell r="A512" t="str">
            <v>531405</v>
          </cell>
          <cell r="B512" t="str">
            <v>MULTAS Y SANCIONES</v>
          </cell>
        </row>
        <row r="513">
          <cell r="A513" t="str">
            <v>53140520</v>
          </cell>
          <cell r="B513" t="str">
            <v>SANCIONES</v>
          </cell>
        </row>
        <row r="514">
          <cell r="A514" t="str">
            <v>53140521</v>
          </cell>
          <cell r="B514" t="str">
            <v>RETENCION EN LA FUENTE</v>
          </cell>
        </row>
        <row r="515">
          <cell r="A515" t="str">
            <v>53140522</v>
          </cell>
          <cell r="B515" t="str">
            <v>INDUSTRIA Y COMERCIO</v>
          </cell>
        </row>
        <row r="516">
          <cell r="A516" t="str">
            <v>53140523</v>
          </cell>
          <cell r="B516" t="str">
            <v>IVA</v>
          </cell>
        </row>
        <row r="517">
          <cell r="A517" t="str">
            <v>531410</v>
          </cell>
          <cell r="B517" t="str">
            <v>INTERESES DE MORA</v>
          </cell>
        </row>
        <row r="518">
          <cell r="A518" t="str">
            <v>53141000</v>
          </cell>
          <cell r="B518" t="str">
            <v>INTERESES DE MORA</v>
          </cell>
        </row>
        <row r="519">
          <cell r="A519" t="str">
            <v>531415</v>
          </cell>
          <cell r="B519" t="str">
            <v>IMPUESTOS ASUMIDOS</v>
          </cell>
        </row>
        <row r="520">
          <cell r="A520" t="str">
            <v>53141501</v>
          </cell>
          <cell r="B520" t="str">
            <v>RETENCION EN LA FUENTE</v>
          </cell>
        </row>
        <row r="521">
          <cell r="A521" t="str">
            <v>53141502</v>
          </cell>
          <cell r="B521" t="str">
            <v>IMPUESTOS POR APROXIM A MILES</v>
          </cell>
        </row>
        <row r="522">
          <cell r="A522" t="str">
            <v>53141503</v>
          </cell>
          <cell r="B522" t="str">
            <v>IVA</v>
          </cell>
        </row>
        <row r="523">
          <cell r="A523" t="str">
            <v>53141504</v>
          </cell>
          <cell r="B523" t="str">
            <v>TIMBRE</v>
          </cell>
        </row>
        <row r="524">
          <cell r="A524" t="str">
            <v>53141505</v>
          </cell>
          <cell r="B524" t="str">
            <v>INDUSTRIA Y COMERCIO</v>
          </cell>
        </row>
        <row r="525">
          <cell r="A525" t="str">
            <v>53141506</v>
          </cell>
          <cell r="B525" t="str">
            <v>RETENCION DE IVA</v>
          </cell>
        </row>
        <row r="526">
          <cell r="A526" t="str">
            <v>5320</v>
          </cell>
          <cell r="B526" t="str">
            <v xml:space="preserve">GASTOS EJERCICIOS ANTERIORES  </v>
          </cell>
        </row>
        <row r="527">
          <cell r="A527" t="str">
            <v>532005</v>
          </cell>
          <cell r="B527" t="str">
            <v>GASTOS EJERCICIOS ANTERIORES</v>
          </cell>
        </row>
        <row r="528">
          <cell r="A528" t="str">
            <v>53200501</v>
          </cell>
          <cell r="B528" t="str">
            <v>GASTOS DE PERSONAL-PRESTACIONE</v>
          </cell>
        </row>
        <row r="529">
          <cell r="A529" t="str">
            <v>53200502</v>
          </cell>
          <cell r="B529" t="str">
            <v>EMPASTE DE LIBROS</v>
          </cell>
        </row>
        <row r="530">
          <cell r="A530" t="str">
            <v>53200503</v>
          </cell>
          <cell r="B530" t="str">
            <v>GASTOS ADMINISTRATIVOS</v>
          </cell>
        </row>
        <row r="531">
          <cell r="A531" t="str">
            <v>53200504</v>
          </cell>
          <cell r="B531" t="str">
            <v>IMPUESTOS</v>
          </cell>
        </row>
        <row r="532">
          <cell r="A532" t="str">
            <v>53200506</v>
          </cell>
          <cell r="B532" t="str">
            <v>VIATICOS Y GASTOS DE VIAJE</v>
          </cell>
        </row>
        <row r="533">
          <cell r="A533" t="str">
            <v>53200507</v>
          </cell>
          <cell r="B533" t="str">
            <v>EVENTOS</v>
          </cell>
        </row>
        <row r="534">
          <cell r="A534" t="str">
            <v>5395</v>
          </cell>
          <cell r="B534" t="str">
            <v xml:space="preserve">GASTOS DIVERSOS               </v>
          </cell>
        </row>
        <row r="535">
          <cell r="A535" t="str">
            <v>539520</v>
          </cell>
          <cell r="B535" t="str">
            <v>MULTAS, SANCIONES Y LITIGIOS</v>
          </cell>
        </row>
        <row r="536">
          <cell r="A536" t="str">
            <v>53952000</v>
          </cell>
          <cell r="B536" t="str">
            <v>MULTAS, SANCIONES Y LITIGIOS</v>
          </cell>
        </row>
        <row r="537">
          <cell r="A537" t="str">
            <v>53952001</v>
          </cell>
          <cell r="B537" t="str">
            <v>MULTAS</v>
          </cell>
        </row>
        <row r="538">
          <cell r="A538" t="str">
            <v>53952002</v>
          </cell>
          <cell r="B538" t="str">
            <v>LITIGIOS Y DEMANDAS</v>
          </cell>
        </row>
        <row r="539">
          <cell r="A539" t="str">
            <v>539525</v>
          </cell>
          <cell r="B539" t="str">
            <v>DONACIONES</v>
          </cell>
        </row>
        <row r="540">
          <cell r="A540" t="str">
            <v>53952500</v>
          </cell>
          <cell r="B540" t="str">
            <v>DONACIONES</v>
          </cell>
        </row>
        <row r="541">
          <cell r="A541" t="str">
            <v>53952501</v>
          </cell>
          <cell r="B541" t="str">
            <v>DONACION DIVODENDO POR COLOMBI</v>
          </cell>
        </row>
        <row r="542">
          <cell r="A542" t="str">
            <v>539595</v>
          </cell>
          <cell r="B542" t="str">
            <v>OTROS</v>
          </cell>
        </row>
        <row r="543">
          <cell r="A543" t="str">
            <v>53959501</v>
          </cell>
          <cell r="B543" t="str">
            <v>CURSO DE OPERACIÓN BURSATIL</v>
          </cell>
        </row>
        <row r="544">
          <cell r="A544" t="str">
            <v>53959502</v>
          </cell>
          <cell r="B544" t="str">
            <v>GASTOS TORNEOS</v>
          </cell>
        </row>
        <row r="545">
          <cell r="A545" t="str">
            <v>53959503</v>
          </cell>
          <cell r="B545" t="str">
            <v>INGRESOS EJERCICIOS ANTERIORES</v>
          </cell>
        </row>
        <row r="546">
          <cell r="A546" t="str">
            <v>53959504</v>
          </cell>
          <cell r="B546" t="str">
            <v>AJUSTE A MILES</v>
          </cell>
        </row>
        <row r="547">
          <cell r="A547" t="str">
            <v>53959505</v>
          </cell>
          <cell r="B547" t="str">
            <v>SOPORTE FINAN Y ADMON ANULADO</v>
          </cell>
        </row>
        <row r="548">
          <cell r="A548" t="str">
            <v>53959506</v>
          </cell>
          <cell r="B548" t="str">
            <v>REINTEGRO DE GASTOS ANULADO</v>
          </cell>
        </row>
        <row r="549">
          <cell r="A549" t="str">
            <v>53959507</v>
          </cell>
          <cell r="B549" t="str">
            <v>IVA INGRESOS EJERCICIOS ANTERI</v>
          </cell>
        </row>
        <row r="550">
          <cell r="A550" t="str">
            <v>54</v>
          </cell>
          <cell r="B550" t="str">
            <v>IMPUESTO DE RENTA Y COMPLEM</v>
          </cell>
        </row>
        <row r="551">
          <cell r="A551" t="str">
            <v>5405</v>
          </cell>
          <cell r="B551" t="str">
            <v>IMPUESTO DE RENTA Y COMPLEMENT</v>
          </cell>
        </row>
        <row r="552">
          <cell r="A552" t="str">
            <v>540505</v>
          </cell>
          <cell r="B552" t="str">
            <v>IMPUESTO DE RENTA Y COMPLEMENT</v>
          </cell>
        </row>
        <row r="553">
          <cell r="A553" t="str">
            <v>54050510</v>
          </cell>
          <cell r="B553" t="str">
            <v>PROVISION PRESENTE AÑO</v>
          </cell>
        </row>
        <row r="554">
          <cell r="A554" t="str">
            <v>59</v>
          </cell>
          <cell r="B554" t="str">
            <v>GANANCIAS Y PERDIDAS</v>
          </cell>
        </row>
        <row r="555">
          <cell r="A555" t="str">
            <v>5905</v>
          </cell>
          <cell r="B555" t="str">
            <v xml:space="preserve">GANANCIAS                     </v>
          </cell>
        </row>
        <row r="556">
          <cell r="A556" t="str">
            <v>590505</v>
          </cell>
          <cell r="B556" t="str">
            <v>GANANCIAS</v>
          </cell>
        </row>
        <row r="557">
          <cell r="A557" t="str">
            <v>59050500</v>
          </cell>
          <cell r="B557" t="str">
            <v>GANANCIAS</v>
          </cell>
        </row>
      </sheetData>
      <sheetData sheetId="1" refreshError="1">
        <row r="2">
          <cell r="A2">
            <v>100</v>
          </cell>
          <cell r="B2" t="str">
            <v>Presidencia</v>
          </cell>
        </row>
        <row r="3">
          <cell r="A3">
            <v>101</v>
          </cell>
          <cell r="B3" t="str">
            <v>Consejo Directivo</v>
          </cell>
        </row>
        <row r="4">
          <cell r="A4">
            <v>200</v>
          </cell>
          <cell r="B4" t="str">
            <v>Auditoria</v>
          </cell>
        </row>
        <row r="5">
          <cell r="A5">
            <v>300</v>
          </cell>
          <cell r="B5" t="str">
            <v>Asesoria de Presidencia</v>
          </cell>
        </row>
        <row r="6">
          <cell r="A6">
            <v>310</v>
          </cell>
          <cell r="B6" t="str">
            <v>Direccion de Asesorias Es</v>
          </cell>
        </row>
        <row r="7">
          <cell r="A7">
            <v>320</v>
          </cell>
          <cell r="B7" t="str">
            <v>Gerencia de Riesgos</v>
          </cell>
        </row>
        <row r="8">
          <cell r="A8">
            <v>330</v>
          </cell>
          <cell r="B8" t="str">
            <v>Direccion O&amp;M</v>
          </cell>
        </row>
        <row r="9">
          <cell r="A9">
            <v>400</v>
          </cell>
          <cell r="B9" t="str">
            <v>Direccion Comunicaciones</v>
          </cell>
        </row>
        <row r="10">
          <cell r="A10">
            <v>500</v>
          </cell>
          <cell r="B10" t="str">
            <v>VP Emisores y Operaciones</v>
          </cell>
        </row>
        <row r="11">
          <cell r="A11">
            <v>520</v>
          </cell>
          <cell r="B11" t="str">
            <v>Gerencia Operacion Emisor</v>
          </cell>
        </row>
        <row r="12">
          <cell r="A12">
            <v>521</v>
          </cell>
          <cell r="B12" t="str">
            <v>Dir Oper Espec y Procesos</v>
          </cell>
        </row>
        <row r="13">
          <cell r="A13">
            <v>530</v>
          </cell>
          <cell r="B13" t="str">
            <v>Gerencia de Emisores</v>
          </cell>
        </row>
        <row r="14">
          <cell r="A14">
            <v>540</v>
          </cell>
          <cell r="B14" t="str">
            <v>Gerencia Colombia Capital</v>
          </cell>
        </row>
        <row r="15">
          <cell r="A15">
            <v>541</v>
          </cell>
          <cell r="B15" t="str">
            <v>Coord Adm Conven BID</v>
          </cell>
        </row>
        <row r="16">
          <cell r="A16">
            <v>600</v>
          </cell>
          <cell r="B16" t="str">
            <v>Gerencia Fin Adm y de RH</v>
          </cell>
        </row>
        <row r="17">
          <cell r="A17">
            <v>610</v>
          </cell>
          <cell r="B17" t="str">
            <v>Direccion financiera</v>
          </cell>
        </row>
        <row r="18">
          <cell r="A18">
            <v>620</v>
          </cell>
          <cell r="B18" t="str">
            <v>Jefatura Administrativa</v>
          </cell>
        </row>
        <row r="19">
          <cell r="A19">
            <v>630</v>
          </cell>
          <cell r="B19" t="str">
            <v>Jefatura Gestion Humana</v>
          </cell>
        </row>
        <row r="20">
          <cell r="A20">
            <v>700</v>
          </cell>
          <cell r="B20" t="str">
            <v>VP Desarrollo de Mercados</v>
          </cell>
        </row>
        <row r="21">
          <cell r="A21">
            <v>710</v>
          </cell>
          <cell r="B21" t="str">
            <v>Gerencia Intermediarios</v>
          </cell>
        </row>
        <row r="22">
          <cell r="A22">
            <v>711</v>
          </cell>
          <cell r="B22" t="str">
            <v>Dir Com Intermediarios</v>
          </cell>
        </row>
        <row r="23">
          <cell r="A23">
            <v>720</v>
          </cell>
          <cell r="B23" t="str">
            <v>Gerencia Cuenta Estado</v>
          </cell>
        </row>
        <row r="24">
          <cell r="A24">
            <v>730</v>
          </cell>
          <cell r="B24" t="str">
            <v>Dir Oper Mercados</v>
          </cell>
        </row>
        <row r="25">
          <cell r="A25">
            <v>800</v>
          </cell>
          <cell r="B25" t="str">
            <v>Regional Medellin</v>
          </cell>
        </row>
        <row r="26">
          <cell r="A26">
            <v>900</v>
          </cell>
          <cell r="B26" t="str">
            <v>Regional Cali</v>
          </cell>
        </row>
        <row r="27">
          <cell r="A27">
            <v>1000</v>
          </cell>
          <cell r="B27" t="str">
            <v>VP Inversionistas</v>
          </cell>
        </row>
        <row r="28">
          <cell r="A28">
            <v>1010</v>
          </cell>
          <cell r="B28" t="str">
            <v>Ger Inv Pers Naturales</v>
          </cell>
        </row>
        <row r="29">
          <cell r="A29">
            <v>1011</v>
          </cell>
          <cell r="B29" t="str">
            <v>Coord de Formacion</v>
          </cell>
        </row>
        <row r="30">
          <cell r="A30">
            <v>1012</v>
          </cell>
          <cell r="B30" t="str">
            <v>Coord Segmentos</v>
          </cell>
        </row>
        <row r="31">
          <cell r="A31">
            <v>1020</v>
          </cell>
          <cell r="B31" t="str">
            <v>Ger Inv Institucionales</v>
          </cell>
        </row>
        <row r="32">
          <cell r="A32">
            <v>1100</v>
          </cell>
          <cell r="B32" t="str">
            <v>VP Tecnologica</v>
          </cell>
        </row>
        <row r="33">
          <cell r="A33">
            <v>1110</v>
          </cell>
          <cell r="B33" t="str">
            <v>Ger de Tecnologí­a</v>
          </cell>
        </row>
        <row r="34">
          <cell r="A34">
            <v>1120</v>
          </cell>
          <cell r="B34" t="str">
            <v>Dir Infra Tecnologica</v>
          </cell>
        </row>
        <row r="35">
          <cell r="A35">
            <v>1130</v>
          </cell>
          <cell r="B35" t="str">
            <v>Dir Oper de Tecnología</v>
          </cell>
        </row>
        <row r="36">
          <cell r="A36">
            <v>1140</v>
          </cell>
          <cell r="B36" t="str">
            <v>Dir Dessarrollo Software</v>
          </cell>
        </row>
        <row r="37">
          <cell r="A37">
            <v>1150</v>
          </cell>
          <cell r="B37" t="str">
            <v>Direccion Mesa de Ayuda</v>
          </cell>
        </row>
        <row r="38">
          <cell r="A38">
            <v>1200</v>
          </cell>
          <cell r="B38" t="str">
            <v>VP Diseño y Desarrollo</v>
          </cell>
        </row>
        <row r="39">
          <cell r="A39">
            <v>1210</v>
          </cell>
          <cell r="B39" t="str">
            <v>Ger Informacion e Infoval</v>
          </cell>
        </row>
        <row r="40">
          <cell r="A40">
            <v>1211</v>
          </cell>
          <cell r="B40" t="str">
            <v>Coord de Informacion</v>
          </cell>
        </row>
        <row r="41">
          <cell r="A41">
            <v>1212</v>
          </cell>
          <cell r="B41" t="str">
            <v>Coord de Infoval</v>
          </cell>
        </row>
        <row r="42">
          <cell r="A42">
            <v>1213</v>
          </cell>
          <cell r="B42" t="str">
            <v>Dir Biblioteca Virtual</v>
          </cell>
        </row>
        <row r="43">
          <cell r="A43">
            <v>1220</v>
          </cell>
          <cell r="B43" t="str">
            <v>Dir Desarrollo y Análisis Técnico</v>
          </cell>
        </row>
        <row r="44">
          <cell r="A44">
            <v>1221</v>
          </cell>
          <cell r="B44" t="str">
            <v>Sub Des y Análisis Técnico</v>
          </cell>
        </row>
        <row r="45">
          <cell r="A45">
            <v>1222</v>
          </cell>
          <cell r="B45" t="str">
            <v>Sub Desarrollo Infoval</v>
          </cell>
        </row>
        <row r="46">
          <cell r="A46">
            <v>1230</v>
          </cell>
          <cell r="B46" t="str">
            <v>Gerencia Proyecto Camara</v>
          </cell>
        </row>
        <row r="47">
          <cell r="A47">
            <v>1240</v>
          </cell>
          <cell r="B47" t="str">
            <v>Gerencia Proyecto SIOPEL</v>
          </cell>
        </row>
        <row r="48">
          <cell r="A48">
            <v>1250</v>
          </cell>
          <cell r="B48" t="str">
            <v>Gerencia de Proyectos Especiales</v>
          </cell>
        </row>
        <row r="49">
          <cell r="A49">
            <v>1300</v>
          </cell>
          <cell r="B49" t="str">
            <v>VP Juridica</v>
          </cell>
        </row>
        <row r="50">
          <cell r="A50">
            <v>1310</v>
          </cell>
          <cell r="B50" t="str">
            <v>Direccion Legal</v>
          </cell>
        </row>
        <row r="51">
          <cell r="A51">
            <v>1320</v>
          </cell>
          <cell r="B51" t="str">
            <v>Direccion de Regulacion</v>
          </cell>
        </row>
        <row r="52">
          <cell r="A52">
            <v>1330</v>
          </cell>
          <cell r="B52" t="str">
            <v>Supervisión</v>
          </cell>
        </row>
        <row r="53">
          <cell r="A53">
            <v>1400</v>
          </cell>
          <cell r="B53" t="str">
            <v>Gerencia Admon de Mercado</v>
          </cell>
        </row>
        <row r="54">
          <cell r="A54">
            <v>1410</v>
          </cell>
          <cell r="B54" t="str">
            <v>Direccion de Negociacion</v>
          </cell>
        </row>
        <row r="55">
          <cell r="A55">
            <v>1420</v>
          </cell>
          <cell r="B55" t="str">
            <v>Direccion de Cumplimiento</v>
          </cell>
        </row>
        <row r="56">
          <cell r="A56">
            <v>1500</v>
          </cell>
          <cell r="B56" t="str">
            <v>Corporativo</v>
          </cell>
        </row>
      </sheetData>
      <sheetData sheetId="2" refreshError="1">
        <row r="2">
          <cell r="A2">
            <v>10</v>
          </cell>
          <cell r="B2" t="str">
            <v>individuos</v>
          </cell>
        </row>
        <row r="3">
          <cell r="A3">
            <v>20</v>
          </cell>
          <cell r="B3" t="str">
            <v>inversionistas institucionales</v>
          </cell>
        </row>
        <row r="4">
          <cell r="A4">
            <v>30</v>
          </cell>
          <cell r="B4" t="str">
            <v>Intermediarios</v>
          </cell>
        </row>
        <row r="5">
          <cell r="A5">
            <v>40</v>
          </cell>
          <cell r="B5" t="str">
            <v>emisores</v>
          </cell>
        </row>
        <row r="6">
          <cell r="A6">
            <v>60</v>
          </cell>
          <cell r="B6" t="str">
            <v>dia dia</v>
          </cell>
        </row>
      </sheetData>
      <sheetData sheetId="3" refreshError="1">
        <row r="2">
          <cell r="A2">
            <v>1000</v>
          </cell>
          <cell r="B2" t="str">
            <v>BVC DIA A DIA</v>
          </cell>
        </row>
        <row r="3">
          <cell r="A3">
            <v>1001</v>
          </cell>
          <cell r="B3" t="str">
            <v>MEC PLUS FASE II, III Y IV</v>
          </cell>
        </row>
        <row r="4">
          <cell r="A4">
            <v>1002</v>
          </cell>
          <cell r="B4" t="str">
            <v>Derivados</v>
          </cell>
        </row>
        <row r="5">
          <cell r="A5">
            <v>1003</v>
          </cell>
          <cell r="B5" t="str">
            <v>CRCC</v>
          </cell>
        </row>
        <row r="6">
          <cell r="A6">
            <v>1004</v>
          </cell>
          <cell r="B6" t="str">
            <v>Acciones</v>
          </cell>
        </row>
        <row r="7">
          <cell r="A7">
            <v>1005</v>
          </cell>
          <cell r="B7" t="str">
            <v>DWH</v>
          </cell>
        </row>
        <row r="8">
          <cell r="A8">
            <v>1006</v>
          </cell>
          <cell r="B8" t="str">
            <v>Bus de Integración</v>
          </cell>
        </row>
        <row r="9">
          <cell r="A9">
            <v>1007</v>
          </cell>
          <cell r="B9" t="str">
            <v>Gestión de Contenido</v>
          </cell>
        </row>
        <row r="10">
          <cell r="A10">
            <v>1008</v>
          </cell>
          <cell r="B10" t="str">
            <v>IT Strategy</v>
          </cell>
        </row>
        <row r="11">
          <cell r="A11">
            <v>1009</v>
          </cell>
          <cell r="B11" t="str">
            <v>Minitoreo del Mercado</v>
          </cell>
        </row>
        <row r="12">
          <cell r="A12">
            <v>1010</v>
          </cell>
          <cell r="B12" t="str">
            <v>Reemplazo de Back Office</v>
          </cell>
        </row>
        <row r="13">
          <cell r="A13">
            <v>1011</v>
          </cell>
          <cell r="B13" t="str">
            <v>Sistema de Garantías</v>
          </cell>
        </row>
        <row r="14">
          <cell r="A14">
            <v>1012</v>
          </cell>
          <cell r="B14" t="str">
            <v>CRM</v>
          </cell>
        </row>
        <row r="15">
          <cell r="A15">
            <v>1013</v>
          </cell>
          <cell r="B15" t="str">
            <v>ERP</v>
          </cell>
        </row>
        <row r="16">
          <cell r="A16">
            <v>1014</v>
          </cell>
          <cell r="B16" t="str">
            <v>SCB Agora</v>
          </cell>
        </row>
        <row r="17">
          <cell r="A17">
            <v>1015</v>
          </cell>
          <cell r="B17" t="str">
            <v>Gestión de Riesgo</v>
          </cell>
        </row>
        <row r="18">
          <cell r="A18">
            <v>1016</v>
          </cell>
          <cell r="B18" t="str">
            <v>Proyectos de Infraestructura Técnologica</v>
          </cell>
        </row>
        <row r="19">
          <cell r="A19">
            <v>1017</v>
          </cell>
          <cell r="B19" t="str">
            <v>Upgrade INFOVAL</v>
          </cell>
        </row>
        <row r="20">
          <cell r="A20">
            <v>1018</v>
          </cell>
          <cell r="B20" t="str">
            <v>Indices Generales</v>
          </cell>
        </row>
        <row r="21">
          <cell r="A21">
            <v>1019</v>
          </cell>
          <cell r="B21" t="str">
            <v>Integración BMV - BOVESPA</v>
          </cell>
        </row>
        <row r="22">
          <cell r="A22">
            <v>1020</v>
          </cell>
          <cell r="B22" t="str">
            <v>Integración BOVESPA</v>
          </cell>
        </row>
        <row r="23">
          <cell r="A23">
            <v>1021</v>
          </cell>
          <cell r="B23" t="str">
            <v>Continuidad del Negocio</v>
          </cell>
        </row>
        <row r="24">
          <cell r="A24">
            <v>1022</v>
          </cell>
          <cell r="B24" t="str">
            <v>IT SERVICE MANAGEMENT</v>
          </cell>
        </row>
        <row r="25">
          <cell r="A25">
            <v>1023</v>
          </cell>
          <cell r="B25" t="str">
            <v>Punto BVC</v>
          </cell>
        </row>
        <row r="26">
          <cell r="A26">
            <v>1024</v>
          </cell>
          <cell r="B26" t="str">
            <v>Concurso Bolsa Millonaria</v>
          </cell>
        </row>
        <row r="27">
          <cell r="A27">
            <v>1025</v>
          </cell>
          <cell r="B27" t="str">
            <v>MEC Plus Fase I</v>
          </cell>
        </row>
        <row r="28">
          <cell r="A28">
            <v>1027</v>
          </cell>
          <cell r="B28" t="str">
            <v>Boletín Diario</v>
          </cell>
        </row>
        <row r="29">
          <cell r="A29">
            <v>1028</v>
          </cell>
          <cell r="B29" t="str">
            <v>BVCMovil</v>
          </cell>
        </row>
        <row r="30">
          <cell r="A30">
            <v>2000</v>
          </cell>
          <cell r="B30" t="str">
            <v>BVC Medellín día a día</v>
          </cell>
        </row>
        <row r="31">
          <cell r="A31">
            <v>3000</v>
          </cell>
          <cell r="B31" t="str">
            <v>BVC Cali Día a Día</v>
          </cell>
        </row>
        <row r="32">
          <cell r="A32">
            <v>10101000</v>
          </cell>
          <cell r="B32" t="str">
            <v>COL CAP - EMISORES POR PRIMERA VEZ</v>
          </cell>
        </row>
        <row r="33">
          <cell r="A33">
            <v>10201000</v>
          </cell>
          <cell r="B33" t="str">
            <v>COL CAP - IMPULSO AL CAPITAL</v>
          </cell>
        </row>
        <row r="34">
          <cell r="A34">
            <v>10301000</v>
          </cell>
          <cell r="B34" t="str">
            <v>COL CAP - DESARROLLO INSTRUMENTOS</v>
          </cell>
        </row>
        <row r="35">
          <cell r="A35">
            <v>10401000</v>
          </cell>
          <cell r="B35" t="str">
            <v>COL CAP - DIFUSION RESULTADOS</v>
          </cell>
        </row>
        <row r="36">
          <cell r="A36">
            <v>10501000</v>
          </cell>
          <cell r="B36" t="str">
            <v>COL CAP - ADMINISTRACION</v>
          </cell>
        </row>
        <row r="37">
          <cell r="A37">
            <v>10601000</v>
          </cell>
          <cell r="B37" t="str">
            <v>COL CAP AUDITORIA Y EVALUACION</v>
          </cell>
        </row>
        <row r="38">
          <cell r="A38">
            <v>20201000</v>
          </cell>
          <cell r="B38" t="str">
            <v>INV COL - CAMARA DE COMPENSACION</v>
          </cell>
        </row>
        <row r="39">
          <cell r="A39">
            <v>20301000</v>
          </cell>
          <cell r="B39" t="str">
            <v>INV COL - BOLSA DERIVADOS Y FUTUROS</v>
          </cell>
        </row>
        <row r="40">
          <cell r="A40">
            <v>20401000</v>
          </cell>
          <cell r="B40" t="str">
            <v>INV COL - ADMINISTRACION</v>
          </cell>
        </row>
        <row r="41">
          <cell r="A41">
            <v>20501000</v>
          </cell>
          <cell r="B41" t="str">
            <v>INV COL AUDITORIA Y EVALUACION</v>
          </cell>
        </row>
        <row r="42">
          <cell r="A42" t="str">
            <v>0021A01000</v>
          </cell>
          <cell r="B42" t="str">
            <v>INV COL - SISTEMA DE INFORMACION</v>
          </cell>
        </row>
        <row r="43">
          <cell r="A43" t="str">
            <v>0021B01000</v>
          </cell>
          <cell r="B43" t="str">
            <v>INV COL -GOBIERNO CORPORATIVO</v>
          </cell>
        </row>
        <row r="44">
          <cell r="A44">
            <v>1114</v>
          </cell>
          <cell r="B44" t="str">
            <v>Esstudio de imagen de marca de la BVC</v>
          </cell>
        </row>
        <row r="45">
          <cell r="A45">
            <v>1225</v>
          </cell>
          <cell r="B45" t="str">
            <v>ALOJAMIENTO HUESPEDES PARA EVENTO BEARSTAETEAR</v>
          </cell>
        </row>
        <row r="46">
          <cell r="A46" t="str">
            <v>1-BVC-CT-00073B06</v>
          </cell>
          <cell r="B46" t="str">
            <v>Servicios de asesoría comunicación publicitaria</v>
          </cell>
        </row>
        <row r="47">
          <cell r="A47">
            <v>468</v>
          </cell>
          <cell r="B47" t="str">
            <v>Adquisición de infraestructura para configurar la redundanc</v>
          </cell>
        </row>
        <row r="48">
          <cell r="A48" t="str">
            <v>ANDI</v>
          </cell>
          <cell r="B48" t="str">
            <v>ANDI - Arrendamiento Oficina Proyectos</v>
          </cell>
        </row>
      </sheetData>
      <sheetData sheetId="4" refreshError="1"/>
      <sheetData sheetId="5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datos formato 1011"/>
      <sheetName val="conceptos"/>
    </sheetNames>
    <sheetDataSet>
      <sheetData sheetId="0" refreshError="1"/>
      <sheetData sheetId="1">
        <row r="1">
          <cell r="A1">
            <v>1105</v>
          </cell>
        </row>
        <row r="2">
          <cell r="A2">
            <v>1401</v>
          </cell>
        </row>
        <row r="3">
          <cell r="A3">
            <v>1402</v>
          </cell>
        </row>
        <row r="4">
          <cell r="A4">
            <v>1403</v>
          </cell>
        </row>
        <row r="5">
          <cell r="A5">
            <v>1404</v>
          </cell>
        </row>
        <row r="6">
          <cell r="A6">
            <v>1405</v>
          </cell>
        </row>
        <row r="7">
          <cell r="A7">
            <v>1406</v>
          </cell>
        </row>
        <row r="8">
          <cell r="A8">
            <v>1407</v>
          </cell>
        </row>
        <row r="9">
          <cell r="A9">
            <v>1408</v>
          </cell>
        </row>
        <row r="10">
          <cell r="A10">
            <v>1409</v>
          </cell>
        </row>
        <row r="11">
          <cell r="A11">
            <v>1410</v>
          </cell>
        </row>
        <row r="12">
          <cell r="A12">
            <v>1411</v>
          </cell>
        </row>
        <row r="13">
          <cell r="A13">
            <v>1412</v>
          </cell>
        </row>
        <row r="14">
          <cell r="A14">
            <v>1501</v>
          </cell>
        </row>
        <row r="15">
          <cell r="A15">
            <v>1502</v>
          </cell>
        </row>
        <row r="16">
          <cell r="A16">
            <v>1503</v>
          </cell>
        </row>
        <row r="17">
          <cell r="A17">
            <v>1504</v>
          </cell>
        </row>
        <row r="18">
          <cell r="A18">
            <v>1505</v>
          </cell>
        </row>
        <row r="19">
          <cell r="A19">
            <v>1507</v>
          </cell>
        </row>
        <row r="20">
          <cell r="A20">
            <v>1509</v>
          </cell>
        </row>
        <row r="21">
          <cell r="A21">
            <v>1510</v>
          </cell>
        </row>
        <row r="22">
          <cell r="A22">
            <v>1511</v>
          </cell>
        </row>
        <row r="23">
          <cell r="A23">
            <v>1512</v>
          </cell>
        </row>
        <row r="24">
          <cell r="A24">
            <v>1513</v>
          </cell>
        </row>
        <row r="25">
          <cell r="A25">
            <v>1514</v>
          </cell>
        </row>
        <row r="26">
          <cell r="A26">
            <v>1515</v>
          </cell>
        </row>
        <row r="27">
          <cell r="A27">
            <v>1516</v>
          </cell>
        </row>
        <row r="28">
          <cell r="A28">
            <v>1517</v>
          </cell>
        </row>
        <row r="29">
          <cell r="A29">
            <v>8001</v>
          </cell>
        </row>
        <row r="30">
          <cell r="A30">
            <v>8002</v>
          </cell>
        </row>
        <row r="31">
          <cell r="A31">
            <v>8003</v>
          </cell>
        </row>
        <row r="32">
          <cell r="A32">
            <v>8101</v>
          </cell>
        </row>
        <row r="33">
          <cell r="A33">
            <v>8102</v>
          </cell>
        </row>
        <row r="34">
          <cell r="A34">
            <v>8103</v>
          </cell>
        </row>
        <row r="35">
          <cell r="A35">
            <v>8104</v>
          </cell>
        </row>
        <row r="36">
          <cell r="A36">
            <v>8105</v>
          </cell>
        </row>
        <row r="37">
          <cell r="A37">
            <v>8106</v>
          </cell>
        </row>
        <row r="38">
          <cell r="A38">
            <v>8107</v>
          </cell>
        </row>
        <row r="39">
          <cell r="A39">
            <v>8108</v>
          </cell>
        </row>
        <row r="40">
          <cell r="A40">
            <v>8109</v>
          </cell>
        </row>
        <row r="41">
          <cell r="A41">
            <v>8110</v>
          </cell>
        </row>
        <row r="42">
          <cell r="A42">
            <v>8111</v>
          </cell>
        </row>
        <row r="43">
          <cell r="A43">
            <v>8112</v>
          </cell>
        </row>
        <row r="44">
          <cell r="A44">
            <v>8113</v>
          </cell>
        </row>
        <row r="45">
          <cell r="A45">
            <v>8114</v>
          </cell>
        </row>
        <row r="46">
          <cell r="A46">
            <v>8115</v>
          </cell>
        </row>
        <row r="47">
          <cell r="A47">
            <v>8200</v>
          </cell>
        </row>
        <row r="48">
          <cell r="A48">
            <v>8201</v>
          </cell>
        </row>
        <row r="49">
          <cell r="A49">
            <v>8202</v>
          </cell>
        </row>
        <row r="50">
          <cell r="A50">
            <v>8203</v>
          </cell>
        </row>
        <row r="51">
          <cell r="A51">
            <v>8204</v>
          </cell>
        </row>
        <row r="52">
          <cell r="A52">
            <v>8205</v>
          </cell>
        </row>
        <row r="53">
          <cell r="A53">
            <v>8206</v>
          </cell>
        </row>
        <row r="54">
          <cell r="A54">
            <v>8207</v>
          </cell>
        </row>
        <row r="55">
          <cell r="A55">
            <v>8208</v>
          </cell>
        </row>
        <row r="56">
          <cell r="A56">
            <v>8209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CENTROS DE COSTOS"/>
      <sheetName val="UEN"/>
      <sheetName val="septiembre 08 "/>
      <sheetName val="septiembre 08 MARGARITA"/>
      <sheetName val="CUENTAS"/>
      <sheetName val="PROYECTOS"/>
    </sheetNames>
    <sheetDataSet>
      <sheetData sheetId="0" refreshError="1">
        <row r="2">
          <cell r="A2" t="str">
            <v>Presidencia</v>
          </cell>
          <cell r="B2" t="str">
            <v>01000000</v>
          </cell>
        </row>
        <row r="3">
          <cell r="A3" t="str">
            <v>Consejo Directivo</v>
          </cell>
          <cell r="B3" t="str">
            <v>01010000</v>
          </cell>
        </row>
        <row r="4">
          <cell r="A4" t="str">
            <v>Comunicaciones</v>
          </cell>
          <cell r="B4" t="str">
            <v>02000000</v>
          </cell>
        </row>
        <row r="5">
          <cell r="A5" t="str">
            <v>Atención de Inversionistas</v>
          </cell>
          <cell r="B5" t="str">
            <v>03000000</v>
          </cell>
        </row>
        <row r="6">
          <cell r="A6" t="str">
            <v>Emisores</v>
          </cell>
          <cell r="B6" t="str">
            <v>05200000</v>
          </cell>
        </row>
        <row r="7">
          <cell r="A7" t="str">
            <v>Operaciones Especiales</v>
          </cell>
          <cell r="B7" t="str">
            <v>05210000</v>
          </cell>
        </row>
        <row r="8">
          <cell r="A8" t="str">
            <v>Colombia Capital</v>
          </cell>
          <cell r="B8" t="str">
            <v>05400000</v>
          </cell>
        </row>
        <row r="9">
          <cell r="A9" t="str">
            <v>Planeación y Finanzas</v>
          </cell>
          <cell r="B9" t="str">
            <v>06000000</v>
          </cell>
        </row>
        <row r="10">
          <cell r="A10" t="str">
            <v>Vicepresidencia de Desarrollo Organizacional</v>
          </cell>
          <cell r="B10" t="str">
            <v>06100000</v>
          </cell>
        </row>
        <row r="11">
          <cell r="A11" t="str">
            <v>Gestión de Riesgos</v>
          </cell>
          <cell r="B11" t="str">
            <v>06200000</v>
          </cell>
        </row>
        <row r="12">
          <cell r="A12" t="str">
            <v>Gestión Humana</v>
          </cell>
          <cell r="B12" t="str">
            <v>06300000</v>
          </cell>
        </row>
        <row r="13">
          <cell r="A13" t="str">
            <v>Vicepresidencia de Intermediarios e Inversionistas</v>
          </cell>
          <cell r="B13" t="str">
            <v>07000000</v>
          </cell>
        </row>
        <row r="14">
          <cell r="A14" t="str">
            <v>Intermediarios</v>
          </cell>
          <cell r="B14" t="str">
            <v>07100000</v>
          </cell>
        </row>
        <row r="15">
          <cell r="A15" t="str">
            <v>Regional Medellín</v>
          </cell>
          <cell r="B15" t="str">
            <v>08000000</v>
          </cell>
        </row>
        <row r="16">
          <cell r="A16" t="str">
            <v>Regional Cali</v>
          </cell>
          <cell r="B16" t="str">
            <v>09000000</v>
          </cell>
        </row>
        <row r="17">
          <cell r="A17" t="str">
            <v>Inversionistas Personas Naturales</v>
          </cell>
          <cell r="B17" t="str">
            <v>10100000</v>
          </cell>
        </row>
        <row r="18">
          <cell r="A18" t="str">
            <v>Inversionistas Institucionales</v>
          </cell>
          <cell r="B18" t="str">
            <v>10200000</v>
          </cell>
        </row>
        <row r="19">
          <cell r="A19" t="str">
            <v>Vicepresidencia de Tecnología</v>
          </cell>
          <cell r="B19" t="str">
            <v>11000000</v>
          </cell>
        </row>
        <row r="20">
          <cell r="A20" t="str">
            <v>Arquitectura</v>
          </cell>
          <cell r="B20" t="str">
            <v>11100000</v>
          </cell>
        </row>
        <row r="21">
          <cell r="A21" t="str">
            <v>Servicios de Infraestructura</v>
          </cell>
          <cell r="B21" t="str">
            <v>11200000</v>
          </cell>
        </row>
        <row r="22">
          <cell r="A22" t="str">
            <v>Vicepresidencia de Administración y Gestión de Proyectos</v>
          </cell>
          <cell r="B22" t="str">
            <v>12000000</v>
          </cell>
        </row>
        <row r="23">
          <cell r="A23" t="str">
            <v>Gestión de Aplicaciones</v>
          </cell>
          <cell r="B23" t="str">
            <v>12400000</v>
          </cell>
        </row>
        <row r="24">
          <cell r="A24" t="str">
            <v>Gestión de Proyectos</v>
          </cell>
          <cell r="B24" t="str">
            <v>12500000</v>
          </cell>
        </row>
        <row r="25">
          <cell r="A25" t="str">
            <v>Vicepresidencia Jurídica y Secretaría General</v>
          </cell>
          <cell r="B25" t="str">
            <v>13000000</v>
          </cell>
        </row>
        <row r="26">
          <cell r="A26" t="str">
            <v>Legal</v>
          </cell>
          <cell r="B26" t="str">
            <v>13100000</v>
          </cell>
        </row>
        <row r="27">
          <cell r="A27" t="str">
            <v>Regulación</v>
          </cell>
          <cell r="B27" t="str">
            <v>13200000</v>
          </cell>
        </row>
        <row r="28">
          <cell r="A28" t="str">
            <v>Administración de Mercados</v>
          </cell>
          <cell r="B28" t="str">
            <v>14000000</v>
          </cell>
        </row>
        <row r="29">
          <cell r="A29" t="str">
            <v>Negociación</v>
          </cell>
          <cell r="B29" t="str">
            <v>14100000</v>
          </cell>
        </row>
        <row r="30">
          <cell r="A30" t="str">
            <v>Cumplimiento, Compensación y Garantías</v>
          </cell>
          <cell r="B30" t="str">
            <v>14200000</v>
          </cell>
        </row>
        <row r="31">
          <cell r="A31" t="str">
            <v>Vicepresidencia de Administración de Mercados</v>
          </cell>
          <cell r="B31" t="str">
            <v>14300000</v>
          </cell>
        </row>
        <row r="32">
          <cell r="A32" t="str">
            <v>Información e INFOVAL</v>
          </cell>
          <cell r="B32" t="str">
            <v>14400000</v>
          </cell>
        </row>
        <row r="33">
          <cell r="A33" t="str">
            <v>Corporativo</v>
          </cell>
          <cell r="B33" t="str">
            <v>15000000</v>
          </cell>
        </row>
      </sheetData>
      <sheetData sheetId="1" refreshError="1">
        <row r="2">
          <cell r="A2" t="str">
            <v>Inversionistas Personas Naturales</v>
          </cell>
        </row>
        <row r="3">
          <cell r="A3" t="str">
            <v>Inversionistas Institucionales</v>
          </cell>
        </row>
        <row r="4">
          <cell r="A4" t="str">
            <v>Intermediarios</v>
          </cell>
        </row>
        <row r="5">
          <cell r="A5" t="str">
            <v>Emisores</v>
          </cell>
        </row>
        <row r="6">
          <cell r="A6" t="str">
            <v>Dia Dia</v>
          </cell>
        </row>
      </sheetData>
      <sheetData sheetId="2" refreshError="1"/>
      <sheetData sheetId="3" refreshError="1"/>
      <sheetData sheetId="4" refreshError="1">
        <row r="2">
          <cell r="A2" t="str">
            <v>HONORARIOS</v>
          </cell>
          <cell r="B2" t="str">
            <v>26050500</v>
          </cell>
        </row>
        <row r="3">
          <cell r="A3" t="str">
            <v>CONTRIBUCIONES Y AFILIACIONES</v>
          </cell>
          <cell r="B3" t="str">
            <v>26051500</v>
          </cell>
        </row>
        <row r="4">
          <cell r="A4" t="str">
            <v>SEGUROS - INCENDIO MANEJO Y TERREMOTO</v>
          </cell>
          <cell r="B4" t="str">
            <v>26052001</v>
          </cell>
        </row>
        <row r="5">
          <cell r="A5" t="str">
            <v>SEGUROS - CORRIENTE DEBIL EQUIPO ELECTRO</v>
          </cell>
          <cell r="B5" t="str">
            <v>26052003</v>
          </cell>
        </row>
        <row r="6">
          <cell r="A6" t="str">
            <v>SEGUROS - SEGURO DE RESPONSABILIDAD CIVI</v>
          </cell>
          <cell r="B6" t="str">
            <v>26052006</v>
          </cell>
        </row>
        <row r="7">
          <cell r="A7" t="str">
            <v>SEGUROS - RIESGOS FINANCIEROS INFIDELIDA</v>
          </cell>
          <cell r="B7" t="str">
            <v>26052007</v>
          </cell>
        </row>
        <row r="8">
          <cell r="A8" t="str">
            <v>SERVICIOS</v>
          </cell>
          <cell r="B8" t="str">
            <v>26052500</v>
          </cell>
        </row>
        <row r="9">
          <cell r="A9" t="str">
            <v>MANTENIMIENTO Y REPARACIONES</v>
          </cell>
          <cell r="B9" t="str">
            <v>26053500</v>
          </cell>
        </row>
        <row r="10">
          <cell r="A10" t="str">
            <v>UTILES</v>
          </cell>
          <cell r="B10" t="str">
            <v>26059501</v>
          </cell>
        </row>
        <row r="11">
          <cell r="A11" t="str">
            <v>PAPELERIA</v>
          </cell>
          <cell r="B11" t="str">
            <v>26059502</v>
          </cell>
        </row>
        <row r="12">
          <cell r="A12" t="str">
            <v>FOTOCOPIAS</v>
          </cell>
          <cell r="B12" t="str">
            <v>26059503</v>
          </cell>
        </row>
        <row r="13">
          <cell r="A13" t="str">
            <v>DIVULGACION Y PUBLICIDAD</v>
          </cell>
          <cell r="B13" t="str">
            <v>26059510</v>
          </cell>
        </row>
        <row r="14">
          <cell r="A14" t="str">
            <v>PROPAGANDA</v>
          </cell>
          <cell r="B14" t="str">
            <v>26059513</v>
          </cell>
        </row>
        <row r="15">
          <cell r="A15" t="str">
            <v>CONCURSO PORTAFOLIO</v>
          </cell>
          <cell r="B15" t="str">
            <v>26059514</v>
          </cell>
        </row>
        <row r="16">
          <cell r="A16" t="str">
            <v>SEMINARIOS Y SIMPOSIOS</v>
          </cell>
          <cell r="B16" t="str">
            <v>26059515</v>
          </cell>
        </row>
        <row r="17">
          <cell r="A17" t="str">
            <v>CONGRESO NAL MERCADO DE CAPITA</v>
          </cell>
          <cell r="B17" t="str">
            <v>26059517</v>
          </cell>
        </row>
        <row r="18">
          <cell r="A18" t="str">
            <v>HORAS EXTRAS</v>
          </cell>
          <cell r="B18" t="str">
            <v>26059521</v>
          </cell>
        </row>
        <row r="19">
          <cell r="A19" t="str">
            <v>SALARIO INTEGRAL</v>
          </cell>
          <cell r="B19" t="str">
            <v>26059522</v>
          </cell>
        </row>
        <row r="20">
          <cell r="A20" t="str">
            <v>ACTIVIDADES RECREATIVAS</v>
          </cell>
          <cell r="B20" t="str">
            <v>26059523</v>
          </cell>
        </row>
        <row r="21">
          <cell r="A21" t="str">
            <v>SEGURIDAD SOCIAL</v>
          </cell>
          <cell r="B21" t="str">
            <v>26059524</v>
          </cell>
        </row>
        <row r="22">
          <cell r="A22" t="str">
            <v>INDEMNIZACIONES</v>
          </cell>
          <cell r="B22" t="str">
            <v>26059525</v>
          </cell>
        </row>
        <row r="23">
          <cell r="A23" t="str">
            <v>SUELDOS</v>
          </cell>
          <cell r="B23" t="str">
            <v>26059526</v>
          </cell>
        </row>
        <row r="24">
          <cell r="A24" t="str">
            <v>BONIFICACIONES</v>
          </cell>
          <cell r="B24" t="str">
            <v>26059527</v>
          </cell>
        </row>
        <row r="25">
          <cell r="A25" t="str">
            <v>SEMINARIOS</v>
          </cell>
          <cell r="B25" t="str">
            <v>26059528</v>
          </cell>
        </row>
        <row r="26">
          <cell r="A26" t="str">
            <v>MONETIZACION SENA</v>
          </cell>
          <cell r="B26" t="str">
            <v>26059529</v>
          </cell>
        </row>
        <row r="27">
          <cell r="A27" t="str">
            <v>APORTES BID</v>
          </cell>
          <cell r="B27" t="str">
            <v>26059540</v>
          </cell>
        </row>
        <row r="28">
          <cell r="A28" t="str">
            <v>RELACIONES PUBLICAS</v>
          </cell>
          <cell r="B28" t="str">
            <v>26059560</v>
          </cell>
        </row>
        <row r="29">
          <cell r="A29" t="str">
            <v>ATENCIONES COMISIONISTAS</v>
          </cell>
          <cell r="B29" t="str">
            <v>26059561</v>
          </cell>
        </row>
        <row r="30">
          <cell r="A30" t="str">
            <v>ATENCIONES TARJETAS DE CREDITO</v>
          </cell>
          <cell r="B30" t="str">
            <v>26059562</v>
          </cell>
        </row>
        <row r="31">
          <cell r="A31" t="str">
            <v>OTRAS ATENCIONES</v>
          </cell>
          <cell r="B31" t="str">
            <v>26059563</v>
          </cell>
        </row>
        <row r="32">
          <cell r="A32" t="str">
            <v>ATENCIONES EN CLUBES</v>
          </cell>
          <cell r="B32" t="str">
            <v>26059564</v>
          </cell>
        </row>
        <row r="33">
          <cell r="A33" t="str">
            <v>GASTOS DE VIAJE</v>
          </cell>
          <cell r="B33" t="str">
            <v>26059570</v>
          </cell>
        </row>
        <row r="34">
          <cell r="A34" t="str">
            <v>OPEX PROYECTOS</v>
          </cell>
          <cell r="B34" t="str">
            <v>26059599</v>
          </cell>
        </row>
        <row r="37">
          <cell r="A37" t="str">
            <v>BIENESTAR  EVENTOS</v>
          </cell>
          <cell r="B37" t="str">
            <v>51056302</v>
          </cell>
        </row>
        <row r="38">
          <cell r="A38" t="str">
            <v>CAPACITACION</v>
          </cell>
          <cell r="B38">
            <v>51056005</v>
          </cell>
        </row>
        <row r="39">
          <cell r="A39" t="str">
            <v>HONORARIOS -CONSEJO DIRECTIVO</v>
          </cell>
          <cell r="B39" t="str">
            <v>51100501</v>
          </cell>
        </row>
        <row r="40">
          <cell r="A40" t="str">
            <v>HONORARIOS -CAMARA DE LA BOLSA</v>
          </cell>
          <cell r="B40" t="str">
            <v>51100502</v>
          </cell>
        </row>
        <row r="41">
          <cell r="A41" t="str">
            <v>HONORARIOS -REVISORIA FISCAL</v>
          </cell>
          <cell r="B41" t="str">
            <v>51101000</v>
          </cell>
        </row>
        <row r="42">
          <cell r="A42" t="str">
            <v>HONORARIOS -AUDITORIA EXTERNA</v>
          </cell>
          <cell r="B42" t="str">
            <v>51101500</v>
          </cell>
        </row>
        <row r="43">
          <cell r="A43" t="str">
            <v>HONORARIOS -ASESORIA JURIDICA</v>
          </cell>
          <cell r="B43" t="str">
            <v>51102500</v>
          </cell>
        </row>
        <row r="44">
          <cell r="A44" t="str">
            <v>HONORARIOS -ASESORIA TRIBUTARIA</v>
          </cell>
          <cell r="B44" t="str">
            <v>51102501</v>
          </cell>
        </row>
        <row r="45">
          <cell r="A45" t="str">
            <v>HONORARIOS -ASESORIA LABORAL</v>
          </cell>
          <cell r="B45" t="str">
            <v>51102502</v>
          </cell>
        </row>
        <row r="46">
          <cell r="A46" t="str">
            <v>HONORARIOS -ASESORIA LEGAL</v>
          </cell>
          <cell r="B46" t="str">
            <v>51102504</v>
          </cell>
        </row>
        <row r="47">
          <cell r="A47" t="str">
            <v>HONORARIOS -ASESORIA DE SISTEMAS</v>
          </cell>
          <cell r="B47" t="str">
            <v>51103510</v>
          </cell>
        </row>
        <row r="48">
          <cell r="A48" t="str">
            <v>HONORARIOS -ASESORIA TECNOLOGICA</v>
          </cell>
          <cell r="B48" t="str">
            <v>51103530</v>
          </cell>
        </row>
        <row r="49">
          <cell r="A49" t="str">
            <v>HONORARIOS -DOCENTES FORMACION BURSATIL</v>
          </cell>
          <cell r="B49" t="str">
            <v>51109502</v>
          </cell>
        </row>
        <row r="50">
          <cell r="A50" t="str">
            <v>HONORARIOS -ASESORIAS DESARROLLO DE PRODUC</v>
          </cell>
          <cell r="B50" t="str">
            <v>51109503</v>
          </cell>
        </row>
        <row r="51">
          <cell r="A51" t="str">
            <v>HONORARIOS -PROYECTOS</v>
          </cell>
          <cell r="B51" t="str">
            <v>51109504</v>
          </cell>
        </row>
        <row r="52">
          <cell r="A52" t="str">
            <v>HONORARIOS -COMITE DE REGULACION</v>
          </cell>
          <cell r="B52" t="str">
            <v>51109505</v>
          </cell>
        </row>
        <row r="53">
          <cell r="A53" t="str">
            <v>HONORARIOS -COMITE DE GOBIERNO CORPORATIVO</v>
          </cell>
          <cell r="B53" t="str">
            <v>51109506</v>
          </cell>
        </row>
        <row r="54">
          <cell r="A54" t="str">
            <v>HONORARIOS -COMITE AUDITORIA</v>
          </cell>
          <cell r="B54" t="str">
            <v>51109507</v>
          </cell>
        </row>
        <row r="55">
          <cell r="A55" t="str">
            <v>HONORARIOS -COMITE ADMINISTRATIVO Y FINANC</v>
          </cell>
          <cell r="B55" t="str">
            <v>51109508</v>
          </cell>
        </row>
        <row r="56">
          <cell r="A56" t="str">
            <v>HONORARIOS -OTROS</v>
          </cell>
          <cell r="B56" t="str">
            <v>51109595</v>
          </cell>
        </row>
        <row r="57">
          <cell r="A57" t="str">
            <v>ARRENDAMIENTOS - EDIFICACIONES</v>
          </cell>
          <cell r="B57" t="str">
            <v>51200500</v>
          </cell>
        </row>
        <row r="58">
          <cell r="A58" t="str">
            <v>ARRENDAMIENTOS - EQUIPOS ELECTRONICOS</v>
          </cell>
          <cell r="B58" t="str">
            <v>51201001</v>
          </cell>
        </row>
        <row r="59">
          <cell r="A59" t="str">
            <v>ARRENDAMIENTOS - EQUIPO DE COMUNICACION Y COMPU</v>
          </cell>
          <cell r="B59" t="str">
            <v>51201500</v>
          </cell>
        </row>
        <row r="60">
          <cell r="A60" t="str">
            <v>ARRENDAMIENTOS - ARRENDAMIENTO DE SOFWARE</v>
          </cell>
          <cell r="B60" t="str">
            <v>51209501</v>
          </cell>
        </row>
        <row r="61">
          <cell r="A61" t="str">
            <v>ARRENDAMIENTOS - VEHICULOS</v>
          </cell>
          <cell r="B61" t="str">
            <v>51209502</v>
          </cell>
        </row>
        <row r="62">
          <cell r="A62" t="str">
            <v>ARRENDAMIENTOS - PLANTA ELECTRICA (BANCO DE CAR</v>
          </cell>
          <cell r="B62" t="str">
            <v>51209505</v>
          </cell>
        </row>
        <row r="63">
          <cell r="A63" t="str">
            <v>ARRENDAMIENTOS - DATACENTER ALTERNO</v>
          </cell>
          <cell r="B63" t="str">
            <v>51209506</v>
          </cell>
        </row>
        <row r="64">
          <cell r="A64" t="str">
            <v>ARRENDAMIENTOS - OTROS</v>
          </cell>
          <cell r="B64" t="str">
            <v>51209507</v>
          </cell>
        </row>
        <row r="65">
          <cell r="A65" t="str">
            <v>ARRENDAMIENTOS - STAND PARA EVENTOS</v>
          </cell>
          <cell r="B65" t="str">
            <v>51209508</v>
          </cell>
        </row>
        <row r="66">
          <cell r="A66" t="str">
            <v>CONTRIBUCIONES</v>
          </cell>
          <cell r="B66" t="str">
            <v>51250500</v>
          </cell>
        </row>
        <row r="67">
          <cell r="A67" t="str">
            <v>AFILIACIONES</v>
          </cell>
          <cell r="B67" t="str">
            <v>51251000</v>
          </cell>
        </row>
        <row r="68">
          <cell r="A68" t="str">
            <v>SEGUROS - POLIZA DE MINCOMUNICACIONES</v>
          </cell>
          <cell r="B68" t="str">
            <v>51301001</v>
          </cell>
        </row>
        <row r="69">
          <cell r="A69" t="str">
            <v>SEGUROS - WINSET</v>
          </cell>
          <cell r="B69" t="str">
            <v>51301002</v>
          </cell>
        </row>
        <row r="70">
          <cell r="A70" t="str">
            <v>SEGUROS - POR CONTRATOS REALIZADOS</v>
          </cell>
          <cell r="B70" t="str">
            <v>51301003</v>
          </cell>
        </row>
        <row r="71">
          <cell r="A71" t="str">
            <v>SEGUROS - SEGURO DE VEHICULOS</v>
          </cell>
          <cell r="B71" t="str">
            <v>51309503</v>
          </cell>
        </row>
        <row r="72">
          <cell r="A72" t="str">
            <v>SEGUROS - RIESGOS FINANCIEROS</v>
          </cell>
          <cell r="B72" t="str">
            <v>51309505</v>
          </cell>
        </row>
        <row r="73">
          <cell r="A73" t="str">
            <v>SEGUROS - RESPONSABILIDAD CIVIL GASTOS A</v>
          </cell>
          <cell r="B73" t="str">
            <v>51309506</v>
          </cell>
        </row>
        <row r="74">
          <cell r="A74" t="str">
            <v>SEGUROS - MULTIRIESGO</v>
          </cell>
          <cell r="B74" t="str">
            <v>51309507</v>
          </cell>
        </row>
        <row r="75">
          <cell r="A75" t="str">
            <v>SEGUROS - TRANSPORTE</v>
          </cell>
          <cell r="B75" t="str">
            <v>51309508</v>
          </cell>
        </row>
        <row r="76">
          <cell r="A76" t="str">
            <v>SERVICIOS - ADMINISTRACION CALI</v>
          </cell>
          <cell r="B76" t="str">
            <v>51350500</v>
          </cell>
        </row>
        <row r="77">
          <cell r="A77" t="str">
            <v>SERVICIOS - ASEO</v>
          </cell>
          <cell r="B77" t="str">
            <v>51350501</v>
          </cell>
        </row>
        <row r="78">
          <cell r="A78" t="str">
            <v>SERVICIOS - VIGILANCIA</v>
          </cell>
          <cell r="B78" t="str">
            <v>51350502</v>
          </cell>
        </row>
        <row r="79">
          <cell r="A79" t="str">
            <v>SERVICIOS - ACTUALIZACION BASES DE DATOS</v>
          </cell>
          <cell r="B79" t="str">
            <v>51350503</v>
          </cell>
        </row>
        <row r="80">
          <cell r="A80" t="str">
            <v>SERVICIOS - OFICINA</v>
          </cell>
          <cell r="B80" t="str">
            <v>51351001</v>
          </cell>
        </row>
        <row r="81">
          <cell r="A81" t="str">
            <v>SERVICIOS - MENSAJERIA</v>
          </cell>
          <cell r="B81" t="str">
            <v>51351002</v>
          </cell>
        </row>
        <row r="82">
          <cell r="A82" t="str">
            <v>SERVICIOS - ASEO Y CAFETERIA</v>
          </cell>
          <cell r="B82" t="str">
            <v>51351003</v>
          </cell>
        </row>
        <row r="83">
          <cell r="A83" t="str">
            <v>SERVICIOS - ACUEDUCTO Y ALCANTARILLADO</v>
          </cell>
          <cell r="B83" t="str">
            <v>51352500</v>
          </cell>
        </row>
        <row r="84">
          <cell r="A84" t="str">
            <v>SERVICIOS - ENERGIA ELECTRICA</v>
          </cell>
          <cell r="B84" t="str">
            <v>51353000</v>
          </cell>
        </row>
        <row r="85">
          <cell r="A85" t="str">
            <v>SERVICIOS - TELEFONOS OFICINAS</v>
          </cell>
          <cell r="B85" t="str">
            <v>51353501</v>
          </cell>
        </row>
        <row r="86">
          <cell r="A86" t="str">
            <v>SERVICIOS - TARJETAS PREPAGO CELULAR</v>
          </cell>
          <cell r="B86" t="str">
            <v>51353503</v>
          </cell>
        </row>
        <row r="87">
          <cell r="A87" t="str">
            <v>SERVICIOS - TELEFONOS DISCADOS</v>
          </cell>
          <cell r="B87" t="str">
            <v>51353504</v>
          </cell>
        </row>
        <row r="88">
          <cell r="A88" t="str">
            <v>SERVICIOS - TARJETAS INTERNET</v>
          </cell>
          <cell r="B88" t="str">
            <v>51353505</v>
          </cell>
        </row>
        <row r="89">
          <cell r="A89" t="str">
            <v>SERVICIOS - CORREO, PORTES Y TELEGRAMAS</v>
          </cell>
          <cell r="B89" t="str">
            <v>51354000</v>
          </cell>
        </row>
        <row r="90">
          <cell r="A90" t="str">
            <v>SERVICIOS - TRASPORTES FLETES Y ACARREOS</v>
          </cell>
          <cell r="B90" t="str">
            <v>51355000</v>
          </cell>
        </row>
        <row r="91">
          <cell r="A91" t="str">
            <v>SERVICIOS - ADMINISTRACION INMUEBLES</v>
          </cell>
          <cell r="B91" t="str">
            <v>51355500</v>
          </cell>
        </row>
        <row r="92">
          <cell r="A92" t="str">
            <v>SERVICIOS - SUSCRIPCIONES A PERIODICOS</v>
          </cell>
          <cell r="B92" t="str">
            <v>51356001</v>
          </cell>
        </row>
        <row r="93">
          <cell r="A93" t="str">
            <v>SERVICIOS - SUSCRIPCIONES A REVISTAS</v>
          </cell>
          <cell r="B93" t="str">
            <v>51356002</v>
          </cell>
        </row>
        <row r="94">
          <cell r="A94" t="str">
            <v>SERVICIOS - SUSCRIPCIONES A CODIGOS</v>
          </cell>
          <cell r="B94" t="str">
            <v>51356003</v>
          </cell>
        </row>
        <row r="95">
          <cell r="A95" t="str">
            <v>SERVICIOS - SUSCRIPCIONES A PAGINAS DE INTERNET</v>
          </cell>
          <cell r="B95" t="str">
            <v>51356004</v>
          </cell>
        </row>
        <row r="96">
          <cell r="A96" t="str">
            <v>SERVICIOS - SUSCRIPCIONES A TELEVISION SATELITAL</v>
          </cell>
          <cell r="B96" t="str">
            <v>51356005</v>
          </cell>
        </row>
        <row r="97">
          <cell r="A97" t="str">
            <v>SERVICIOS - CUSTODIA Y ADMON DE TITULOS</v>
          </cell>
          <cell r="B97" t="str">
            <v>51359501</v>
          </cell>
        </row>
        <row r="98">
          <cell r="A98" t="str">
            <v>SERVICIOS - SERVICIOS ESP DE COMUNICACION</v>
          </cell>
          <cell r="B98" t="str">
            <v>51359502</v>
          </cell>
        </row>
        <row r="99">
          <cell r="A99" t="str">
            <v>SERVICIOS - SELECCION DE PERSONAL</v>
          </cell>
          <cell r="B99" t="str">
            <v>51359503</v>
          </cell>
        </row>
        <row r="100">
          <cell r="A100" t="str">
            <v>SERVICIOS - CONSULTA A LA CENTRAL DE INFOR</v>
          </cell>
          <cell r="B100" t="str">
            <v>51359504</v>
          </cell>
        </row>
        <row r="101">
          <cell r="A101" t="str">
            <v>SERVICIOS - SISTEMA MONITOR</v>
          </cell>
          <cell r="B101" t="str">
            <v>51359505</v>
          </cell>
        </row>
        <row r="102">
          <cell r="A102" t="str">
            <v>SERVICIOS - CUSTODIA Y CONSERVACION ARCHIV</v>
          </cell>
          <cell r="B102" t="str">
            <v>51359506</v>
          </cell>
        </row>
        <row r="103">
          <cell r="A103" t="str">
            <v>SERVICIOS - PAGINA WEB</v>
          </cell>
          <cell r="B103" t="str">
            <v>51359507</v>
          </cell>
        </row>
        <row r="104">
          <cell r="A104" t="str">
            <v>SERVICIOS - PLAN DE CONTINGENCIA</v>
          </cell>
          <cell r="B104" t="str">
            <v>51359508</v>
          </cell>
        </row>
        <row r="105">
          <cell r="A105" t="str">
            <v>SERVICIOS - OTROS SERVICIOS</v>
          </cell>
          <cell r="B105" t="str">
            <v>51359509</v>
          </cell>
        </row>
        <row r="106">
          <cell r="A106" t="str">
            <v>SERVICIOS - CLASIFICACION CORRESPONDENCIA</v>
          </cell>
          <cell r="B106" t="str">
            <v>51359510</v>
          </cell>
        </row>
        <row r="107">
          <cell r="A107" t="str">
            <v>SERVICIOS - APOYO OPERATIVO DIGITADORES</v>
          </cell>
          <cell r="B107" t="str">
            <v>51359511</v>
          </cell>
        </row>
        <row r="108">
          <cell r="A108" t="str">
            <v>DIVULGACION - DIVULGACION</v>
          </cell>
          <cell r="B108">
            <v>51360500</v>
          </cell>
        </row>
        <row r="109">
          <cell r="A109" t="str">
            <v>DIVULGACION - AVISOS Y TRANSMISIONES</v>
          </cell>
          <cell r="B109" t="str">
            <v>51360501</v>
          </cell>
        </row>
        <row r="110">
          <cell r="A110" t="str">
            <v>DIVULGACION - MERCADEO</v>
          </cell>
          <cell r="B110" t="str">
            <v>51360502</v>
          </cell>
        </row>
        <row r="111">
          <cell r="A111" t="str">
            <v>DIVULGACION - COMUNICACION INTERNA</v>
          </cell>
          <cell r="B111" t="str">
            <v>51360503</v>
          </cell>
        </row>
        <row r="112">
          <cell r="A112" t="str">
            <v>DIVULGACION - CAPACITACION CLIENTES</v>
          </cell>
          <cell r="B112" t="str">
            <v>51360504</v>
          </cell>
        </row>
        <row r="113">
          <cell r="A113" t="str">
            <v>DIVULGACION - EVENTOS</v>
          </cell>
          <cell r="B113" t="str">
            <v>51360505</v>
          </cell>
        </row>
        <row r="114">
          <cell r="A114" t="str">
            <v>DIVULGACION - PATROCINIOS</v>
          </cell>
          <cell r="B114" t="str">
            <v>51360509</v>
          </cell>
        </row>
        <row r="115">
          <cell r="A115" t="str">
            <v>PUBLICIDAD - PROPAGANDA</v>
          </cell>
          <cell r="B115" t="str">
            <v>51361001</v>
          </cell>
        </row>
        <row r="116">
          <cell r="A116" t="str">
            <v>PUBLICIDAD - SEMINARIOS</v>
          </cell>
          <cell r="B116" t="str">
            <v>51361002</v>
          </cell>
        </row>
        <row r="117">
          <cell r="A117" t="str">
            <v>PUBLICIDAD - MARTILLOS-DEMOCRATIZ Y SUBAST</v>
          </cell>
          <cell r="B117" t="str">
            <v>51361003</v>
          </cell>
        </row>
        <row r="118">
          <cell r="A118" t="str">
            <v>PUBLICIDAD - CONCURSO BOLSA MILLONARIA</v>
          </cell>
          <cell r="B118" t="str">
            <v>51361004</v>
          </cell>
        </row>
        <row r="119">
          <cell r="A119" t="str">
            <v>PUBLICIDAD - FOTOGRAFIAS</v>
          </cell>
          <cell r="B119" t="str">
            <v>51361005</v>
          </cell>
        </row>
        <row r="120">
          <cell r="A120" t="str">
            <v>PUBLICIDAD - CONCURSO PORTAFOLIO</v>
          </cell>
          <cell r="B120" t="str">
            <v>51361006</v>
          </cell>
        </row>
        <row r="121">
          <cell r="A121" t="str">
            <v>PUBLICIDAD - CONCURSO JUGADA MAESTRA</v>
          </cell>
          <cell r="B121" t="str">
            <v>51361007</v>
          </cell>
        </row>
        <row r="122">
          <cell r="A122" t="str">
            <v>PUBLICIDAD - CONGRESOS</v>
          </cell>
          <cell r="B122" t="str">
            <v>51361008</v>
          </cell>
        </row>
        <row r="123">
          <cell r="A123" t="str">
            <v>PUBLICIDAD - PATROCINIOS</v>
          </cell>
          <cell r="B123" t="str">
            <v>51361009</v>
          </cell>
        </row>
        <row r="124">
          <cell r="A124" t="str">
            <v>RELACIONES PUBLICAS - ATENCIONES EN CLUBES</v>
          </cell>
          <cell r="B124" t="str">
            <v>51370502</v>
          </cell>
        </row>
        <row r="125">
          <cell r="A125" t="str">
            <v>RELACIONES PUBLICAS - ATENCIONES CON TARJETA CREDITO</v>
          </cell>
          <cell r="B125" t="str">
            <v>51370503</v>
          </cell>
        </row>
        <row r="126">
          <cell r="A126" t="str">
            <v>RELACIONES PUBLICAS - ATENCION CONSEJO DIRECTIVO</v>
          </cell>
          <cell r="B126" t="str">
            <v>51370504</v>
          </cell>
        </row>
        <row r="127">
          <cell r="A127" t="str">
            <v>RELACIONES PUBLICAS - ATENCIONES COMISIONISTAS</v>
          </cell>
          <cell r="B127" t="str">
            <v>51370505</v>
          </cell>
        </row>
        <row r="128">
          <cell r="A128" t="str">
            <v>RELACIONES PUBLICAS - OTRAS ATENCIONES</v>
          </cell>
          <cell r="B128" t="str">
            <v>51370506</v>
          </cell>
        </row>
        <row r="129">
          <cell r="A129" t="str">
            <v>RELACIONES PUBLICAS - CUOTAS DE SOSTENIMIENTO CLUBES</v>
          </cell>
          <cell r="B129" t="str">
            <v>51370507</v>
          </cell>
        </row>
        <row r="130">
          <cell r="A130" t="str">
            <v>RELACIONES PUBLICAS - ATENCIONES FIN DE AÑO</v>
          </cell>
          <cell r="B130" t="str">
            <v>51370508</v>
          </cell>
        </row>
        <row r="131">
          <cell r="A131" t="str">
            <v>RELACIONES PUBLICAS - EVENTOS</v>
          </cell>
          <cell r="B131" t="str">
            <v>51370509</v>
          </cell>
        </row>
        <row r="132">
          <cell r="A132" t="str">
            <v>UTILES</v>
          </cell>
          <cell r="B132" t="str">
            <v>51380501</v>
          </cell>
        </row>
        <row r="133">
          <cell r="A133" t="str">
            <v>INSUMOS IMPRESORAS</v>
          </cell>
          <cell r="B133" t="str">
            <v>51380502</v>
          </cell>
        </row>
        <row r="134">
          <cell r="A134" t="str">
            <v>PAPELERIA</v>
          </cell>
          <cell r="B134" t="str">
            <v>51381001</v>
          </cell>
        </row>
        <row r="135">
          <cell r="A135" t="str">
            <v>TARJETAS DE PRESENTACION</v>
          </cell>
          <cell r="B135" t="str">
            <v>51381002</v>
          </cell>
        </row>
        <row r="136">
          <cell r="A136" t="str">
            <v>FOTOCOPIAS</v>
          </cell>
          <cell r="B136" t="str">
            <v>51381501</v>
          </cell>
        </row>
        <row r="137">
          <cell r="A137" t="str">
            <v>ANILLADOS</v>
          </cell>
          <cell r="B137" t="str">
            <v>51381502</v>
          </cell>
        </row>
        <row r="138">
          <cell r="A138" t="str">
            <v>SCANNER</v>
          </cell>
          <cell r="B138" t="str">
            <v>51381503</v>
          </cell>
        </row>
        <row r="139">
          <cell r="A139" t="str">
            <v>GASTOS POR ASAMBLEA</v>
          </cell>
          <cell r="B139" t="str">
            <v>51400501</v>
          </cell>
        </row>
        <row r="140">
          <cell r="A140" t="str">
            <v>NOTARIALES</v>
          </cell>
          <cell r="B140" t="str">
            <v>51410500</v>
          </cell>
        </row>
        <row r="141">
          <cell r="A141" t="str">
            <v>REGISTRO MERCANTIL</v>
          </cell>
          <cell r="B141" t="str">
            <v>51411000</v>
          </cell>
        </row>
        <row r="142">
          <cell r="A142" t="str">
            <v>TRAMITES Y LICENCIAS</v>
          </cell>
          <cell r="B142" t="str">
            <v>51411500</v>
          </cell>
        </row>
        <row r="143">
          <cell r="A143" t="str">
            <v>OTROS GASTOS LEGALES</v>
          </cell>
          <cell r="B143" t="str">
            <v>51419500</v>
          </cell>
        </row>
        <row r="144">
          <cell r="A144" t="str">
            <v>MANTENIMIENTO Y REPARACIONES   - EDIFICACIONES</v>
          </cell>
          <cell r="B144" t="str">
            <v>51451200</v>
          </cell>
        </row>
        <row r="145">
          <cell r="A145" t="str">
            <v>MANTENIMIENTO Y REPARACIONES   - EQUIPOS DE ASEO</v>
          </cell>
          <cell r="B145" t="str">
            <v>51451601</v>
          </cell>
        </row>
        <row r="146">
          <cell r="A146" t="str">
            <v>MANTENIMIENTO Y REPARACIONES   - RECARGA EXTINTORES</v>
          </cell>
          <cell r="B146" t="str">
            <v>51451602</v>
          </cell>
        </row>
        <row r="147">
          <cell r="A147" t="str">
            <v>MANTENIMIENTO Y REPARACIONES   - RELOJ MARCADOR</v>
          </cell>
          <cell r="B147" t="str">
            <v>51451603</v>
          </cell>
        </row>
        <row r="148">
          <cell r="A148" t="str">
            <v>MANTENIMIENTO Y REPARACIONES   - FOTOCOPIADORAS</v>
          </cell>
          <cell r="B148" t="str">
            <v>51451604</v>
          </cell>
        </row>
        <row r="149">
          <cell r="A149" t="str">
            <v>MANTENIMIENTO Y REPARACIONES   - MUEBLES</v>
          </cell>
          <cell r="B149" t="str">
            <v>51451606</v>
          </cell>
        </row>
        <row r="150">
          <cell r="A150" t="str">
            <v>MANTENIMIENTO Y REPARACIONES   - VIDEO BEAM</v>
          </cell>
          <cell r="B150" t="str">
            <v>51451607</v>
          </cell>
        </row>
        <row r="151">
          <cell r="A151" t="str">
            <v>MANTENIMIENTO Y REPARACIONES   - CONMUTADOR</v>
          </cell>
          <cell r="B151" t="str">
            <v>51451613</v>
          </cell>
        </row>
        <row r="152">
          <cell r="A152" t="str">
            <v>MANTENIMIENTO Y REPARACIONES   - PISO FALSO</v>
          </cell>
          <cell r="B152" t="str">
            <v>51451615</v>
          </cell>
        </row>
        <row r="153">
          <cell r="A153" t="str">
            <v>MANTENIMIENTO Y REPARACIONES   - AMBIENTAL MAQUINAS</v>
          </cell>
          <cell r="B153" t="str">
            <v>51451616</v>
          </cell>
        </row>
        <row r="154">
          <cell r="A154" t="str">
            <v>MANTENIMIENTO Y REPARACIONES   - LECTORES PISOS</v>
          </cell>
          <cell r="B154" t="str">
            <v>51451622</v>
          </cell>
        </row>
        <row r="155">
          <cell r="A155" t="str">
            <v>MANTENIMIENTO Y REPARACIONES   - OTROS EQUIPOS</v>
          </cell>
          <cell r="B155" t="str">
            <v>51451630</v>
          </cell>
        </row>
        <row r="156">
          <cell r="A156" t="str">
            <v>MANTENIMIENTO Y REPARACIONES   - U.P.S. MANTENIMIENTO</v>
          </cell>
          <cell r="B156" t="str">
            <v>51452003</v>
          </cell>
        </row>
        <row r="157">
          <cell r="A157" t="str">
            <v>MANTENIMIENTO Y REPARACIONES   - MICROCOMPUTADORES E IMPRESORAS</v>
          </cell>
          <cell r="B157" t="str">
            <v>51452004</v>
          </cell>
        </row>
        <row r="158">
          <cell r="A158" t="str">
            <v>MANTENIMIENTO Y REPARACIONES   - SOFTWARE REPLICADOR CONTINGENC</v>
          </cell>
          <cell r="B158" t="str">
            <v>51452005</v>
          </cell>
        </row>
        <row r="159">
          <cell r="A159" t="str">
            <v>MANTENIMIENTO Y REPARACIONES   - PLANTA ELECTRICA</v>
          </cell>
          <cell r="B159" t="str">
            <v>51452007</v>
          </cell>
        </row>
        <row r="160">
          <cell r="A160" t="str">
            <v>MANTENIMIENTO Y REPARACIONES   - AIRE ACONDICIONADO</v>
          </cell>
          <cell r="B160" t="str">
            <v>51452009</v>
          </cell>
        </row>
        <row r="161">
          <cell r="A161" t="str">
            <v>MANTENIMIENTO Y REPARACIONES   - EQUIPOS TANDEM Y SUN</v>
          </cell>
          <cell r="B161" t="str">
            <v>51452013</v>
          </cell>
        </row>
        <row r="162">
          <cell r="A162" t="str">
            <v>MANTENIMIENTO Y REPARACIONES   - APLICACIONES DE SISTEMAS</v>
          </cell>
          <cell r="B162" t="str">
            <v>51452014</v>
          </cell>
        </row>
        <row r="163">
          <cell r="A163" t="str">
            <v>MANTENIMIENTO Y REPARACIONES   - EQUIPOS DE COMUNICACION</v>
          </cell>
          <cell r="B163" t="str">
            <v>51452020</v>
          </cell>
        </row>
        <row r="164">
          <cell r="A164" t="str">
            <v>MANTENIMIENTO Y REPARACIONES   - BASES DE DATOS</v>
          </cell>
          <cell r="B164" t="str">
            <v>51452021</v>
          </cell>
        </row>
        <row r="165">
          <cell r="A165" t="str">
            <v>MANTENIMIENTO Y REPARACIONES   - EQUIPO DE TRANSPORTE</v>
          </cell>
          <cell r="B165" t="str">
            <v>51452400</v>
          </cell>
        </row>
        <row r="166">
          <cell r="A166" t="str">
            <v>ADECUACIONES E INSTALACIONES</v>
          </cell>
          <cell r="B166" t="str">
            <v>51500501</v>
          </cell>
        </row>
        <row r="167">
          <cell r="A167" t="str">
            <v>ARREGLOS ORNAMENTALES</v>
          </cell>
          <cell r="B167" t="str">
            <v>51501000</v>
          </cell>
        </row>
        <row r="168">
          <cell r="A168" t="str">
            <v>REPARACIONES LOCATIVAS</v>
          </cell>
          <cell r="B168" t="str">
            <v>51501500</v>
          </cell>
        </row>
        <row r="169">
          <cell r="A169" t="str">
            <v>REPARACIONES LOCATIVAS</v>
          </cell>
          <cell r="B169" t="str">
            <v>51501501</v>
          </cell>
        </row>
        <row r="170">
          <cell r="A170" t="str">
            <v>OTRAS ADECUACIONES</v>
          </cell>
          <cell r="B170" t="str">
            <v>51509500</v>
          </cell>
        </row>
      </sheetData>
      <sheetData sheetId="5" refreshError="1">
        <row r="2">
          <cell r="A2" t="str">
            <v>BVC DIA A DIA</v>
          </cell>
          <cell r="B2" t="str">
            <v>0000001000</v>
          </cell>
        </row>
        <row r="3">
          <cell r="A3" t="str">
            <v>Derivados y Acciones</v>
          </cell>
          <cell r="B3" t="str">
            <v>0000001002</v>
          </cell>
        </row>
        <row r="4">
          <cell r="A4" t="str">
            <v>CRCC</v>
          </cell>
          <cell r="B4" t="str">
            <v>0000001003</v>
          </cell>
        </row>
        <row r="5">
          <cell r="A5" t="str">
            <v>Bus de Datos</v>
          </cell>
          <cell r="B5" t="str">
            <v>0000001006</v>
          </cell>
        </row>
        <row r="6">
          <cell r="A6" t="str">
            <v>Portal Web - Gestión de Contenido</v>
          </cell>
          <cell r="B6" t="str">
            <v>0000001007</v>
          </cell>
        </row>
        <row r="7">
          <cell r="A7" t="str">
            <v>Back Office</v>
          </cell>
          <cell r="B7" t="str">
            <v>0000001010</v>
          </cell>
        </row>
        <row r="8">
          <cell r="A8" t="str">
            <v>CRM</v>
          </cell>
          <cell r="B8" t="str">
            <v>0000001012</v>
          </cell>
        </row>
        <row r="9">
          <cell r="A9" t="str">
            <v>Agora</v>
          </cell>
          <cell r="B9" t="str">
            <v>0000001014</v>
          </cell>
        </row>
        <row r="10">
          <cell r="A10" t="str">
            <v>Indices de Renta Fija</v>
          </cell>
          <cell r="B10" t="str">
            <v>0000001018</v>
          </cell>
        </row>
        <row r="11">
          <cell r="A11" t="str">
            <v>Integración Bolsas México y Brasil</v>
          </cell>
          <cell r="B11" t="str">
            <v>0000001019</v>
          </cell>
        </row>
        <row r="12">
          <cell r="A12" t="str">
            <v>Administración de Ambientes</v>
          </cell>
          <cell r="B12" t="str">
            <v>0000001029</v>
          </cell>
        </row>
        <row r="13">
          <cell r="A13" t="str">
            <v>Mercados de Renta Fija</v>
          </cell>
          <cell r="B13" t="str">
            <v>0000001030</v>
          </cell>
        </row>
        <row r="14">
          <cell r="A14" t="str">
            <v>Primer Escalón</v>
          </cell>
          <cell r="B14" t="str">
            <v>0000001031</v>
          </cell>
        </row>
        <row r="15">
          <cell r="A15" t="str">
            <v>Indices de Acciones</v>
          </cell>
          <cell r="B15" t="str">
            <v>0000001032</v>
          </cell>
        </row>
        <row r="16">
          <cell r="A16" t="str">
            <v>BVC Virtual</v>
          </cell>
          <cell r="B16" t="str">
            <v>0000001033</v>
          </cell>
        </row>
        <row r="17">
          <cell r="A17" t="str">
            <v>Presidencia Perú</v>
          </cell>
          <cell r="B17" t="str">
            <v>0000001034</v>
          </cell>
        </row>
        <row r="18">
          <cell r="A18" t="str">
            <v>COL CAP - EMISORES POR PRIMERA VEZ</v>
          </cell>
          <cell r="B18" t="str">
            <v>0010101000</v>
          </cell>
        </row>
        <row r="19">
          <cell r="A19" t="str">
            <v>COL CAP - IMPULSO AL CAPITAL</v>
          </cell>
          <cell r="B19" t="str">
            <v>0010201000</v>
          </cell>
        </row>
        <row r="20">
          <cell r="A20" t="str">
            <v>COL CAP - DESARROLLO INSTRUMENTOS</v>
          </cell>
          <cell r="B20" t="str">
            <v>0010301000</v>
          </cell>
        </row>
        <row r="21">
          <cell r="A21" t="str">
            <v>COL CAP - DIFUSION RESULTADOS</v>
          </cell>
          <cell r="B21" t="str">
            <v>0010401000</v>
          </cell>
        </row>
        <row r="22">
          <cell r="A22" t="str">
            <v>COL CAP - ADMINISTRACION</v>
          </cell>
          <cell r="B22" t="str">
            <v>0010501000</v>
          </cell>
        </row>
        <row r="23">
          <cell r="A23" t="str">
            <v>COL CAP AUDITORIA Y EVALUACION</v>
          </cell>
          <cell r="B23" t="str">
            <v>0010601000</v>
          </cell>
        </row>
        <row r="24">
          <cell r="A24" t="str">
            <v>INV COL - CAMARA DE COMPENSACION</v>
          </cell>
          <cell r="B24" t="str">
            <v>0020201000</v>
          </cell>
        </row>
        <row r="25">
          <cell r="A25" t="str">
            <v>INV COL - BOLSA DERIVADOS Y FUTUROS</v>
          </cell>
          <cell r="B25" t="str">
            <v>0020301000</v>
          </cell>
        </row>
        <row r="26">
          <cell r="A26" t="str">
            <v>INV COL - ADMINISTRACION</v>
          </cell>
          <cell r="B26" t="str">
            <v>0020401000</v>
          </cell>
        </row>
        <row r="27">
          <cell r="A27" t="str">
            <v>INV COL AUDITORIA Y EVALUACION</v>
          </cell>
          <cell r="B27" t="str">
            <v>0020501000</v>
          </cell>
        </row>
        <row r="28">
          <cell r="A28" t="str">
            <v>INV COL - SISTEMA DE INFORMACION</v>
          </cell>
          <cell r="B28" t="str">
            <v>0021A01000</v>
          </cell>
        </row>
        <row r="29">
          <cell r="A29" t="str">
            <v>INV COL -GOBIERNO CORPORATIVO</v>
          </cell>
          <cell r="B29" t="str">
            <v>0021B01000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datos formato 1002"/>
      <sheetName val="dane"/>
    </sheetNames>
    <sheetDataSet>
      <sheetData sheetId="0" refreshError="1"/>
      <sheetData sheetId="1">
        <row r="1">
          <cell r="A1" t="str">
            <v>05</v>
          </cell>
          <cell r="B1" t="str">
            <v>001</v>
          </cell>
        </row>
        <row r="2">
          <cell r="A2" t="str">
            <v>08</v>
          </cell>
          <cell r="B2" t="str">
            <v>002</v>
          </cell>
        </row>
        <row r="3">
          <cell r="A3" t="str">
            <v>11</v>
          </cell>
          <cell r="B3" t="str">
            <v>003</v>
          </cell>
        </row>
        <row r="4">
          <cell r="A4" t="str">
            <v>13</v>
          </cell>
          <cell r="B4" t="str">
            <v>004</v>
          </cell>
        </row>
        <row r="5">
          <cell r="A5" t="str">
            <v>15</v>
          </cell>
          <cell r="B5" t="str">
            <v>006</v>
          </cell>
        </row>
        <row r="6">
          <cell r="A6" t="str">
            <v>17</v>
          </cell>
          <cell r="B6" t="str">
            <v>010</v>
          </cell>
        </row>
        <row r="7">
          <cell r="A7" t="str">
            <v>18</v>
          </cell>
          <cell r="B7" t="str">
            <v>011</v>
          </cell>
        </row>
        <row r="8">
          <cell r="A8" t="str">
            <v>19</v>
          </cell>
          <cell r="B8" t="str">
            <v>013</v>
          </cell>
        </row>
        <row r="9">
          <cell r="A9" t="str">
            <v>20</v>
          </cell>
          <cell r="B9" t="str">
            <v>015</v>
          </cell>
        </row>
        <row r="10">
          <cell r="A10" t="str">
            <v>23</v>
          </cell>
          <cell r="B10" t="str">
            <v>016</v>
          </cell>
        </row>
        <row r="11">
          <cell r="A11" t="str">
            <v>25</v>
          </cell>
          <cell r="B11" t="str">
            <v>019</v>
          </cell>
        </row>
        <row r="12">
          <cell r="A12" t="str">
            <v>27</v>
          </cell>
          <cell r="B12" t="str">
            <v>020</v>
          </cell>
        </row>
        <row r="13">
          <cell r="A13" t="str">
            <v>41</v>
          </cell>
          <cell r="B13" t="str">
            <v>021</v>
          </cell>
        </row>
        <row r="14">
          <cell r="A14" t="str">
            <v>44</v>
          </cell>
          <cell r="B14" t="str">
            <v>022</v>
          </cell>
        </row>
        <row r="15">
          <cell r="A15" t="str">
            <v>47</v>
          </cell>
          <cell r="B15" t="str">
            <v>024</v>
          </cell>
        </row>
        <row r="16">
          <cell r="A16" t="str">
            <v>50</v>
          </cell>
          <cell r="B16" t="str">
            <v>025</v>
          </cell>
        </row>
        <row r="17">
          <cell r="A17" t="str">
            <v>52</v>
          </cell>
          <cell r="B17" t="str">
            <v>026</v>
          </cell>
        </row>
        <row r="18">
          <cell r="A18" t="str">
            <v>54</v>
          </cell>
          <cell r="B18" t="str">
            <v>029</v>
          </cell>
        </row>
        <row r="19">
          <cell r="A19" t="str">
            <v>63</v>
          </cell>
          <cell r="B19" t="str">
            <v>030</v>
          </cell>
        </row>
        <row r="20">
          <cell r="A20" t="str">
            <v>66</v>
          </cell>
          <cell r="B20" t="str">
            <v>031</v>
          </cell>
        </row>
        <row r="21">
          <cell r="A21" t="str">
            <v>68</v>
          </cell>
          <cell r="B21" t="str">
            <v>032</v>
          </cell>
        </row>
        <row r="22">
          <cell r="A22" t="str">
            <v>70</v>
          </cell>
          <cell r="B22" t="str">
            <v>034</v>
          </cell>
        </row>
        <row r="23">
          <cell r="A23" t="str">
            <v>73</v>
          </cell>
          <cell r="B23" t="str">
            <v>035</v>
          </cell>
        </row>
        <row r="24">
          <cell r="A24" t="str">
            <v>76</v>
          </cell>
          <cell r="B24" t="str">
            <v>036</v>
          </cell>
        </row>
        <row r="25">
          <cell r="A25" t="str">
            <v>81</v>
          </cell>
          <cell r="B25" t="str">
            <v>038</v>
          </cell>
        </row>
        <row r="26">
          <cell r="A26" t="str">
            <v>85</v>
          </cell>
          <cell r="B26" t="str">
            <v>040</v>
          </cell>
        </row>
        <row r="27">
          <cell r="A27" t="str">
            <v>86</v>
          </cell>
          <cell r="B27" t="str">
            <v>041</v>
          </cell>
        </row>
        <row r="28">
          <cell r="A28" t="str">
            <v>88</v>
          </cell>
          <cell r="B28" t="str">
            <v>042</v>
          </cell>
        </row>
        <row r="29">
          <cell r="A29" t="str">
            <v>91</v>
          </cell>
          <cell r="B29" t="str">
            <v>043</v>
          </cell>
        </row>
        <row r="30">
          <cell r="A30" t="str">
            <v>94</v>
          </cell>
          <cell r="B30" t="str">
            <v>044</v>
          </cell>
        </row>
        <row r="31">
          <cell r="A31" t="str">
            <v>95</v>
          </cell>
          <cell r="B31" t="str">
            <v>045</v>
          </cell>
        </row>
        <row r="32">
          <cell r="A32" t="str">
            <v>97</v>
          </cell>
          <cell r="B32" t="str">
            <v>047</v>
          </cell>
        </row>
        <row r="33">
          <cell r="A33" t="str">
            <v>99</v>
          </cell>
          <cell r="B33" t="str">
            <v>050</v>
          </cell>
        </row>
        <row r="34">
          <cell r="B34" t="str">
            <v>051</v>
          </cell>
        </row>
        <row r="35">
          <cell r="B35" t="str">
            <v>052</v>
          </cell>
        </row>
        <row r="36">
          <cell r="B36" t="str">
            <v>053</v>
          </cell>
        </row>
        <row r="37">
          <cell r="B37" t="str">
            <v>054</v>
          </cell>
        </row>
        <row r="38">
          <cell r="B38" t="str">
            <v>055</v>
          </cell>
        </row>
        <row r="39">
          <cell r="B39" t="str">
            <v>058</v>
          </cell>
        </row>
        <row r="40">
          <cell r="B40" t="str">
            <v>059</v>
          </cell>
        </row>
        <row r="41">
          <cell r="B41" t="str">
            <v>060</v>
          </cell>
        </row>
        <row r="42">
          <cell r="B42" t="str">
            <v>062</v>
          </cell>
        </row>
        <row r="43">
          <cell r="B43" t="str">
            <v>065</v>
          </cell>
        </row>
        <row r="44">
          <cell r="B44" t="str">
            <v>067</v>
          </cell>
        </row>
        <row r="45">
          <cell r="B45" t="str">
            <v>068</v>
          </cell>
        </row>
        <row r="46">
          <cell r="B46" t="str">
            <v>073</v>
          </cell>
        </row>
        <row r="47">
          <cell r="B47" t="str">
            <v>074</v>
          </cell>
        </row>
        <row r="48">
          <cell r="B48" t="str">
            <v>075</v>
          </cell>
        </row>
        <row r="49">
          <cell r="B49" t="str">
            <v>077</v>
          </cell>
        </row>
        <row r="50">
          <cell r="B50" t="str">
            <v>078</v>
          </cell>
        </row>
        <row r="51">
          <cell r="B51" t="str">
            <v>079</v>
          </cell>
        </row>
        <row r="52">
          <cell r="B52" t="str">
            <v>081</v>
          </cell>
        </row>
        <row r="53">
          <cell r="B53" t="str">
            <v>083</v>
          </cell>
        </row>
        <row r="54">
          <cell r="B54" t="str">
            <v>086</v>
          </cell>
        </row>
        <row r="55">
          <cell r="B55" t="str">
            <v>087</v>
          </cell>
        </row>
        <row r="56">
          <cell r="B56" t="str">
            <v>088</v>
          </cell>
        </row>
        <row r="57">
          <cell r="B57" t="str">
            <v>090</v>
          </cell>
        </row>
        <row r="58">
          <cell r="B58" t="str">
            <v>091</v>
          </cell>
        </row>
        <row r="59">
          <cell r="B59" t="str">
            <v>092</v>
          </cell>
        </row>
        <row r="60">
          <cell r="B60" t="str">
            <v>093</v>
          </cell>
        </row>
        <row r="61">
          <cell r="B61" t="str">
            <v>094</v>
          </cell>
        </row>
        <row r="62">
          <cell r="B62" t="str">
            <v>095</v>
          </cell>
        </row>
        <row r="63">
          <cell r="B63" t="str">
            <v>097</v>
          </cell>
        </row>
        <row r="64">
          <cell r="B64" t="str">
            <v>098</v>
          </cell>
        </row>
        <row r="65">
          <cell r="B65" t="str">
            <v>099</v>
          </cell>
        </row>
        <row r="66">
          <cell r="B66" t="str">
            <v>100</v>
          </cell>
        </row>
        <row r="67">
          <cell r="B67" t="str">
            <v>101</v>
          </cell>
        </row>
        <row r="68">
          <cell r="B68" t="str">
            <v>104</v>
          </cell>
        </row>
        <row r="69">
          <cell r="B69" t="str">
            <v>106</v>
          </cell>
        </row>
        <row r="70">
          <cell r="B70" t="str">
            <v>107</v>
          </cell>
        </row>
        <row r="71">
          <cell r="B71" t="str">
            <v>109</v>
          </cell>
        </row>
        <row r="72">
          <cell r="B72" t="str">
            <v>110</v>
          </cell>
        </row>
        <row r="73">
          <cell r="B73" t="str">
            <v>111</v>
          </cell>
        </row>
        <row r="74">
          <cell r="B74" t="str">
            <v>113</v>
          </cell>
        </row>
        <row r="75">
          <cell r="B75" t="str">
            <v>114</v>
          </cell>
        </row>
        <row r="76">
          <cell r="B76" t="str">
            <v>120</v>
          </cell>
        </row>
        <row r="77">
          <cell r="B77" t="str">
            <v>121</v>
          </cell>
        </row>
        <row r="78">
          <cell r="B78" t="str">
            <v>122</v>
          </cell>
        </row>
        <row r="79">
          <cell r="B79" t="str">
            <v>123</v>
          </cell>
        </row>
        <row r="80">
          <cell r="B80" t="str">
            <v>124</v>
          </cell>
        </row>
        <row r="81">
          <cell r="B81" t="str">
            <v>125</v>
          </cell>
        </row>
        <row r="82">
          <cell r="B82" t="str">
            <v>126</v>
          </cell>
        </row>
        <row r="83">
          <cell r="B83" t="str">
            <v>128</v>
          </cell>
        </row>
        <row r="84">
          <cell r="B84" t="str">
            <v>129</v>
          </cell>
        </row>
        <row r="85">
          <cell r="B85" t="str">
            <v>130</v>
          </cell>
        </row>
        <row r="86">
          <cell r="B86" t="str">
            <v>131</v>
          </cell>
        </row>
        <row r="87">
          <cell r="B87" t="str">
            <v>132</v>
          </cell>
        </row>
        <row r="88">
          <cell r="B88" t="str">
            <v>134</v>
          </cell>
        </row>
        <row r="89">
          <cell r="B89" t="str">
            <v>135</v>
          </cell>
        </row>
        <row r="90">
          <cell r="B90" t="str">
            <v>136</v>
          </cell>
        </row>
        <row r="91">
          <cell r="B91" t="str">
            <v>137</v>
          </cell>
        </row>
        <row r="92">
          <cell r="B92" t="str">
            <v>138</v>
          </cell>
        </row>
        <row r="93">
          <cell r="B93" t="str">
            <v>139</v>
          </cell>
        </row>
        <row r="94">
          <cell r="B94" t="str">
            <v>140</v>
          </cell>
        </row>
        <row r="95">
          <cell r="B95" t="str">
            <v>141</v>
          </cell>
        </row>
        <row r="96">
          <cell r="B96" t="str">
            <v>142</v>
          </cell>
        </row>
        <row r="97">
          <cell r="B97" t="str">
            <v>145</v>
          </cell>
        </row>
        <row r="98">
          <cell r="B98" t="str">
            <v>147</v>
          </cell>
        </row>
        <row r="99">
          <cell r="B99" t="str">
            <v>148</v>
          </cell>
        </row>
        <row r="100">
          <cell r="B100" t="str">
            <v>150</v>
          </cell>
        </row>
        <row r="101">
          <cell r="B101" t="str">
            <v>151</v>
          </cell>
        </row>
        <row r="102">
          <cell r="B102" t="str">
            <v>152</v>
          </cell>
        </row>
        <row r="103">
          <cell r="B103" t="str">
            <v>154</v>
          </cell>
        </row>
        <row r="104">
          <cell r="B104" t="str">
            <v>160</v>
          </cell>
        </row>
        <row r="105">
          <cell r="B105" t="str">
            <v>161</v>
          </cell>
        </row>
        <row r="106">
          <cell r="B106" t="str">
            <v>162</v>
          </cell>
        </row>
        <row r="107">
          <cell r="B107" t="str">
            <v>167</v>
          </cell>
        </row>
        <row r="108">
          <cell r="B108" t="str">
            <v>168</v>
          </cell>
        </row>
        <row r="109">
          <cell r="B109" t="str">
            <v>169</v>
          </cell>
        </row>
        <row r="110">
          <cell r="B110" t="str">
            <v>170</v>
          </cell>
        </row>
        <row r="111">
          <cell r="B111" t="str">
            <v>172</v>
          </cell>
        </row>
        <row r="112">
          <cell r="B112" t="str">
            <v>174</v>
          </cell>
        </row>
        <row r="113">
          <cell r="B113" t="str">
            <v>175</v>
          </cell>
        </row>
        <row r="114">
          <cell r="B114" t="str">
            <v>176</v>
          </cell>
        </row>
        <row r="115">
          <cell r="B115" t="str">
            <v>178</v>
          </cell>
        </row>
        <row r="116">
          <cell r="B116" t="str">
            <v>179</v>
          </cell>
        </row>
        <row r="117">
          <cell r="B117" t="str">
            <v>180</v>
          </cell>
        </row>
        <row r="118">
          <cell r="B118" t="str">
            <v>181</v>
          </cell>
        </row>
        <row r="119">
          <cell r="B119" t="str">
            <v>182</v>
          </cell>
        </row>
        <row r="120">
          <cell r="B120" t="str">
            <v>183</v>
          </cell>
        </row>
        <row r="121">
          <cell r="B121" t="str">
            <v>185</v>
          </cell>
        </row>
        <row r="122">
          <cell r="B122" t="str">
            <v>187</v>
          </cell>
        </row>
        <row r="123">
          <cell r="B123" t="str">
            <v>188</v>
          </cell>
        </row>
        <row r="124">
          <cell r="B124" t="str">
            <v>189</v>
          </cell>
        </row>
        <row r="125">
          <cell r="B125" t="str">
            <v>190</v>
          </cell>
        </row>
        <row r="126">
          <cell r="B126" t="str">
            <v>197</v>
          </cell>
        </row>
        <row r="127">
          <cell r="B127" t="str">
            <v>200</v>
          </cell>
        </row>
        <row r="128">
          <cell r="B128" t="str">
            <v>203</v>
          </cell>
        </row>
        <row r="129">
          <cell r="B129" t="str">
            <v>204</v>
          </cell>
        </row>
        <row r="130">
          <cell r="B130" t="str">
            <v>205</v>
          </cell>
        </row>
        <row r="131">
          <cell r="B131" t="str">
            <v>206</v>
          </cell>
        </row>
        <row r="132">
          <cell r="B132" t="str">
            <v>207</v>
          </cell>
        </row>
        <row r="133">
          <cell r="B133" t="str">
            <v>209</v>
          </cell>
        </row>
        <row r="134">
          <cell r="B134" t="str">
            <v>210</v>
          </cell>
        </row>
        <row r="135">
          <cell r="B135" t="str">
            <v>211</v>
          </cell>
        </row>
        <row r="136">
          <cell r="B136" t="str">
            <v>212</v>
          </cell>
        </row>
        <row r="137">
          <cell r="B137" t="str">
            <v>214</v>
          </cell>
        </row>
        <row r="138">
          <cell r="B138" t="str">
            <v>215</v>
          </cell>
        </row>
        <row r="139">
          <cell r="B139" t="str">
            <v>217</v>
          </cell>
        </row>
        <row r="140">
          <cell r="B140" t="str">
            <v>218</v>
          </cell>
        </row>
        <row r="141">
          <cell r="B141" t="str">
            <v>219</v>
          </cell>
        </row>
        <row r="142">
          <cell r="B142" t="str">
            <v>220</v>
          </cell>
        </row>
        <row r="143">
          <cell r="B143" t="str">
            <v>221</v>
          </cell>
        </row>
        <row r="144">
          <cell r="B144" t="str">
            <v>222</v>
          </cell>
        </row>
        <row r="145">
          <cell r="B145" t="str">
            <v>223</v>
          </cell>
        </row>
        <row r="146">
          <cell r="B146" t="str">
            <v>224</v>
          </cell>
        </row>
        <row r="147">
          <cell r="B147" t="str">
            <v>225</v>
          </cell>
        </row>
        <row r="148">
          <cell r="B148" t="str">
            <v>226</v>
          </cell>
        </row>
        <row r="149">
          <cell r="B149" t="str">
            <v>227</v>
          </cell>
        </row>
        <row r="150">
          <cell r="B150" t="str">
            <v>228</v>
          </cell>
        </row>
        <row r="151">
          <cell r="B151" t="str">
            <v>229</v>
          </cell>
        </row>
        <row r="152">
          <cell r="B152" t="str">
            <v>230</v>
          </cell>
        </row>
        <row r="153">
          <cell r="B153" t="str">
            <v>232</v>
          </cell>
        </row>
        <row r="154">
          <cell r="B154" t="str">
            <v>233</v>
          </cell>
        </row>
        <row r="155">
          <cell r="B155" t="str">
            <v>234</v>
          </cell>
        </row>
        <row r="156">
          <cell r="B156" t="str">
            <v>235</v>
          </cell>
        </row>
        <row r="157">
          <cell r="B157" t="str">
            <v>236</v>
          </cell>
        </row>
        <row r="158">
          <cell r="B158" t="str">
            <v>237</v>
          </cell>
        </row>
        <row r="159">
          <cell r="B159" t="str">
            <v>238</v>
          </cell>
        </row>
        <row r="160">
          <cell r="B160" t="str">
            <v>239</v>
          </cell>
        </row>
        <row r="161">
          <cell r="B161" t="str">
            <v>240</v>
          </cell>
        </row>
        <row r="162">
          <cell r="B162" t="str">
            <v>243</v>
          </cell>
        </row>
        <row r="163">
          <cell r="B163" t="str">
            <v>244</v>
          </cell>
        </row>
        <row r="164">
          <cell r="B164" t="str">
            <v>245</v>
          </cell>
        </row>
        <row r="165">
          <cell r="B165" t="str">
            <v>246</v>
          </cell>
        </row>
        <row r="166">
          <cell r="B166" t="str">
            <v>247</v>
          </cell>
        </row>
        <row r="167">
          <cell r="B167" t="str">
            <v>248</v>
          </cell>
        </row>
        <row r="168">
          <cell r="B168" t="str">
            <v>250</v>
          </cell>
        </row>
        <row r="169">
          <cell r="B169" t="str">
            <v>251</v>
          </cell>
        </row>
        <row r="170">
          <cell r="B170" t="str">
            <v>254</v>
          </cell>
        </row>
        <row r="171">
          <cell r="B171" t="str">
            <v>255</v>
          </cell>
        </row>
        <row r="172">
          <cell r="B172" t="str">
            <v>256</v>
          </cell>
        </row>
        <row r="173">
          <cell r="B173" t="str">
            <v>258</v>
          </cell>
        </row>
        <row r="174">
          <cell r="B174" t="str">
            <v>260</v>
          </cell>
        </row>
        <row r="175">
          <cell r="B175" t="str">
            <v>261</v>
          </cell>
        </row>
        <row r="176">
          <cell r="B176" t="str">
            <v>263</v>
          </cell>
        </row>
        <row r="177">
          <cell r="B177" t="str">
            <v>264</v>
          </cell>
        </row>
        <row r="178">
          <cell r="B178" t="str">
            <v>265</v>
          </cell>
        </row>
        <row r="179">
          <cell r="B179" t="str">
            <v>266</v>
          </cell>
        </row>
        <row r="180">
          <cell r="B180" t="str">
            <v>268</v>
          </cell>
        </row>
        <row r="181">
          <cell r="B181" t="str">
            <v>269</v>
          </cell>
        </row>
        <row r="182">
          <cell r="B182" t="str">
            <v>270</v>
          </cell>
        </row>
        <row r="183">
          <cell r="B183" t="str">
            <v>271</v>
          </cell>
        </row>
        <row r="184">
          <cell r="B184" t="str">
            <v>272</v>
          </cell>
        </row>
        <row r="185">
          <cell r="B185" t="str">
            <v>275</v>
          </cell>
        </row>
        <row r="186">
          <cell r="B186" t="str">
            <v>276</v>
          </cell>
        </row>
        <row r="187">
          <cell r="B187" t="str">
            <v>279</v>
          </cell>
        </row>
        <row r="188">
          <cell r="B188" t="str">
            <v>281</v>
          </cell>
        </row>
        <row r="189">
          <cell r="B189" t="str">
            <v>282</v>
          </cell>
        </row>
        <row r="190">
          <cell r="B190" t="str">
            <v>283</v>
          </cell>
        </row>
        <row r="191">
          <cell r="B191" t="str">
            <v>284</v>
          </cell>
        </row>
        <row r="192">
          <cell r="B192" t="str">
            <v>286</v>
          </cell>
        </row>
        <row r="193">
          <cell r="B193" t="str">
            <v>287</v>
          </cell>
        </row>
        <row r="194">
          <cell r="B194" t="str">
            <v>288</v>
          </cell>
        </row>
        <row r="195">
          <cell r="B195" t="str">
            <v>290</v>
          </cell>
        </row>
        <row r="196">
          <cell r="B196" t="str">
            <v>293</v>
          </cell>
        </row>
        <row r="197">
          <cell r="B197" t="str">
            <v>295</v>
          </cell>
        </row>
        <row r="198">
          <cell r="B198" t="str">
            <v>296</v>
          </cell>
        </row>
        <row r="199">
          <cell r="B199" t="str">
            <v>297</v>
          </cell>
        </row>
        <row r="200">
          <cell r="B200" t="str">
            <v>298</v>
          </cell>
        </row>
        <row r="201">
          <cell r="B201" t="str">
            <v>299</v>
          </cell>
        </row>
        <row r="202">
          <cell r="B202" t="str">
            <v>300</v>
          </cell>
        </row>
        <row r="203">
          <cell r="B203" t="str">
            <v>302</v>
          </cell>
        </row>
        <row r="204">
          <cell r="B204" t="str">
            <v>306</v>
          </cell>
        </row>
        <row r="205">
          <cell r="B205" t="str">
            <v>307</v>
          </cell>
        </row>
        <row r="206">
          <cell r="B206" t="str">
            <v>308</v>
          </cell>
        </row>
        <row r="207">
          <cell r="B207" t="str">
            <v>310</v>
          </cell>
        </row>
        <row r="208">
          <cell r="B208" t="str">
            <v>312</v>
          </cell>
        </row>
        <row r="209">
          <cell r="B209" t="str">
            <v>313</v>
          </cell>
        </row>
        <row r="210">
          <cell r="B210" t="str">
            <v>315</v>
          </cell>
        </row>
        <row r="211">
          <cell r="B211" t="str">
            <v>317</v>
          </cell>
        </row>
        <row r="212">
          <cell r="B212" t="str">
            <v>318</v>
          </cell>
        </row>
        <row r="213">
          <cell r="B213" t="str">
            <v>319</v>
          </cell>
        </row>
        <row r="214">
          <cell r="B214" t="str">
            <v>320</v>
          </cell>
        </row>
        <row r="215">
          <cell r="B215" t="str">
            <v>321</v>
          </cell>
        </row>
        <row r="216">
          <cell r="B216" t="str">
            <v>322</v>
          </cell>
        </row>
        <row r="217">
          <cell r="B217" t="str">
            <v>323</v>
          </cell>
        </row>
        <row r="218">
          <cell r="B218" t="str">
            <v>324</v>
          </cell>
        </row>
        <row r="219">
          <cell r="B219" t="str">
            <v>325</v>
          </cell>
        </row>
        <row r="220">
          <cell r="B220" t="str">
            <v>326</v>
          </cell>
        </row>
        <row r="221">
          <cell r="B221" t="str">
            <v>327</v>
          </cell>
        </row>
        <row r="222">
          <cell r="B222" t="str">
            <v>328</v>
          </cell>
        </row>
        <row r="223">
          <cell r="B223" t="str">
            <v>330</v>
          </cell>
        </row>
        <row r="224">
          <cell r="B224" t="str">
            <v>332</v>
          </cell>
        </row>
        <row r="225">
          <cell r="B225" t="str">
            <v>335</v>
          </cell>
        </row>
        <row r="226">
          <cell r="B226" t="str">
            <v>339</v>
          </cell>
        </row>
        <row r="227">
          <cell r="B227" t="str">
            <v>343</v>
          </cell>
        </row>
        <row r="228">
          <cell r="B228" t="str">
            <v>344</v>
          </cell>
        </row>
        <row r="229">
          <cell r="B229" t="str">
            <v>347</v>
          </cell>
        </row>
        <row r="230">
          <cell r="B230" t="str">
            <v>349</v>
          </cell>
        </row>
        <row r="231">
          <cell r="B231" t="str">
            <v>350</v>
          </cell>
        </row>
        <row r="232">
          <cell r="B232" t="str">
            <v>352</v>
          </cell>
        </row>
        <row r="233">
          <cell r="B233" t="str">
            <v>353</v>
          </cell>
        </row>
        <row r="234">
          <cell r="B234" t="str">
            <v>354</v>
          </cell>
        </row>
        <row r="235">
          <cell r="B235" t="str">
            <v>355</v>
          </cell>
        </row>
        <row r="236">
          <cell r="B236" t="str">
            <v>356</v>
          </cell>
        </row>
        <row r="237">
          <cell r="B237" t="str">
            <v>357</v>
          </cell>
        </row>
        <row r="238">
          <cell r="B238" t="str">
            <v>359</v>
          </cell>
        </row>
        <row r="239">
          <cell r="B239" t="str">
            <v>360</v>
          </cell>
        </row>
        <row r="240">
          <cell r="B240" t="str">
            <v>361</v>
          </cell>
        </row>
        <row r="241">
          <cell r="B241" t="str">
            <v>362</v>
          </cell>
        </row>
        <row r="242">
          <cell r="B242" t="str">
            <v>364</v>
          </cell>
        </row>
        <row r="243">
          <cell r="B243" t="str">
            <v>367</v>
          </cell>
        </row>
        <row r="244">
          <cell r="B244" t="str">
            <v>368</v>
          </cell>
        </row>
        <row r="245">
          <cell r="B245" t="str">
            <v>370</v>
          </cell>
        </row>
        <row r="246">
          <cell r="B246" t="str">
            <v>372</v>
          </cell>
        </row>
        <row r="247">
          <cell r="B247" t="str">
            <v>376</v>
          </cell>
        </row>
        <row r="248">
          <cell r="B248" t="str">
            <v>377</v>
          </cell>
        </row>
        <row r="249">
          <cell r="B249" t="str">
            <v>378</v>
          </cell>
        </row>
        <row r="250">
          <cell r="B250" t="str">
            <v>380</v>
          </cell>
        </row>
        <row r="251">
          <cell r="B251" t="str">
            <v>381</v>
          </cell>
        </row>
        <row r="252">
          <cell r="B252" t="str">
            <v>383</v>
          </cell>
        </row>
        <row r="253">
          <cell r="B253" t="str">
            <v>385</v>
          </cell>
        </row>
        <row r="254">
          <cell r="B254" t="str">
            <v>386</v>
          </cell>
        </row>
        <row r="255">
          <cell r="B255" t="str">
            <v>388</v>
          </cell>
        </row>
        <row r="256">
          <cell r="B256" t="str">
            <v>390</v>
          </cell>
        </row>
        <row r="257">
          <cell r="B257" t="str">
            <v>392</v>
          </cell>
        </row>
        <row r="258">
          <cell r="B258" t="str">
            <v>394</v>
          </cell>
        </row>
        <row r="259">
          <cell r="B259" t="str">
            <v>396</v>
          </cell>
        </row>
        <row r="260">
          <cell r="B260" t="str">
            <v>397</v>
          </cell>
        </row>
        <row r="261">
          <cell r="B261" t="str">
            <v>398</v>
          </cell>
        </row>
        <row r="262">
          <cell r="B262" t="str">
            <v>399</v>
          </cell>
        </row>
        <row r="263">
          <cell r="B263" t="str">
            <v>400</v>
          </cell>
        </row>
        <row r="264">
          <cell r="B264" t="str">
            <v>401</v>
          </cell>
        </row>
        <row r="265">
          <cell r="B265" t="str">
            <v>402</v>
          </cell>
        </row>
        <row r="266">
          <cell r="B266" t="str">
            <v>403</v>
          </cell>
        </row>
        <row r="267">
          <cell r="B267" t="str">
            <v>405</v>
          </cell>
        </row>
        <row r="268">
          <cell r="B268" t="str">
            <v>406</v>
          </cell>
        </row>
        <row r="269">
          <cell r="B269" t="str">
            <v>407</v>
          </cell>
        </row>
        <row r="270">
          <cell r="B270" t="str">
            <v>408</v>
          </cell>
        </row>
        <row r="271">
          <cell r="B271" t="str">
            <v>410</v>
          </cell>
        </row>
        <row r="272">
          <cell r="B272" t="str">
            <v>411</v>
          </cell>
        </row>
        <row r="273">
          <cell r="B273" t="str">
            <v>413</v>
          </cell>
        </row>
        <row r="274">
          <cell r="B274" t="str">
            <v>417</v>
          </cell>
        </row>
        <row r="275">
          <cell r="B275" t="str">
            <v>418</v>
          </cell>
        </row>
        <row r="276">
          <cell r="B276" t="str">
            <v>419</v>
          </cell>
        </row>
        <row r="277">
          <cell r="B277" t="str">
            <v>420</v>
          </cell>
        </row>
        <row r="278">
          <cell r="B278" t="str">
            <v>421</v>
          </cell>
        </row>
        <row r="279">
          <cell r="B279" t="str">
            <v>425</v>
          </cell>
        </row>
        <row r="280">
          <cell r="B280" t="str">
            <v>426</v>
          </cell>
        </row>
        <row r="281">
          <cell r="B281" t="str">
            <v>427</v>
          </cell>
        </row>
        <row r="282">
          <cell r="B282" t="str">
            <v>429</v>
          </cell>
        </row>
        <row r="283">
          <cell r="B283" t="str">
            <v>430</v>
          </cell>
        </row>
        <row r="284">
          <cell r="B284" t="str">
            <v>432</v>
          </cell>
        </row>
        <row r="285">
          <cell r="B285" t="str">
            <v>433</v>
          </cell>
        </row>
        <row r="286">
          <cell r="B286" t="str">
            <v>435</v>
          </cell>
        </row>
        <row r="287">
          <cell r="B287" t="str">
            <v>436</v>
          </cell>
        </row>
        <row r="288">
          <cell r="B288" t="str">
            <v>438</v>
          </cell>
        </row>
        <row r="289">
          <cell r="B289" t="str">
            <v>440</v>
          </cell>
        </row>
        <row r="290">
          <cell r="B290" t="str">
            <v>442</v>
          </cell>
        </row>
        <row r="291">
          <cell r="B291" t="str">
            <v>443</v>
          </cell>
        </row>
        <row r="292">
          <cell r="B292" t="str">
            <v>444</v>
          </cell>
        </row>
        <row r="293">
          <cell r="B293" t="str">
            <v>446</v>
          </cell>
        </row>
        <row r="294">
          <cell r="B294" t="str">
            <v>449</v>
          </cell>
        </row>
        <row r="295">
          <cell r="B295" t="str">
            <v>450</v>
          </cell>
        </row>
        <row r="296">
          <cell r="B296" t="str">
            <v>455</v>
          </cell>
        </row>
        <row r="297">
          <cell r="B297" t="str">
            <v>456</v>
          </cell>
        </row>
        <row r="298">
          <cell r="B298" t="str">
            <v>458</v>
          </cell>
        </row>
        <row r="299">
          <cell r="B299" t="str">
            <v>460</v>
          </cell>
        </row>
        <row r="300">
          <cell r="B300" t="str">
            <v>461</v>
          </cell>
        </row>
        <row r="301">
          <cell r="B301" t="str">
            <v>464</v>
          </cell>
        </row>
        <row r="302">
          <cell r="B302" t="str">
            <v>466</v>
          </cell>
        </row>
        <row r="303">
          <cell r="B303" t="str">
            <v>467</v>
          </cell>
        </row>
        <row r="304">
          <cell r="B304" t="str">
            <v>468</v>
          </cell>
        </row>
        <row r="305">
          <cell r="B305" t="str">
            <v>469</v>
          </cell>
        </row>
        <row r="306">
          <cell r="B306" t="str">
            <v>470</v>
          </cell>
        </row>
        <row r="307">
          <cell r="B307" t="str">
            <v>473</v>
          </cell>
        </row>
        <row r="308">
          <cell r="B308" t="str">
            <v>475</v>
          </cell>
        </row>
        <row r="309">
          <cell r="B309" t="str">
            <v>476</v>
          </cell>
        </row>
        <row r="310">
          <cell r="B310" t="str">
            <v>479</v>
          </cell>
        </row>
        <row r="311">
          <cell r="B311" t="str">
            <v>480</v>
          </cell>
        </row>
        <row r="312">
          <cell r="B312" t="str">
            <v>483</v>
          </cell>
        </row>
        <row r="313">
          <cell r="B313" t="str">
            <v>486</v>
          </cell>
        </row>
        <row r="314">
          <cell r="B314" t="str">
            <v>488</v>
          </cell>
        </row>
        <row r="315">
          <cell r="B315" t="str">
            <v>489</v>
          </cell>
        </row>
        <row r="316">
          <cell r="B316" t="str">
            <v>490</v>
          </cell>
        </row>
        <row r="317">
          <cell r="B317" t="str">
            <v>491</v>
          </cell>
        </row>
        <row r="318">
          <cell r="B318" t="str">
            <v>494</v>
          </cell>
        </row>
        <row r="319">
          <cell r="B319" t="str">
            <v>495</v>
          </cell>
        </row>
        <row r="320">
          <cell r="B320" t="str">
            <v>497</v>
          </cell>
        </row>
        <row r="321">
          <cell r="B321" t="str">
            <v>498</v>
          </cell>
        </row>
        <row r="322">
          <cell r="B322" t="str">
            <v>500</v>
          </cell>
        </row>
        <row r="323">
          <cell r="B323" t="str">
            <v>501</v>
          </cell>
        </row>
        <row r="324">
          <cell r="B324" t="str">
            <v>502</v>
          </cell>
        </row>
        <row r="325">
          <cell r="B325" t="str">
            <v>503</v>
          </cell>
        </row>
        <row r="326">
          <cell r="B326" t="str">
            <v>504</v>
          </cell>
        </row>
        <row r="327">
          <cell r="B327" t="str">
            <v>506</v>
          </cell>
        </row>
        <row r="328">
          <cell r="B328" t="str">
            <v>507</v>
          </cell>
        </row>
        <row r="329">
          <cell r="B329" t="str">
            <v>508</v>
          </cell>
        </row>
        <row r="330">
          <cell r="B330" t="str">
            <v>511</v>
          </cell>
        </row>
        <row r="331">
          <cell r="B331" t="str">
            <v>513</v>
          </cell>
        </row>
        <row r="332">
          <cell r="B332" t="str">
            <v>514</v>
          </cell>
        </row>
        <row r="333">
          <cell r="B333" t="str">
            <v>516</v>
          </cell>
        </row>
        <row r="334">
          <cell r="B334" t="str">
            <v>517</v>
          </cell>
        </row>
        <row r="335">
          <cell r="B335" t="str">
            <v>518</v>
          </cell>
        </row>
        <row r="336">
          <cell r="B336" t="str">
            <v>520</v>
          </cell>
        </row>
        <row r="337">
          <cell r="B337" t="str">
            <v>522</v>
          </cell>
        </row>
        <row r="338">
          <cell r="B338" t="str">
            <v>523</v>
          </cell>
        </row>
        <row r="339">
          <cell r="B339" t="str">
            <v>524</v>
          </cell>
        </row>
        <row r="340">
          <cell r="B340" t="str">
            <v>530</v>
          </cell>
        </row>
        <row r="341">
          <cell r="B341" t="str">
            <v>531</v>
          </cell>
        </row>
        <row r="342">
          <cell r="B342" t="str">
            <v>532</v>
          </cell>
        </row>
        <row r="343">
          <cell r="B343" t="str">
            <v>533</v>
          </cell>
        </row>
        <row r="344">
          <cell r="B344" t="str">
            <v>535</v>
          </cell>
        </row>
        <row r="345">
          <cell r="B345" t="str">
            <v>536</v>
          </cell>
        </row>
        <row r="346">
          <cell r="B346" t="str">
            <v>537</v>
          </cell>
        </row>
        <row r="347">
          <cell r="B347" t="str">
            <v>540</v>
          </cell>
        </row>
        <row r="348">
          <cell r="B348" t="str">
            <v>541</v>
          </cell>
        </row>
        <row r="349">
          <cell r="B349" t="str">
            <v>542</v>
          </cell>
        </row>
        <row r="350">
          <cell r="B350" t="str">
            <v>543</v>
          </cell>
        </row>
        <row r="351">
          <cell r="B351" t="str">
            <v>545</v>
          </cell>
        </row>
        <row r="352">
          <cell r="B352" t="str">
            <v>547</v>
          </cell>
        </row>
        <row r="353">
          <cell r="B353" t="str">
            <v>548</v>
          </cell>
        </row>
        <row r="354">
          <cell r="B354" t="str">
            <v>549</v>
          </cell>
        </row>
        <row r="355">
          <cell r="B355" t="str">
            <v>550</v>
          </cell>
        </row>
        <row r="356">
          <cell r="B356" t="str">
            <v>551</v>
          </cell>
        </row>
        <row r="357">
          <cell r="B357" t="str">
            <v>553</v>
          </cell>
        </row>
        <row r="358">
          <cell r="B358" t="str">
            <v>555</v>
          </cell>
        </row>
        <row r="359">
          <cell r="B359" t="str">
            <v>558</v>
          </cell>
        </row>
        <row r="360">
          <cell r="B360" t="str">
            <v>560</v>
          </cell>
        </row>
        <row r="361">
          <cell r="B361" t="str">
            <v>563</v>
          </cell>
        </row>
        <row r="362">
          <cell r="B362" t="str">
            <v>564</v>
          </cell>
        </row>
        <row r="363">
          <cell r="B363" t="str">
            <v>565</v>
          </cell>
        </row>
        <row r="364">
          <cell r="B364" t="str">
            <v>568</v>
          </cell>
        </row>
        <row r="365">
          <cell r="B365" t="str">
            <v>569</v>
          </cell>
        </row>
        <row r="366">
          <cell r="B366" t="str">
            <v>570</v>
          </cell>
        </row>
        <row r="367">
          <cell r="B367" t="str">
            <v>571</v>
          </cell>
        </row>
        <row r="368">
          <cell r="B368" t="str">
            <v>572</v>
          </cell>
        </row>
        <row r="369">
          <cell r="B369" t="str">
            <v>573</v>
          </cell>
        </row>
        <row r="370">
          <cell r="B370" t="str">
            <v>574</v>
          </cell>
        </row>
        <row r="371">
          <cell r="B371" t="str">
            <v>575</v>
          </cell>
        </row>
        <row r="372">
          <cell r="B372" t="str">
            <v>576</v>
          </cell>
        </row>
        <row r="373">
          <cell r="B373" t="str">
            <v>577</v>
          </cell>
        </row>
        <row r="374">
          <cell r="B374" t="str">
            <v>579</v>
          </cell>
        </row>
        <row r="375">
          <cell r="B375" t="str">
            <v>580</v>
          </cell>
        </row>
        <row r="376">
          <cell r="B376" t="str">
            <v>585</v>
          </cell>
        </row>
        <row r="377">
          <cell r="B377" t="str">
            <v>586</v>
          </cell>
        </row>
        <row r="378">
          <cell r="B378" t="str">
            <v>590</v>
          </cell>
        </row>
        <row r="379">
          <cell r="B379" t="str">
            <v>591</v>
          </cell>
        </row>
        <row r="380">
          <cell r="B380" t="str">
            <v>592</v>
          </cell>
        </row>
        <row r="381">
          <cell r="B381" t="str">
            <v>594</v>
          </cell>
        </row>
        <row r="382">
          <cell r="B382" t="str">
            <v>596</v>
          </cell>
        </row>
        <row r="383">
          <cell r="B383" t="str">
            <v>599</v>
          </cell>
        </row>
        <row r="384">
          <cell r="B384" t="str">
            <v>600</v>
          </cell>
        </row>
        <row r="385">
          <cell r="B385" t="str">
            <v>604</v>
          </cell>
        </row>
        <row r="386">
          <cell r="B386" t="str">
            <v>605</v>
          </cell>
        </row>
        <row r="387">
          <cell r="B387" t="str">
            <v>606</v>
          </cell>
        </row>
        <row r="388">
          <cell r="B388" t="str">
            <v>607</v>
          </cell>
        </row>
        <row r="389">
          <cell r="B389" t="str">
            <v>610</v>
          </cell>
        </row>
        <row r="390">
          <cell r="B390" t="str">
            <v>612</v>
          </cell>
        </row>
        <row r="391">
          <cell r="B391" t="str">
            <v>614</v>
          </cell>
        </row>
        <row r="392">
          <cell r="B392" t="str">
            <v>615</v>
          </cell>
        </row>
        <row r="393">
          <cell r="B393" t="str">
            <v>616</v>
          </cell>
        </row>
        <row r="394">
          <cell r="B394" t="str">
            <v>620</v>
          </cell>
        </row>
        <row r="395">
          <cell r="B395" t="str">
            <v>621</v>
          </cell>
        </row>
        <row r="396">
          <cell r="B396" t="str">
            <v>622</v>
          </cell>
        </row>
        <row r="397">
          <cell r="B397" t="str">
            <v>624</v>
          </cell>
        </row>
        <row r="398">
          <cell r="B398" t="str">
            <v>628</v>
          </cell>
        </row>
        <row r="399">
          <cell r="B399" t="str">
            <v>631</v>
          </cell>
        </row>
        <row r="400">
          <cell r="B400" t="str">
            <v>632</v>
          </cell>
        </row>
        <row r="401">
          <cell r="B401" t="str">
            <v>634</v>
          </cell>
        </row>
        <row r="402">
          <cell r="B402" t="str">
            <v>638</v>
          </cell>
        </row>
        <row r="403">
          <cell r="B403" t="str">
            <v>642</v>
          </cell>
        </row>
        <row r="404">
          <cell r="B404" t="str">
            <v>645</v>
          </cell>
        </row>
        <row r="405">
          <cell r="B405" t="str">
            <v>646</v>
          </cell>
        </row>
        <row r="406">
          <cell r="B406" t="str">
            <v>647</v>
          </cell>
        </row>
        <row r="407">
          <cell r="B407" t="str">
            <v>649</v>
          </cell>
        </row>
        <row r="408">
          <cell r="B408" t="str">
            <v>650</v>
          </cell>
        </row>
        <row r="409">
          <cell r="B409" t="str">
            <v>652</v>
          </cell>
        </row>
        <row r="410">
          <cell r="B410" t="str">
            <v>653</v>
          </cell>
        </row>
        <row r="411">
          <cell r="B411" t="str">
            <v>654</v>
          </cell>
        </row>
        <row r="412">
          <cell r="B412" t="str">
            <v>655</v>
          </cell>
        </row>
        <row r="413">
          <cell r="B413" t="str">
            <v>656</v>
          </cell>
        </row>
        <row r="414">
          <cell r="B414" t="str">
            <v>657</v>
          </cell>
        </row>
        <row r="415">
          <cell r="B415" t="str">
            <v>658</v>
          </cell>
        </row>
        <row r="416">
          <cell r="B416" t="str">
            <v>659</v>
          </cell>
        </row>
        <row r="417">
          <cell r="B417" t="str">
            <v>660</v>
          </cell>
        </row>
        <row r="418">
          <cell r="B418" t="str">
            <v>662</v>
          </cell>
        </row>
        <row r="419">
          <cell r="B419" t="str">
            <v>663</v>
          </cell>
        </row>
        <row r="420">
          <cell r="B420" t="str">
            <v>664</v>
          </cell>
        </row>
        <row r="421">
          <cell r="B421" t="str">
            <v>665</v>
          </cell>
        </row>
        <row r="422">
          <cell r="B422" t="str">
            <v>666</v>
          </cell>
        </row>
        <row r="423">
          <cell r="B423" t="str">
            <v>667</v>
          </cell>
        </row>
        <row r="424">
          <cell r="B424" t="str">
            <v>668</v>
          </cell>
        </row>
        <row r="425">
          <cell r="B425" t="str">
            <v>669</v>
          </cell>
        </row>
        <row r="426">
          <cell r="B426" t="str">
            <v>670</v>
          </cell>
        </row>
        <row r="427">
          <cell r="B427" t="str">
            <v>671</v>
          </cell>
        </row>
        <row r="428">
          <cell r="B428" t="str">
            <v>672</v>
          </cell>
        </row>
        <row r="429">
          <cell r="B429" t="str">
            <v>673</v>
          </cell>
        </row>
        <row r="430">
          <cell r="B430" t="str">
            <v>674</v>
          </cell>
        </row>
        <row r="431">
          <cell r="B431" t="str">
            <v>675</v>
          </cell>
        </row>
        <row r="432">
          <cell r="B432" t="str">
            <v>676</v>
          </cell>
        </row>
        <row r="433">
          <cell r="B433" t="str">
            <v>678</v>
          </cell>
        </row>
        <row r="434">
          <cell r="B434" t="str">
            <v>679</v>
          </cell>
        </row>
        <row r="435">
          <cell r="B435" t="str">
            <v>680</v>
          </cell>
        </row>
        <row r="436">
          <cell r="B436" t="str">
            <v>681</v>
          </cell>
        </row>
        <row r="437">
          <cell r="B437" t="str">
            <v>682</v>
          </cell>
        </row>
        <row r="438">
          <cell r="B438" t="str">
            <v>683</v>
          </cell>
        </row>
        <row r="439">
          <cell r="B439" t="str">
            <v>684</v>
          </cell>
        </row>
        <row r="440">
          <cell r="B440" t="str">
            <v>685</v>
          </cell>
        </row>
        <row r="441">
          <cell r="B441" t="str">
            <v>686</v>
          </cell>
        </row>
        <row r="442">
          <cell r="B442" t="str">
            <v>687</v>
          </cell>
        </row>
        <row r="443">
          <cell r="B443" t="str">
            <v>688</v>
          </cell>
        </row>
        <row r="444">
          <cell r="B444" t="str">
            <v>689</v>
          </cell>
        </row>
        <row r="445">
          <cell r="B445" t="str">
            <v>690</v>
          </cell>
        </row>
        <row r="446">
          <cell r="B446" t="str">
            <v>692</v>
          </cell>
        </row>
        <row r="447">
          <cell r="B447" t="str">
            <v>693</v>
          </cell>
        </row>
        <row r="448">
          <cell r="B448" t="str">
            <v>694</v>
          </cell>
        </row>
        <row r="449">
          <cell r="B449" t="str">
            <v>696</v>
          </cell>
        </row>
        <row r="450">
          <cell r="B450" t="str">
            <v>697</v>
          </cell>
        </row>
        <row r="451">
          <cell r="B451" t="str">
            <v>698</v>
          </cell>
        </row>
        <row r="452">
          <cell r="B452" t="str">
            <v>699</v>
          </cell>
        </row>
        <row r="453">
          <cell r="B453" t="str">
            <v>701</v>
          </cell>
        </row>
        <row r="454">
          <cell r="B454" t="str">
            <v>702</v>
          </cell>
        </row>
        <row r="455">
          <cell r="B455" t="str">
            <v>703</v>
          </cell>
        </row>
        <row r="456">
          <cell r="B456" t="str">
            <v>705</v>
          </cell>
        </row>
        <row r="457">
          <cell r="B457" t="str">
            <v>707</v>
          </cell>
        </row>
        <row r="458">
          <cell r="B458" t="str">
            <v>708</v>
          </cell>
        </row>
        <row r="459">
          <cell r="B459" t="str">
            <v>710</v>
          </cell>
        </row>
        <row r="460">
          <cell r="B460" t="str">
            <v>711</v>
          </cell>
        </row>
        <row r="461">
          <cell r="B461" t="str">
            <v>713</v>
          </cell>
        </row>
        <row r="462">
          <cell r="B462" t="str">
            <v>717</v>
          </cell>
        </row>
        <row r="463">
          <cell r="B463" t="str">
            <v>718</v>
          </cell>
        </row>
        <row r="464">
          <cell r="B464" t="str">
            <v>720</v>
          </cell>
        </row>
        <row r="465">
          <cell r="B465" t="str">
            <v>723</v>
          </cell>
        </row>
        <row r="466">
          <cell r="B466" t="str">
            <v>736</v>
          </cell>
        </row>
        <row r="467">
          <cell r="B467" t="str">
            <v>740</v>
          </cell>
        </row>
        <row r="468">
          <cell r="B468" t="str">
            <v>742</v>
          </cell>
        </row>
        <row r="469">
          <cell r="B469" t="str">
            <v>743</v>
          </cell>
        </row>
        <row r="470">
          <cell r="B470" t="str">
            <v>744</v>
          </cell>
        </row>
        <row r="471">
          <cell r="B471" t="str">
            <v>745</v>
          </cell>
        </row>
        <row r="472">
          <cell r="B472" t="str">
            <v>749</v>
          </cell>
        </row>
        <row r="473">
          <cell r="B473" t="str">
            <v>750</v>
          </cell>
        </row>
        <row r="474">
          <cell r="B474" t="str">
            <v>753</v>
          </cell>
        </row>
        <row r="475">
          <cell r="B475" t="str">
            <v>754</v>
          </cell>
        </row>
        <row r="476">
          <cell r="B476" t="str">
            <v>755</v>
          </cell>
        </row>
        <row r="477">
          <cell r="B477" t="str">
            <v>756</v>
          </cell>
        </row>
        <row r="478">
          <cell r="B478" t="str">
            <v>757</v>
          </cell>
        </row>
        <row r="479">
          <cell r="B479" t="str">
            <v>758</v>
          </cell>
        </row>
        <row r="480">
          <cell r="B480" t="str">
            <v>759</v>
          </cell>
        </row>
        <row r="481">
          <cell r="B481" t="str">
            <v>760</v>
          </cell>
        </row>
        <row r="482">
          <cell r="B482" t="str">
            <v>761</v>
          </cell>
        </row>
        <row r="483">
          <cell r="B483" t="str">
            <v>762</v>
          </cell>
        </row>
        <row r="484">
          <cell r="B484" t="str">
            <v>763</v>
          </cell>
        </row>
        <row r="485">
          <cell r="B485" t="str">
            <v>764</v>
          </cell>
        </row>
        <row r="486">
          <cell r="B486" t="str">
            <v>769</v>
          </cell>
        </row>
        <row r="487">
          <cell r="B487" t="str">
            <v>770</v>
          </cell>
        </row>
        <row r="488">
          <cell r="B488" t="str">
            <v>771</v>
          </cell>
        </row>
        <row r="489">
          <cell r="B489" t="str">
            <v>772</v>
          </cell>
        </row>
        <row r="490">
          <cell r="B490" t="str">
            <v>773</v>
          </cell>
        </row>
        <row r="491">
          <cell r="B491" t="str">
            <v>774</v>
          </cell>
        </row>
        <row r="492">
          <cell r="B492" t="str">
            <v>776</v>
          </cell>
        </row>
        <row r="493">
          <cell r="B493" t="str">
            <v>777</v>
          </cell>
        </row>
        <row r="494">
          <cell r="B494" t="str">
            <v>778</v>
          </cell>
        </row>
        <row r="495">
          <cell r="B495" t="str">
            <v>779</v>
          </cell>
        </row>
        <row r="496">
          <cell r="B496" t="str">
            <v>780</v>
          </cell>
        </row>
        <row r="497">
          <cell r="B497" t="str">
            <v>781</v>
          </cell>
        </row>
        <row r="498">
          <cell r="B498" t="str">
            <v>785</v>
          </cell>
        </row>
        <row r="499">
          <cell r="B499" t="str">
            <v>786</v>
          </cell>
        </row>
        <row r="500">
          <cell r="B500" t="str">
            <v>787</v>
          </cell>
        </row>
        <row r="501">
          <cell r="B501" t="str">
            <v>788</v>
          </cell>
        </row>
        <row r="502">
          <cell r="B502" t="str">
            <v>789</v>
          </cell>
        </row>
        <row r="503">
          <cell r="B503" t="str">
            <v>790</v>
          </cell>
        </row>
        <row r="504">
          <cell r="B504" t="str">
            <v>791</v>
          </cell>
        </row>
        <row r="505">
          <cell r="B505" t="str">
            <v>792</v>
          </cell>
        </row>
        <row r="506">
          <cell r="B506" t="str">
            <v>793</v>
          </cell>
        </row>
        <row r="507">
          <cell r="B507" t="str">
            <v>794</v>
          </cell>
        </row>
        <row r="508">
          <cell r="B508" t="str">
            <v>797</v>
          </cell>
        </row>
        <row r="509">
          <cell r="B509" t="str">
            <v>798</v>
          </cell>
        </row>
        <row r="510">
          <cell r="B510" t="str">
            <v>799</v>
          </cell>
        </row>
        <row r="511">
          <cell r="B511" t="str">
            <v>800</v>
          </cell>
        </row>
        <row r="512">
          <cell r="B512" t="str">
            <v>801</v>
          </cell>
        </row>
        <row r="513">
          <cell r="B513" t="str">
            <v>804</v>
          </cell>
        </row>
        <row r="514">
          <cell r="B514" t="str">
            <v>805</v>
          </cell>
        </row>
        <row r="515">
          <cell r="B515" t="str">
            <v>806</v>
          </cell>
        </row>
        <row r="516">
          <cell r="B516" t="str">
            <v>807</v>
          </cell>
        </row>
        <row r="517">
          <cell r="B517" t="str">
            <v>808</v>
          </cell>
        </row>
        <row r="518">
          <cell r="B518" t="str">
            <v>809</v>
          </cell>
        </row>
        <row r="519">
          <cell r="B519" t="str">
            <v>810</v>
          </cell>
        </row>
        <row r="520">
          <cell r="B520" t="str">
            <v>814</v>
          </cell>
        </row>
        <row r="521">
          <cell r="B521" t="str">
            <v>815</v>
          </cell>
        </row>
        <row r="522">
          <cell r="B522" t="str">
            <v>816</v>
          </cell>
        </row>
        <row r="523">
          <cell r="B523" t="str">
            <v>817</v>
          </cell>
        </row>
        <row r="524">
          <cell r="B524" t="str">
            <v>819</v>
          </cell>
        </row>
        <row r="525">
          <cell r="B525" t="str">
            <v>820</v>
          </cell>
        </row>
        <row r="526">
          <cell r="B526" t="str">
            <v>821</v>
          </cell>
        </row>
        <row r="527">
          <cell r="B527" t="str">
            <v>822</v>
          </cell>
        </row>
        <row r="528">
          <cell r="B528" t="str">
            <v>823</v>
          </cell>
        </row>
        <row r="529">
          <cell r="B529" t="str">
            <v>824</v>
          </cell>
        </row>
        <row r="530">
          <cell r="B530" t="str">
            <v>828</v>
          </cell>
        </row>
        <row r="531">
          <cell r="B531" t="str">
            <v>832</v>
          </cell>
        </row>
        <row r="532">
          <cell r="B532" t="str">
            <v>834</v>
          </cell>
        </row>
        <row r="533">
          <cell r="B533" t="str">
            <v>835</v>
          </cell>
        </row>
        <row r="534">
          <cell r="B534" t="str">
            <v>836</v>
          </cell>
        </row>
        <row r="535">
          <cell r="B535" t="str">
            <v>837</v>
          </cell>
        </row>
        <row r="536">
          <cell r="B536" t="str">
            <v>838</v>
          </cell>
        </row>
        <row r="537">
          <cell r="B537" t="str">
            <v>839</v>
          </cell>
        </row>
        <row r="538">
          <cell r="B538" t="str">
            <v>841</v>
          </cell>
        </row>
        <row r="539">
          <cell r="B539" t="str">
            <v>842</v>
          </cell>
        </row>
        <row r="540">
          <cell r="B540" t="str">
            <v>843</v>
          </cell>
        </row>
        <row r="541">
          <cell r="B541" t="str">
            <v>845</v>
          </cell>
        </row>
        <row r="542">
          <cell r="B542" t="str">
            <v>847</v>
          </cell>
        </row>
        <row r="543">
          <cell r="B543" t="str">
            <v>849</v>
          </cell>
        </row>
        <row r="544">
          <cell r="B544" t="str">
            <v>851</v>
          </cell>
        </row>
        <row r="545">
          <cell r="B545" t="str">
            <v>854</v>
          </cell>
        </row>
        <row r="546">
          <cell r="B546" t="str">
            <v>855</v>
          </cell>
        </row>
        <row r="547">
          <cell r="B547" t="str">
            <v>856</v>
          </cell>
        </row>
        <row r="548">
          <cell r="B548" t="str">
            <v>858</v>
          </cell>
        </row>
        <row r="549">
          <cell r="B549" t="str">
            <v>860</v>
          </cell>
        </row>
        <row r="550">
          <cell r="B550" t="str">
            <v>861</v>
          </cell>
        </row>
        <row r="551">
          <cell r="B551" t="str">
            <v>862</v>
          </cell>
        </row>
        <row r="552">
          <cell r="B552" t="str">
            <v>863</v>
          </cell>
        </row>
        <row r="553">
          <cell r="B553" t="str">
            <v>865</v>
          </cell>
        </row>
        <row r="554">
          <cell r="B554" t="str">
            <v>867</v>
          </cell>
        </row>
        <row r="555">
          <cell r="B555" t="str">
            <v>869</v>
          </cell>
        </row>
        <row r="556">
          <cell r="B556" t="str">
            <v>870</v>
          </cell>
        </row>
        <row r="557">
          <cell r="B557" t="str">
            <v>871</v>
          </cell>
        </row>
        <row r="558">
          <cell r="B558" t="str">
            <v>872</v>
          </cell>
        </row>
        <row r="559">
          <cell r="B559" t="str">
            <v>873</v>
          </cell>
        </row>
        <row r="560">
          <cell r="B560" t="str">
            <v>874</v>
          </cell>
        </row>
        <row r="561">
          <cell r="B561" t="str">
            <v>875</v>
          </cell>
        </row>
        <row r="562">
          <cell r="B562" t="str">
            <v>877</v>
          </cell>
        </row>
        <row r="563">
          <cell r="B563" t="str">
            <v>878</v>
          </cell>
        </row>
        <row r="564">
          <cell r="B564" t="str">
            <v>879</v>
          </cell>
        </row>
        <row r="565">
          <cell r="B565" t="str">
            <v>883</v>
          </cell>
        </row>
        <row r="566">
          <cell r="B566" t="str">
            <v>884</v>
          </cell>
        </row>
        <row r="567">
          <cell r="B567" t="str">
            <v>885</v>
          </cell>
        </row>
        <row r="568">
          <cell r="B568" t="str">
            <v>886</v>
          </cell>
        </row>
        <row r="569">
          <cell r="B569" t="str">
            <v>887</v>
          </cell>
        </row>
        <row r="570">
          <cell r="B570" t="str">
            <v>888</v>
          </cell>
        </row>
        <row r="571">
          <cell r="B571" t="str">
            <v>889</v>
          </cell>
        </row>
        <row r="572">
          <cell r="B572" t="str">
            <v>890</v>
          </cell>
        </row>
        <row r="573">
          <cell r="B573" t="str">
            <v>892</v>
          </cell>
        </row>
        <row r="574">
          <cell r="B574" t="str">
            <v>893</v>
          </cell>
        </row>
        <row r="575">
          <cell r="B575" t="str">
            <v>894</v>
          </cell>
        </row>
        <row r="576">
          <cell r="B576" t="str">
            <v>895</v>
          </cell>
        </row>
        <row r="577">
          <cell r="B577" t="str">
            <v>897</v>
          </cell>
        </row>
        <row r="578">
          <cell r="B578" t="str">
            <v>898</v>
          </cell>
        </row>
        <row r="579">
          <cell r="B579" t="str">
            <v>899</v>
          </cell>
        </row>
        <row r="580">
          <cell r="B580" t="str">
            <v>960</v>
          </cell>
        </row>
        <row r="581">
          <cell r="B581" t="str">
            <v>980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remisas"/>
      <sheetName val="Recursos Temporales"/>
      <sheetName val="Premisas2"/>
      <sheetName val="Proyectos BVC"/>
      <sheetName val="Financiación"/>
      <sheetName val="Resumen comite dic 1"/>
      <sheetName val="Presentacion SuperFin"/>
      <sheetName val="Presentacion"/>
    </sheetNames>
    <sheetDataSet>
      <sheetData sheetId="0" refreshError="1"/>
      <sheetData sheetId="1" refreshError="1"/>
      <sheetData sheetId="2">
        <row r="4">
          <cell r="B4" t="str">
            <v>Presidencia</v>
          </cell>
          <cell r="C4">
            <v>100</v>
          </cell>
          <cell r="D4" t="str">
            <v>Presidencia</v>
          </cell>
        </row>
        <row r="5">
          <cell r="B5" t="str">
            <v>Consejo Directivo</v>
          </cell>
          <cell r="C5">
            <v>101</v>
          </cell>
          <cell r="D5" t="str">
            <v>Presidencia</v>
          </cell>
        </row>
        <row r="6">
          <cell r="B6" t="str">
            <v>Auditoria</v>
          </cell>
          <cell r="C6">
            <v>200</v>
          </cell>
          <cell r="D6" t="str">
            <v>Presidencia</v>
          </cell>
        </row>
        <row r="7">
          <cell r="B7" t="str">
            <v>Direccion de Comunicaciones</v>
          </cell>
          <cell r="C7">
            <v>400</v>
          </cell>
          <cell r="D7" t="str">
            <v>Presidencia</v>
          </cell>
        </row>
        <row r="8">
          <cell r="B8" t="str">
            <v>Asesoría Presidencia</v>
          </cell>
          <cell r="C8">
            <v>300</v>
          </cell>
          <cell r="D8" t="str">
            <v>Asesoría Presidencia</v>
          </cell>
        </row>
        <row r="9">
          <cell r="B9" t="str">
            <v>Dirección Asesorías Especiales</v>
          </cell>
          <cell r="C9">
            <v>310</v>
          </cell>
          <cell r="D9" t="str">
            <v>Asesoría Presidencia</v>
          </cell>
        </row>
        <row r="10">
          <cell r="B10" t="str">
            <v>Gerencia de Riesgos</v>
          </cell>
          <cell r="C10">
            <v>320</v>
          </cell>
          <cell r="D10" t="str">
            <v>Asesoría Presidencia</v>
          </cell>
        </row>
        <row r="11">
          <cell r="B11" t="str">
            <v>Dirección OYM</v>
          </cell>
          <cell r="C11">
            <v>330</v>
          </cell>
          <cell r="D11" t="str">
            <v>Asesoría Presidencia</v>
          </cell>
        </row>
        <row r="12">
          <cell r="B12" t="str">
            <v>Gerencia Proyecto Cámara y Derivados</v>
          </cell>
          <cell r="C12">
            <v>340</v>
          </cell>
          <cell r="D12" t="str">
            <v>Asesoría Presidencia</v>
          </cell>
        </row>
        <row r="13">
          <cell r="B13" t="str">
            <v>Vicepresidencia Operaciones y Emisores</v>
          </cell>
          <cell r="C13">
            <v>500</v>
          </cell>
          <cell r="D13" t="str">
            <v>Vicepresidencia Operaciones y Emisores</v>
          </cell>
        </row>
        <row r="14">
          <cell r="B14" t="str">
            <v>Gerencia Operaciones y Emisores</v>
          </cell>
          <cell r="C14">
            <v>520</v>
          </cell>
          <cell r="D14" t="str">
            <v>Vicepresidencia Operaciones y Emisores</v>
          </cell>
        </row>
        <row r="15">
          <cell r="B15" t="str">
            <v>Dirección Operaciones Especiales y Procesos</v>
          </cell>
          <cell r="C15">
            <v>521</v>
          </cell>
          <cell r="D15" t="str">
            <v>Vicepresidencia Operaciones y Emisores</v>
          </cell>
        </row>
        <row r="16">
          <cell r="B16" t="str">
            <v>Gerencia Emisores</v>
          </cell>
          <cell r="C16">
            <v>530</v>
          </cell>
          <cell r="D16" t="str">
            <v>Vicepresidencia Operaciones y Emisores</v>
          </cell>
        </row>
        <row r="17">
          <cell r="B17" t="str">
            <v>Gerencia Colombia Capital yGobierno Corporativo</v>
          </cell>
          <cell r="C17">
            <v>540</v>
          </cell>
          <cell r="D17" t="str">
            <v>Vicepresidencia Operaciones y Emisores</v>
          </cell>
        </row>
        <row r="18">
          <cell r="B18" t="str">
            <v>Coordinación Administrativa</v>
          </cell>
          <cell r="C18">
            <v>541</v>
          </cell>
          <cell r="D18" t="str">
            <v>Vicepresidencia Operaciones y Emisores</v>
          </cell>
        </row>
        <row r="19">
          <cell r="B19" t="str">
            <v>Gerencia Financiera, Administrativa y de Recursos Humanos</v>
          </cell>
          <cell r="C19">
            <v>600</v>
          </cell>
          <cell r="D19" t="str">
            <v>Gerencia Financiera, Administrativa y de Recursos Humanos</v>
          </cell>
        </row>
        <row r="20">
          <cell r="B20" t="str">
            <v>Dirección Financiera</v>
          </cell>
          <cell r="C20">
            <v>610</v>
          </cell>
          <cell r="D20" t="str">
            <v>Gerencia Financiera, Administrativa y de Recursos Humanos</v>
          </cell>
        </row>
        <row r="21">
          <cell r="B21" t="str">
            <v>Jefatura Administrativa</v>
          </cell>
          <cell r="C21">
            <v>620</v>
          </cell>
          <cell r="D21" t="str">
            <v>Gerencia Financiera, Administrativa y de Recursos Humanos</v>
          </cell>
        </row>
        <row r="22">
          <cell r="B22" t="str">
            <v>Jefatura Gestión Humana</v>
          </cell>
          <cell r="C22">
            <v>630</v>
          </cell>
          <cell r="D22" t="str">
            <v>Gerencia Financiera, Administrativa y de Recursos Humanos</v>
          </cell>
        </row>
        <row r="23">
          <cell r="B23" t="str">
            <v>Gerencia Administración de Mercados</v>
          </cell>
          <cell r="C23">
            <v>1400</v>
          </cell>
          <cell r="D23" t="str">
            <v>Gerencia Administración de Mercados</v>
          </cell>
        </row>
        <row r="24">
          <cell r="B24" t="str">
            <v>Dirección Negociación</v>
          </cell>
          <cell r="C24">
            <v>1410</v>
          </cell>
          <cell r="D24" t="str">
            <v>Gerencia Administración de Mercados</v>
          </cell>
        </row>
        <row r="25">
          <cell r="B25" t="str">
            <v>Dirección Cumplimiento, Compensación y Garantías</v>
          </cell>
          <cell r="C25">
            <v>1420</v>
          </cell>
          <cell r="D25" t="str">
            <v>Gerencia Administración de Mercados</v>
          </cell>
        </row>
        <row r="26">
          <cell r="B26" t="str">
            <v>Vicepresidencia Desarrollo de Mercados</v>
          </cell>
          <cell r="C26">
            <v>700</v>
          </cell>
          <cell r="D26" t="str">
            <v>Vicepresidencia Desarrollo de Mercados</v>
          </cell>
        </row>
        <row r="27">
          <cell r="B27" t="str">
            <v>Gerencia de Intermediarios</v>
          </cell>
          <cell r="C27">
            <v>710</v>
          </cell>
          <cell r="D27" t="str">
            <v>Vicepresidencia Desarrollo de Mercados</v>
          </cell>
        </row>
        <row r="28">
          <cell r="B28" t="str">
            <v>Dirección Comercial Intermediarios</v>
          </cell>
          <cell r="C28">
            <v>711</v>
          </cell>
          <cell r="D28" t="str">
            <v>Vicepresidencia Desarrollo de Mercados</v>
          </cell>
        </row>
        <row r="29">
          <cell r="B29" t="str">
            <v>Gerencia Cuenta Estado</v>
          </cell>
          <cell r="C29">
            <v>720</v>
          </cell>
          <cell r="D29" t="str">
            <v>Vicepresidencia Desarrollo de Mercados</v>
          </cell>
        </row>
        <row r="30">
          <cell r="B30" t="str">
            <v>Dirección Operaciones de Mercados</v>
          </cell>
          <cell r="C30">
            <v>730</v>
          </cell>
          <cell r="D30" t="str">
            <v>Vicepresidencia Desarrollo de Mercados</v>
          </cell>
        </row>
        <row r="31">
          <cell r="B31" t="str">
            <v>Regional Medellín</v>
          </cell>
          <cell r="C31">
            <v>800</v>
          </cell>
          <cell r="D31" t="str">
            <v>Vicepresidencia Desarrollo de Mercados</v>
          </cell>
        </row>
        <row r="32">
          <cell r="B32" t="str">
            <v>Regional Cali</v>
          </cell>
          <cell r="C32">
            <v>900</v>
          </cell>
          <cell r="D32" t="str">
            <v>Vicepresidencia Desarrollo de Mercados</v>
          </cell>
        </row>
        <row r="33">
          <cell r="B33" t="str">
            <v>Vicepresidencia Inversionistas</v>
          </cell>
          <cell r="C33">
            <v>1000</v>
          </cell>
          <cell r="D33" t="str">
            <v>Vicepresidencia Inversionistas</v>
          </cell>
        </row>
        <row r="34">
          <cell r="B34" t="str">
            <v>Gerencia Inversionistas Personas Naturales</v>
          </cell>
          <cell r="C34">
            <v>1010</v>
          </cell>
          <cell r="D34" t="str">
            <v>Vicepresidencia Inversionistas</v>
          </cell>
        </row>
        <row r="35">
          <cell r="B35" t="str">
            <v>Coordinación Formación</v>
          </cell>
          <cell r="C35">
            <v>1011</v>
          </cell>
          <cell r="D35" t="str">
            <v>Vicepresidencia Inversionistas</v>
          </cell>
        </row>
        <row r="36">
          <cell r="B36" t="str">
            <v>Coordinador Segmentos</v>
          </cell>
          <cell r="C36">
            <v>1012</v>
          </cell>
          <cell r="D36" t="str">
            <v>Vicepresidencia Inversionistas</v>
          </cell>
        </row>
        <row r="37">
          <cell r="B37" t="str">
            <v>Gerencia Inversionistas Institucionales</v>
          </cell>
          <cell r="C37">
            <v>1020</v>
          </cell>
          <cell r="D37" t="str">
            <v>Vicepresidencia Inversionistas</v>
          </cell>
        </row>
        <row r="38">
          <cell r="B38" t="str">
            <v>Vicepresidencia Tecnología</v>
          </cell>
          <cell r="C38">
            <v>1100</v>
          </cell>
          <cell r="D38" t="str">
            <v>Vicepresidencia Tecnología</v>
          </cell>
        </row>
        <row r="39">
          <cell r="B39" t="str">
            <v>Gerencia Tecnología</v>
          </cell>
          <cell r="C39">
            <v>1110</v>
          </cell>
          <cell r="D39" t="str">
            <v>Vicepresidencia Tecnología</v>
          </cell>
        </row>
        <row r="40">
          <cell r="B40" t="str">
            <v>Dirección Infraestructura</v>
          </cell>
          <cell r="C40">
            <v>1120</v>
          </cell>
          <cell r="D40" t="str">
            <v>Vicepresidencia Tecnología</v>
          </cell>
        </row>
        <row r="41">
          <cell r="B41" t="str">
            <v>Dirección Operaciones</v>
          </cell>
          <cell r="C41">
            <v>1130</v>
          </cell>
          <cell r="D41" t="str">
            <v>Vicepresidencia Tecnología</v>
          </cell>
        </row>
        <row r="42">
          <cell r="B42" t="str">
            <v>Dirección Desarrollo Software</v>
          </cell>
          <cell r="C42">
            <v>1140</v>
          </cell>
          <cell r="D42" t="str">
            <v>Vicepresidencia Tecnología</v>
          </cell>
        </row>
        <row r="43">
          <cell r="B43" t="str">
            <v>Dirección Mesa de Ayuda</v>
          </cell>
          <cell r="C43">
            <v>1150</v>
          </cell>
          <cell r="D43" t="str">
            <v>Vicepresidencia Tecnología</v>
          </cell>
        </row>
        <row r="44">
          <cell r="B44" t="str">
            <v>Vicepresidencia Desarrollo e Infraestructura</v>
          </cell>
          <cell r="C44">
            <v>1200</v>
          </cell>
          <cell r="D44" t="str">
            <v>Vicepresidencia Desarrollo e Infraestructura</v>
          </cell>
        </row>
        <row r="45">
          <cell r="B45" t="str">
            <v>Gerencia de Información e Infoval</v>
          </cell>
          <cell r="C45">
            <v>1210</v>
          </cell>
          <cell r="D45" t="str">
            <v>Vicepresidencia Desarrollo e Infraestructura</v>
          </cell>
        </row>
        <row r="46">
          <cell r="B46" t="str">
            <v>Coordinación Información</v>
          </cell>
          <cell r="C46">
            <v>1211</v>
          </cell>
          <cell r="D46" t="str">
            <v>Vicepresidencia Desarrollo e Infraestructura</v>
          </cell>
        </row>
        <row r="47">
          <cell r="B47" t="str">
            <v>Coordinación Infoval</v>
          </cell>
          <cell r="C47">
            <v>1212</v>
          </cell>
          <cell r="D47" t="str">
            <v>Vicepresidencia Desarrollo e Infraestructura</v>
          </cell>
        </row>
        <row r="48">
          <cell r="B48" t="str">
            <v>Dirección Biblioteca Virtual</v>
          </cell>
          <cell r="C48">
            <v>1213</v>
          </cell>
          <cell r="D48" t="str">
            <v>Vicepresidencia Desarrollo e Infraestructura</v>
          </cell>
        </row>
        <row r="49">
          <cell r="B49" t="str">
            <v>Dirección Desarrollo y Análisis Técnico</v>
          </cell>
          <cell r="C49">
            <v>1220</v>
          </cell>
          <cell r="D49" t="str">
            <v>Vicepresidencia Desarrollo e Infraestructura</v>
          </cell>
        </row>
        <row r="50">
          <cell r="B50" t="str">
            <v>Subdirección Desarrollo</v>
          </cell>
          <cell r="C50">
            <v>1221</v>
          </cell>
          <cell r="D50" t="str">
            <v>Vicepresidencia Desarrollo e Infraestructura</v>
          </cell>
        </row>
        <row r="51">
          <cell r="B51" t="str">
            <v>Subdirección Desarrollo para INFOVAL</v>
          </cell>
          <cell r="C51">
            <v>1222</v>
          </cell>
          <cell r="D51" t="str">
            <v>Vicepresidencia Desarrollo e Infraestructura</v>
          </cell>
        </row>
        <row r="52">
          <cell r="B52" t="str">
            <v>Subdirección de Mejoras y Pruebas</v>
          </cell>
          <cell r="C52">
            <v>1223</v>
          </cell>
          <cell r="D52" t="str">
            <v>Vicepresidencia Desarrollo e Infraestructura</v>
          </cell>
        </row>
        <row r="53">
          <cell r="B53" t="str">
            <v>Gerencia Proyectos Especiales</v>
          </cell>
          <cell r="C53">
            <v>1250</v>
          </cell>
          <cell r="D53" t="str">
            <v>Vicepresidencia Desarrollo e Infraestructura</v>
          </cell>
        </row>
        <row r="54">
          <cell r="B54" t="str">
            <v>Vicepresidencia Jurídica</v>
          </cell>
          <cell r="C54">
            <v>1300</v>
          </cell>
          <cell r="D54" t="str">
            <v>Vicepresidencia Jurídica</v>
          </cell>
        </row>
        <row r="55">
          <cell r="B55" t="str">
            <v>Dirección Legal</v>
          </cell>
          <cell r="C55">
            <v>1310</v>
          </cell>
          <cell r="D55" t="str">
            <v>Vicepresidencia Jurídica</v>
          </cell>
        </row>
        <row r="56">
          <cell r="B56" t="str">
            <v>Dirección Regulación</v>
          </cell>
          <cell r="C56">
            <v>1320</v>
          </cell>
          <cell r="D56" t="str">
            <v>Vicepresidencia Jurídica</v>
          </cell>
        </row>
        <row r="57">
          <cell r="B57" t="str">
            <v>Supervisión</v>
          </cell>
          <cell r="C57">
            <v>1330</v>
          </cell>
          <cell r="D57" t="str">
            <v>Vicepresidencia Jurídica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mar98"/>
      <sheetName val="abr-24-98"/>
      <sheetName val="MAY-98"/>
      <sheetName val="JUN-98"/>
      <sheetName val="JUL-15-98"/>
      <sheetName val="JUL-30-98 "/>
      <sheetName val="ago-24"/>
      <sheetName val="sep-16"/>
      <sheetName val="sep-30"/>
      <sheetName val="oct-15"/>
      <sheetName val="oct-31"/>
      <sheetName val="NOV-17"/>
      <sheetName val="NOV-17 (2)"/>
      <sheetName val="Inver-sep"/>
      <sheetName val="Hoja1"/>
      <sheetName val="DIC-23"/>
      <sheetName val="DIC-31"/>
      <sheetName val="RESUMEN"/>
      <sheetName val="DIC-31 (2)"/>
      <sheetName val="Hoja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2">
          <cell r="A2">
            <v>1101</v>
          </cell>
          <cell r="B2" t="str">
            <v>CONSEJO DIRECTIVO</v>
          </cell>
        </row>
        <row r="3">
          <cell r="A3">
            <v>1201</v>
          </cell>
          <cell r="B3" t="str">
            <v>PRESIDENCIA</v>
          </cell>
        </row>
        <row r="4">
          <cell r="A4">
            <v>1202</v>
          </cell>
          <cell r="B4" t="str">
            <v>AUDITORIA INTERNA</v>
          </cell>
        </row>
        <row r="5">
          <cell r="A5">
            <v>1300</v>
          </cell>
          <cell r="B5" t="str">
            <v>VICEPRESIDENCIA DE NEGOCIOS</v>
          </cell>
        </row>
        <row r="6">
          <cell r="A6">
            <v>130101</v>
          </cell>
          <cell r="B6" t="str">
            <v>GERENCIA DE OPERACIONES</v>
          </cell>
        </row>
        <row r="7">
          <cell r="A7">
            <v>130102</v>
          </cell>
          <cell r="B7" t="str">
            <v>CUMPLIMIENTO Y TRASPASOS</v>
          </cell>
        </row>
        <row r="8">
          <cell r="A8">
            <v>130103</v>
          </cell>
          <cell r="B8" t="str">
            <v>OFICIAL DE GARANTIAS</v>
          </cell>
        </row>
        <row r="9">
          <cell r="A9">
            <v>130104</v>
          </cell>
          <cell r="B9" t="str">
            <v>OFICIAL DE COMPENSACION</v>
          </cell>
        </row>
        <row r="10">
          <cell r="A10">
            <v>130105</v>
          </cell>
          <cell r="B10" t="str">
            <v>C.A.C. Y RUEDA DE NEGOCIACION</v>
          </cell>
        </row>
        <row r="11">
          <cell r="A11">
            <v>130106</v>
          </cell>
          <cell r="B11" t="str">
            <v>OFICINA MEDELLIN</v>
          </cell>
        </row>
        <row r="12">
          <cell r="A12">
            <v>130107</v>
          </cell>
          <cell r="B12" t="str">
            <v>OFICINA NORTE</v>
          </cell>
        </row>
        <row r="13">
          <cell r="A13">
            <v>130201</v>
          </cell>
          <cell r="B13" t="str">
            <v>RELACIONES EXTERNAS</v>
          </cell>
        </row>
        <row r="14">
          <cell r="A14">
            <v>130202</v>
          </cell>
          <cell r="B14" t="str">
            <v>BIBLIOTECA</v>
          </cell>
        </row>
        <row r="15">
          <cell r="A15">
            <v>130301</v>
          </cell>
          <cell r="B15" t="str">
            <v>GERENCIA TECNICA</v>
          </cell>
        </row>
        <row r="16">
          <cell r="A16">
            <v>130302</v>
          </cell>
          <cell r="B16" t="str">
            <v>ANALISIS ECONOMICO</v>
          </cell>
        </row>
        <row r="17">
          <cell r="A17">
            <v>130303</v>
          </cell>
          <cell r="B17" t="str">
            <v>DESARROLO Y ANALISIS DE PRODUCTOS</v>
          </cell>
        </row>
        <row r="18">
          <cell r="A18">
            <v>130304</v>
          </cell>
          <cell r="B18" t="str">
            <v>INFORMACION</v>
          </cell>
        </row>
        <row r="19">
          <cell r="A19">
            <v>130401</v>
          </cell>
          <cell r="B19" t="str">
            <v>GERENCIA DESARROLLO DEL MERCADO</v>
          </cell>
        </row>
        <row r="20">
          <cell r="A20" t="str">
            <v>140000</v>
          </cell>
          <cell r="B20" t="str">
            <v>VICEP FINANCIERA Y ADMINISTRATIVA</v>
          </cell>
        </row>
        <row r="21">
          <cell r="A21">
            <v>140101</v>
          </cell>
          <cell r="B21" t="str">
            <v>DIRECCION DE SISTEMAS</v>
          </cell>
        </row>
        <row r="22">
          <cell r="A22">
            <v>140102</v>
          </cell>
          <cell r="B22" t="str">
            <v>SISTEMAS</v>
          </cell>
        </row>
        <row r="23">
          <cell r="A23">
            <v>140103</v>
          </cell>
          <cell r="B23" t="str">
            <v>COORDINACION DESARROLLO</v>
          </cell>
        </row>
        <row r="24">
          <cell r="A24">
            <v>140201</v>
          </cell>
          <cell r="B24" t="str">
            <v>DIRECCION COMERCIAL</v>
          </cell>
        </row>
        <row r="25">
          <cell r="A25">
            <v>140202</v>
          </cell>
          <cell r="B25" t="str">
            <v>COORDINADORA COMERCIAL</v>
          </cell>
        </row>
        <row r="26">
          <cell r="A26">
            <v>140203</v>
          </cell>
          <cell r="B26" t="str">
            <v>ASISTENTE COMERCIAL</v>
          </cell>
        </row>
        <row r="27">
          <cell r="A27">
            <v>140301</v>
          </cell>
          <cell r="B27" t="str">
            <v>DIVISION DE CONTABILIDAD</v>
          </cell>
        </row>
        <row r="28">
          <cell r="A28">
            <v>140302</v>
          </cell>
          <cell r="B28" t="str">
            <v>DIVISION PRESUPUESTO Y TESORERIA</v>
          </cell>
        </row>
        <row r="29">
          <cell r="A29">
            <v>140401</v>
          </cell>
          <cell r="B29" t="str">
            <v>DIRECCION SERVICIOS ADMINISTRATIVOS</v>
          </cell>
        </row>
        <row r="30">
          <cell r="A30">
            <v>140402</v>
          </cell>
          <cell r="B30" t="str">
            <v>CORRESPONDENCIA</v>
          </cell>
        </row>
        <row r="31">
          <cell r="A31">
            <v>140403</v>
          </cell>
          <cell r="B31" t="str">
            <v>PUBLICACIONES</v>
          </cell>
        </row>
        <row r="32">
          <cell r="A32">
            <v>140404</v>
          </cell>
          <cell r="B32" t="str">
            <v>ARCHIVO Y ALMACEN</v>
          </cell>
        </row>
        <row r="33">
          <cell r="A33">
            <v>140405</v>
          </cell>
          <cell r="B33" t="str">
            <v>MANTENIMIENTO</v>
          </cell>
        </row>
        <row r="34">
          <cell r="A34">
            <v>140406</v>
          </cell>
          <cell r="B34" t="str">
            <v>ASEO Y CAFETERIA</v>
          </cell>
        </row>
        <row r="35">
          <cell r="A35">
            <v>140407</v>
          </cell>
          <cell r="B35" t="str">
            <v>CONMUTADOR</v>
          </cell>
        </row>
        <row r="36">
          <cell r="A36">
            <v>140501</v>
          </cell>
          <cell r="B36" t="str">
            <v>DIRECCION DE RECURSOS HUMANOS</v>
          </cell>
        </row>
        <row r="37">
          <cell r="A37">
            <v>140502</v>
          </cell>
          <cell r="B37" t="str">
            <v>COORDINACION DESARROLLO HUMANO</v>
          </cell>
        </row>
        <row r="38">
          <cell r="A38">
            <v>140503</v>
          </cell>
          <cell r="B38" t="str">
            <v>COORDINACION DE NOMINA</v>
          </cell>
        </row>
        <row r="39">
          <cell r="A39" t="str">
            <v>1500</v>
          </cell>
          <cell r="B39" t="str">
            <v>VICEPR. JURIDICA Y SECRETARIA GENERAL</v>
          </cell>
        </row>
        <row r="40">
          <cell r="A40" t="str">
            <v>150101</v>
          </cell>
          <cell r="B40" t="str">
            <v>DIRECCION JURIDICA</v>
          </cell>
        </row>
        <row r="41">
          <cell r="A41" t="str">
            <v>1502</v>
          </cell>
          <cell r="B41" t="str">
            <v>DIRECCION DE SEGUIMIENTO</v>
          </cell>
        </row>
        <row r="42">
          <cell r="A42" t="str">
            <v>150201</v>
          </cell>
          <cell r="B42" t="str">
            <v>SUBDIRECCION DE OPERACION Y ANALISIS FIN</v>
          </cell>
        </row>
        <row r="43">
          <cell r="A43" t="str">
            <v>150202</v>
          </cell>
          <cell r="B43" t="str">
            <v>COORDINACION DE INSPECCION</v>
          </cell>
        </row>
        <row r="44">
          <cell r="A44" t="str">
            <v>1601</v>
          </cell>
          <cell r="B44" t="str">
            <v>ENLACE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Reclasificaciones Contables"/>
      <sheetName val="Reclasificaciones Fiscales"/>
      <sheetName val="TMP"/>
      <sheetName val="Configuracion"/>
      <sheetName val="Informes"/>
      <sheetName val="Aviso"/>
      <sheetName val="Datos de entrada"/>
      <sheetName val="Validación"/>
      <sheetName val="Sumaria de analisis"/>
      <sheetName val="Calculo cuotas"/>
      <sheetName val="Calculo limite - Opcion 1 y 2"/>
      <sheetName val="Conc. Patrimonial"/>
      <sheetName val="Conc. Renta"/>
      <sheetName val="Desc. Trib."/>
      <sheetName val="Renta Presuntiva"/>
      <sheetName val="Perdidas fiscales y exces"/>
      <sheetName val="Anticipo Año Sig."/>
      <sheetName val="Calculo global aportes paraf"/>
      <sheetName val="13-7"/>
      <sheetName val="Ajustes inflación patri liqui"/>
      <sheetName val="Borrador formulario oficial"/>
      <sheetName val="Altas 2004"/>
      <sheetName val="Corrección monetaria"/>
      <sheetName val="Reajustes fiscales"/>
      <sheetName val="Reducción saldos"/>
      <sheetName val="Provisión renta 2004"/>
      <sheetName val="PYG sin conceptos"/>
      <sheetName val="PYG con conceptos"/>
      <sheetName val="ICA"/>
      <sheetName val="PAAG-2004"/>
      <sheetName val="Altas 20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9">
          <cell r="Q19" t="str">
            <v>NO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70">
          <cell r="J70">
            <v>2637061703.1317291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DATOS"/>
      <sheetName val="PROVISIONAL"/>
      <sheetName val="FORMATO"/>
      <sheetName val="Módulo2"/>
      <sheetName val="Módulo1"/>
      <sheetName val="CxC y CxP Vinculados"/>
      <sheetName val="DATE"/>
    </sheetNames>
    <sheetDataSet>
      <sheetData sheetId="0">
        <row r="1">
          <cell r="A1" t="str">
            <v>INDICE BOLSA DE BOGOTA</v>
          </cell>
        </row>
        <row r="2">
          <cell r="A2" t="str">
            <v>GENERAL- SECTORIAL</v>
          </cell>
        </row>
        <row r="4">
          <cell r="A4" t="str">
            <v>FECHA</v>
          </cell>
          <cell r="B4" t="str">
            <v>IBB GENERAL</v>
          </cell>
          <cell r="C4" t="str">
            <v>IBB FINANC.</v>
          </cell>
          <cell r="D4" t="str">
            <v>IBB.INDUST.</v>
          </cell>
          <cell r="E4" t="str">
            <v>IBB SERVIC.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Hoja1"/>
      <sheetName val="Hoja2"/>
      <sheetName val="Hoja3"/>
      <sheetName val="administración de valores"/>
      <sheetName val="CENTROS DE COSTOS"/>
      <sheetName val="HONORARIOS "/>
      <sheetName val="Transacciones"/>
      <sheetName val="PROYECTOS"/>
      <sheetName val="UEN"/>
      <sheetName val="CUENTAS"/>
      <sheetName val="PROVISION"/>
      <sheetName val="CONTR Y AFILIA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A2" t="str">
            <v>PROVISION  HONORARIOS</v>
          </cell>
        </row>
        <row r="3">
          <cell r="A3">
            <v>26050500</v>
          </cell>
        </row>
        <row r="6">
          <cell r="A6" t="str">
            <v>FECHA</v>
          </cell>
        </row>
        <row r="7">
          <cell r="A7" t="str">
            <v>31/12/2006</v>
          </cell>
        </row>
        <row r="8">
          <cell r="A8" t="str">
            <v>28/02/2007</v>
          </cell>
        </row>
        <row r="9">
          <cell r="A9">
            <v>39420</v>
          </cell>
        </row>
        <row r="10">
          <cell r="A10" t="str">
            <v>30/04/2007</v>
          </cell>
        </row>
        <row r="11">
          <cell r="A11" t="str">
            <v>31/05/2007</v>
          </cell>
        </row>
        <row r="12">
          <cell r="A12" t="str">
            <v>30/06/2007</v>
          </cell>
        </row>
        <row r="13">
          <cell r="A13" t="str">
            <v>31/07/2007</v>
          </cell>
        </row>
        <row r="14">
          <cell r="A14" t="str">
            <v>31/07/2007</v>
          </cell>
        </row>
        <row r="15">
          <cell r="A15" t="str">
            <v>31/07/2007</v>
          </cell>
        </row>
        <row r="16">
          <cell r="A16" t="str">
            <v>31/07/2007</v>
          </cell>
        </row>
        <row r="17">
          <cell r="A17" t="str">
            <v>31/07/2007</v>
          </cell>
        </row>
        <row r="18">
          <cell r="A18" t="str">
            <v>31/07/2007</v>
          </cell>
        </row>
        <row r="19">
          <cell r="A19" t="str">
            <v>31/08/2007</v>
          </cell>
        </row>
        <row r="20">
          <cell r="A20" t="str">
            <v>31/08/2007</v>
          </cell>
        </row>
        <row r="21">
          <cell r="A21" t="str">
            <v>31/08/2007</v>
          </cell>
        </row>
        <row r="22">
          <cell r="A22" t="str">
            <v>31/08/2007</v>
          </cell>
        </row>
        <row r="23">
          <cell r="A23" t="str">
            <v>31/08/2007</v>
          </cell>
        </row>
        <row r="24">
          <cell r="A24" t="str">
            <v>31/08/2007</v>
          </cell>
        </row>
        <row r="25">
          <cell r="A25" t="str">
            <v>28/09/2007</v>
          </cell>
        </row>
        <row r="26">
          <cell r="A26" t="str">
            <v>28/09/2007</v>
          </cell>
        </row>
        <row r="27">
          <cell r="A27" t="str">
            <v>28/09/2007</v>
          </cell>
        </row>
        <row r="28">
          <cell r="A28" t="str">
            <v>31/10/2007</v>
          </cell>
        </row>
        <row r="29">
          <cell r="A29" t="str">
            <v>31/10/2007</v>
          </cell>
        </row>
        <row r="30">
          <cell r="A30" t="str">
            <v>31/10/2007</v>
          </cell>
        </row>
        <row r="31">
          <cell r="A31" t="str">
            <v>31/10/2007</v>
          </cell>
        </row>
        <row r="32">
          <cell r="A32" t="str">
            <v>31/10/2007</v>
          </cell>
        </row>
        <row r="33">
          <cell r="A33" t="str">
            <v>31/10/2007</v>
          </cell>
        </row>
        <row r="34">
          <cell r="A34" t="str">
            <v>31/10/2007</v>
          </cell>
        </row>
        <row r="35">
          <cell r="A35" t="str">
            <v>31/10/2007</v>
          </cell>
        </row>
        <row r="36">
          <cell r="A36" t="str">
            <v>31/10/2007</v>
          </cell>
        </row>
        <row r="37">
          <cell r="A37" t="str">
            <v>31/10/2007</v>
          </cell>
        </row>
        <row r="38">
          <cell r="A38">
            <v>39365</v>
          </cell>
        </row>
        <row r="39">
          <cell r="A39" t="str">
            <v>28/09/07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57"/>
  <sheetViews>
    <sheetView showGridLines="0" topLeftCell="A38" workbookViewId="0">
      <selection activeCell="I52" sqref="I52"/>
    </sheetView>
  </sheetViews>
  <sheetFormatPr baseColWidth="10" defaultColWidth="11.5703125" defaultRowHeight="12.75"/>
  <cols>
    <col min="1" max="1" width="11.5703125" style="54"/>
    <col min="2" max="2" width="4.7109375" style="54" customWidth="1"/>
    <col min="3" max="3" width="12" style="54" customWidth="1"/>
    <col min="4" max="4" width="15" style="54" bestFit="1" customWidth="1"/>
    <col min="5" max="5" width="17" style="54" customWidth="1"/>
    <col min="6" max="6" width="24.7109375" style="54" customWidth="1"/>
    <col min="7" max="7" width="4.7109375" style="54" customWidth="1"/>
    <col min="8" max="257" width="11.5703125" style="54"/>
    <col min="258" max="258" width="4.7109375" style="54" customWidth="1"/>
    <col min="259" max="259" width="12" style="54" customWidth="1"/>
    <col min="260" max="260" width="15" style="54" bestFit="1" customWidth="1"/>
    <col min="261" max="261" width="17" style="54" customWidth="1"/>
    <col min="262" max="262" width="24.7109375" style="54" customWidth="1"/>
    <col min="263" max="263" width="4.7109375" style="54" customWidth="1"/>
    <col min="264" max="513" width="11.5703125" style="54"/>
    <col min="514" max="514" width="4.7109375" style="54" customWidth="1"/>
    <col min="515" max="515" width="12" style="54" customWidth="1"/>
    <col min="516" max="516" width="15" style="54" bestFit="1" customWidth="1"/>
    <col min="517" max="517" width="17" style="54" customWidth="1"/>
    <col min="518" max="518" width="24.7109375" style="54" customWidth="1"/>
    <col min="519" max="519" width="4.7109375" style="54" customWidth="1"/>
    <col min="520" max="769" width="11.5703125" style="54"/>
    <col min="770" max="770" width="4.7109375" style="54" customWidth="1"/>
    <col min="771" max="771" width="12" style="54" customWidth="1"/>
    <col min="772" max="772" width="15" style="54" bestFit="1" customWidth="1"/>
    <col min="773" max="773" width="17" style="54" customWidth="1"/>
    <col min="774" max="774" width="24.7109375" style="54" customWidth="1"/>
    <col min="775" max="775" width="4.7109375" style="54" customWidth="1"/>
    <col min="776" max="1025" width="11.5703125" style="54"/>
    <col min="1026" max="1026" width="4.7109375" style="54" customWidth="1"/>
    <col min="1027" max="1027" width="12" style="54" customWidth="1"/>
    <col min="1028" max="1028" width="15" style="54" bestFit="1" customWidth="1"/>
    <col min="1029" max="1029" width="17" style="54" customWidth="1"/>
    <col min="1030" max="1030" width="24.7109375" style="54" customWidth="1"/>
    <col min="1031" max="1031" width="4.7109375" style="54" customWidth="1"/>
    <col min="1032" max="1281" width="11.5703125" style="54"/>
    <col min="1282" max="1282" width="4.7109375" style="54" customWidth="1"/>
    <col min="1283" max="1283" width="12" style="54" customWidth="1"/>
    <col min="1284" max="1284" width="15" style="54" bestFit="1" customWidth="1"/>
    <col min="1285" max="1285" width="17" style="54" customWidth="1"/>
    <col min="1286" max="1286" width="24.7109375" style="54" customWidth="1"/>
    <col min="1287" max="1287" width="4.7109375" style="54" customWidth="1"/>
    <col min="1288" max="1537" width="11.5703125" style="54"/>
    <col min="1538" max="1538" width="4.7109375" style="54" customWidth="1"/>
    <col min="1539" max="1539" width="12" style="54" customWidth="1"/>
    <col min="1540" max="1540" width="15" style="54" bestFit="1" customWidth="1"/>
    <col min="1541" max="1541" width="17" style="54" customWidth="1"/>
    <col min="1542" max="1542" width="24.7109375" style="54" customWidth="1"/>
    <col min="1543" max="1543" width="4.7109375" style="54" customWidth="1"/>
    <col min="1544" max="1793" width="11.5703125" style="54"/>
    <col min="1794" max="1794" width="4.7109375" style="54" customWidth="1"/>
    <col min="1795" max="1795" width="12" style="54" customWidth="1"/>
    <col min="1796" max="1796" width="15" style="54" bestFit="1" customWidth="1"/>
    <col min="1797" max="1797" width="17" style="54" customWidth="1"/>
    <col min="1798" max="1798" width="24.7109375" style="54" customWidth="1"/>
    <col min="1799" max="1799" width="4.7109375" style="54" customWidth="1"/>
    <col min="1800" max="2049" width="11.5703125" style="54"/>
    <col min="2050" max="2050" width="4.7109375" style="54" customWidth="1"/>
    <col min="2051" max="2051" width="12" style="54" customWidth="1"/>
    <col min="2052" max="2052" width="15" style="54" bestFit="1" customWidth="1"/>
    <col min="2053" max="2053" width="17" style="54" customWidth="1"/>
    <col min="2054" max="2054" width="24.7109375" style="54" customWidth="1"/>
    <col min="2055" max="2055" width="4.7109375" style="54" customWidth="1"/>
    <col min="2056" max="2305" width="11.5703125" style="54"/>
    <col min="2306" max="2306" width="4.7109375" style="54" customWidth="1"/>
    <col min="2307" max="2307" width="12" style="54" customWidth="1"/>
    <col min="2308" max="2308" width="15" style="54" bestFit="1" customWidth="1"/>
    <col min="2309" max="2309" width="17" style="54" customWidth="1"/>
    <col min="2310" max="2310" width="24.7109375" style="54" customWidth="1"/>
    <col min="2311" max="2311" width="4.7109375" style="54" customWidth="1"/>
    <col min="2312" max="2561" width="11.5703125" style="54"/>
    <col min="2562" max="2562" width="4.7109375" style="54" customWidth="1"/>
    <col min="2563" max="2563" width="12" style="54" customWidth="1"/>
    <col min="2564" max="2564" width="15" style="54" bestFit="1" customWidth="1"/>
    <col min="2565" max="2565" width="17" style="54" customWidth="1"/>
    <col min="2566" max="2566" width="24.7109375" style="54" customWidth="1"/>
    <col min="2567" max="2567" width="4.7109375" style="54" customWidth="1"/>
    <col min="2568" max="2817" width="11.5703125" style="54"/>
    <col min="2818" max="2818" width="4.7109375" style="54" customWidth="1"/>
    <col min="2819" max="2819" width="12" style="54" customWidth="1"/>
    <col min="2820" max="2820" width="15" style="54" bestFit="1" customWidth="1"/>
    <col min="2821" max="2821" width="17" style="54" customWidth="1"/>
    <col min="2822" max="2822" width="24.7109375" style="54" customWidth="1"/>
    <col min="2823" max="2823" width="4.7109375" style="54" customWidth="1"/>
    <col min="2824" max="3073" width="11.5703125" style="54"/>
    <col min="3074" max="3074" width="4.7109375" style="54" customWidth="1"/>
    <col min="3075" max="3075" width="12" style="54" customWidth="1"/>
    <col min="3076" max="3076" width="15" style="54" bestFit="1" customWidth="1"/>
    <col min="3077" max="3077" width="17" style="54" customWidth="1"/>
    <col min="3078" max="3078" width="24.7109375" style="54" customWidth="1"/>
    <col min="3079" max="3079" width="4.7109375" style="54" customWidth="1"/>
    <col min="3080" max="3329" width="11.5703125" style="54"/>
    <col min="3330" max="3330" width="4.7109375" style="54" customWidth="1"/>
    <col min="3331" max="3331" width="12" style="54" customWidth="1"/>
    <col min="3332" max="3332" width="15" style="54" bestFit="1" customWidth="1"/>
    <col min="3333" max="3333" width="17" style="54" customWidth="1"/>
    <col min="3334" max="3334" width="24.7109375" style="54" customWidth="1"/>
    <col min="3335" max="3335" width="4.7109375" style="54" customWidth="1"/>
    <col min="3336" max="3585" width="11.5703125" style="54"/>
    <col min="3586" max="3586" width="4.7109375" style="54" customWidth="1"/>
    <col min="3587" max="3587" width="12" style="54" customWidth="1"/>
    <col min="3588" max="3588" width="15" style="54" bestFit="1" customWidth="1"/>
    <col min="3589" max="3589" width="17" style="54" customWidth="1"/>
    <col min="3590" max="3590" width="24.7109375" style="54" customWidth="1"/>
    <col min="3591" max="3591" width="4.7109375" style="54" customWidth="1"/>
    <col min="3592" max="3841" width="11.5703125" style="54"/>
    <col min="3842" max="3842" width="4.7109375" style="54" customWidth="1"/>
    <col min="3843" max="3843" width="12" style="54" customWidth="1"/>
    <col min="3844" max="3844" width="15" style="54" bestFit="1" customWidth="1"/>
    <col min="3845" max="3845" width="17" style="54" customWidth="1"/>
    <col min="3846" max="3846" width="24.7109375" style="54" customWidth="1"/>
    <col min="3847" max="3847" width="4.7109375" style="54" customWidth="1"/>
    <col min="3848" max="4097" width="11.5703125" style="54"/>
    <col min="4098" max="4098" width="4.7109375" style="54" customWidth="1"/>
    <col min="4099" max="4099" width="12" style="54" customWidth="1"/>
    <col min="4100" max="4100" width="15" style="54" bestFit="1" customWidth="1"/>
    <col min="4101" max="4101" width="17" style="54" customWidth="1"/>
    <col min="4102" max="4102" width="24.7109375" style="54" customWidth="1"/>
    <col min="4103" max="4103" width="4.7109375" style="54" customWidth="1"/>
    <col min="4104" max="4353" width="11.5703125" style="54"/>
    <col min="4354" max="4354" width="4.7109375" style="54" customWidth="1"/>
    <col min="4355" max="4355" width="12" style="54" customWidth="1"/>
    <col min="4356" max="4356" width="15" style="54" bestFit="1" customWidth="1"/>
    <col min="4357" max="4357" width="17" style="54" customWidth="1"/>
    <col min="4358" max="4358" width="24.7109375" style="54" customWidth="1"/>
    <col min="4359" max="4359" width="4.7109375" style="54" customWidth="1"/>
    <col min="4360" max="4609" width="11.5703125" style="54"/>
    <col min="4610" max="4610" width="4.7109375" style="54" customWidth="1"/>
    <col min="4611" max="4611" width="12" style="54" customWidth="1"/>
    <col min="4612" max="4612" width="15" style="54" bestFit="1" customWidth="1"/>
    <col min="4613" max="4613" width="17" style="54" customWidth="1"/>
    <col min="4614" max="4614" width="24.7109375" style="54" customWidth="1"/>
    <col min="4615" max="4615" width="4.7109375" style="54" customWidth="1"/>
    <col min="4616" max="4865" width="11.5703125" style="54"/>
    <col min="4866" max="4866" width="4.7109375" style="54" customWidth="1"/>
    <col min="4867" max="4867" width="12" style="54" customWidth="1"/>
    <col min="4868" max="4868" width="15" style="54" bestFit="1" customWidth="1"/>
    <col min="4869" max="4869" width="17" style="54" customWidth="1"/>
    <col min="4870" max="4870" width="24.7109375" style="54" customWidth="1"/>
    <col min="4871" max="4871" width="4.7109375" style="54" customWidth="1"/>
    <col min="4872" max="5121" width="11.5703125" style="54"/>
    <col min="5122" max="5122" width="4.7109375" style="54" customWidth="1"/>
    <col min="5123" max="5123" width="12" style="54" customWidth="1"/>
    <col min="5124" max="5124" width="15" style="54" bestFit="1" customWidth="1"/>
    <col min="5125" max="5125" width="17" style="54" customWidth="1"/>
    <col min="5126" max="5126" width="24.7109375" style="54" customWidth="1"/>
    <col min="5127" max="5127" width="4.7109375" style="54" customWidth="1"/>
    <col min="5128" max="5377" width="11.5703125" style="54"/>
    <col min="5378" max="5378" width="4.7109375" style="54" customWidth="1"/>
    <col min="5379" max="5379" width="12" style="54" customWidth="1"/>
    <col min="5380" max="5380" width="15" style="54" bestFit="1" customWidth="1"/>
    <col min="5381" max="5381" width="17" style="54" customWidth="1"/>
    <col min="5382" max="5382" width="24.7109375" style="54" customWidth="1"/>
    <col min="5383" max="5383" width="4.7109375" style="54" customWidth="1"/>
    <col min="5384" max="5633" width="11.5703125" style="54"/>
    <col min="5634" max="5634" width="4.7109375" style="54" customWidth="1"/>
    <col min="5635" max="5635" width="12" style="54" customWidth="1"/>
    <col min="5636" max="5636" width="15" style="54" bestFit="1" customWidth="1"/>
    <col min="5637" max="5637" width="17" style="54" customWidth="1"/>
    <col min="5638" max="5638" width="24.7109375" style="54" customWidth="1"/>
    <col min="5639" max="5639" width="4.7109375" style="54" customWidth="1"/>
    <col min="5640" max="5889" width="11.5703125" style="54"/>
    <col min="5890" max="5890" width="4.7109375" style="54" customWidth="1"/>
    <col min="5891" max="5891" width="12" style="54" customWidth="1"/>
    <col min="5892" max="5892" width="15" style="54" bestFit="1" customWidth="1"/>
    <col min="5893" max="5893" width="17" style="54" customWidth="1"/>
    <col min="5894" max="5894" width="24.7109375" style="54" customWidth="1"/>
    <col min="5895" max="5895" width="4.7109375" style="54" customWidth="1"/>
    <col min="5896" max="6145" width="11.5703125" style="54"/>
    <col min="6146" max="6146" width="4.7109375" style="54" customWidth="1"/>
    <col min="6147" max="6147" width="12" style="54" customWidth="1"/>
    <col min="6148" max="6148" width="15" style="54" bestFit="1" customWidth="1"/>
    <col min="6149" max="6149" width="17" style="54" customWidth="1"/>
    <col min="6150" max="6150" width="24.7109375" style="54" customWidth="1"/>
    <col min="6151" max="6151" width="4.7109375" style="54" customWidth="1"/>
    <col min="6152" max="6401" width="11.5703125" style="54"/>
    <col min="6402" max="6402" width="4.7109375" style="54" customWidth="1"/>
    <col min="6403" max="6403" width="12" style="54" customWidth="1"/>
    <col min="6404" max="6404" width="15" style="54" bestFit="1" customWidth="1"/>
    <col min="6405" max="6405" width="17" style="54" customWidth="1"/>
    <col min="6406" max="6406" width="24.7109375" style="54" customWidth="1"/>
    <col min="6407" max="6407" width="4.7109375" style="54" customWidth="1"/>
    <col min="6408" max="6657" width="11.5703125" style="54"/>
    <col min="6658" max="6658" width="4.7109375" style="54" customWidth="1"/>
    <col min="6659" max="6659" width="12" style="54" customWidth="1"/>
    <col min="6660" max="6660" width="15" style="54" bestFit="1" customWidth="1"/>
    <col min="6661" max="6661" width="17" style="54" customWidth="1"/>
    <col min="6662" max="6662" width="24.7109375" style="54" customWidth="1"/>
    <col min="6663" max="6663" width="4.7109375" style="54" customWidth="1"/>
    <col min="6664" max="6913" width="11.5703125" style="54"/>
    <col min="6914" max="6914" width="4.7109375" style="54" customWidth="1"/>
    <col min="6915" max="6915" width="12" style="54" customWidth="1"/>
    <col min="6916" max="6916" width="15" style="54" bestFit="1" customWidth="1"/>
    <col min="6917" max="6917" width="17" style="54" customWidth="1"/>
    <col min="6918" max="6918" width="24.7109375" style="54" customWidth="1"/>
    <col min="6919" max="6919" width="4.7109375" style="54" customWidth="1"/>
    <col min="6920" max="7169" width="11.5703125" style="54"/>
    <col min="7170" max="7170" width="4.7109375" style="54" customWidth="1"/>
    <col min="7171" max="7171" width="12" style="54" customWidth="1"/>
    <col min="7172" max="7172" width="15" style="54" bestFit="1" customWidth="1"/>
    <col min="7173" max="7173" width="17" style="54" customWidth="1"/>
    <col min="7174" max="7174" width="24.7109375" style="54" customWidth="1"/>
    <col min="7175" max="7175" width="4.7109375" style="54" customWidth="1"/>
    <col min="7176" max="7425" width="11.5703125" style="54"/>
    <col min="7426" max="7426" width="4.7109375" style="54" customWidth="1"/>
    <col min="7427" max="7427" width="12" style="54" customWidth="1"/>
    <col min="7428" max="7428" width="15" style="54" bestFit="1" customWidth="1"/>
    <col min="7429" max="7429" width="17" style="54" customWidth="1"/>
    <col min="7430" max="7430" width="24.7109375" style="54" customWidth="1"/>
    <col min="7431" max="7431" width="4.7109375" style="54" customWidth="1"/>
    <col min="7432" max="7681" width="11.5703125" style="54"/>
    <col min="7682" max="7682" width="4.7109375" style="54" customWidth="1"/>
    <col min="7683" max="7683" width="12" style="54" customWidth="1"/>
    <col min="7684" max="7684" width="15" style="54" bestFit="1" customWidth="1"/>
    <col min="7685" max="7685" width="17" style="54" customWidth="1"/>
    <col min="7686" max="7686" width="24.7109375" style="54" customWidth="1"/>
    <col min="7687" max="7687" width="4.7109375" style="54" customWidth="1"/>
    <col min="7688" max="7937" width="11.5703125" style="54"/>
    <col min="7938" max="7938" width="4.7109375" style="54" customWidth="1"/>
    <col min="7939" max="7939" width="12" style="54" customWidth="1"/>
    <col min="7940" max="7940" width="15" style="54" bestFit="1" customWidth="1"/>
    <col min="7941" max="7941" width="17" style="54" customWidth="1"/>
    <col min="7942" max="7942" width="24.7109375" style="54" customWidth="1"/>
    <col min="7943" max="7943" width="4.7109375" style="54" customWidth="1"/>
    <col min="7944" max="8193" width="11.5703125" style="54"/>
    <col min="8194" max="8194" width="4.7109375" style="54" customWidth="1"/>
    <col min="8195" max="8195" width="12" style="54" customWidth="1"/>
    <col min="8196" max="8196" width="15" style="54" bestFit="1" customWidth="1"/>
    <col min="8197" max="8197" width="17" style="54" customWidth="1"/>
    <col min="8198" max="8198" width="24.7109375" style="54" customWidth="1"/>
    <col min="8199" max="8199" width="4.7109375" style="54" customWidth="1"/>
    <col min="8200" max="8449" width="11.5703125" style="54"/>
    <col min="8450" max="8450" width="4.7109375" style="54" customWidth="1"/>
    <col min="8451" max="8451" width="12" style="54" customWidth="1"/>
    <col min="8452" max="8452" width="15" style="54" bestFit="1" customWidth="1"/>
    <col min="8453" max="8453" width="17" style="54" customWidth="1"/>
    <col min="8454" max="8454" width="24.7109375" style="54" customWidth="1"/>
    <col min="8455" max="8455" width="4.7109375" style="54" customWidth="1"/>
    <col min="8456" max="8705" width="11.5703125" style="54"/>
    <col min="8706" max="8706" width="4.7109375" style="54" customWidth="1"/>
    <col min="8707" max="8707" width="12" style="54" customWidth="1"/>
    <col min="8708" max="8708" width="15" style="54" bestFit="1" customWidth="1"/>
    <col min="8709" max="8709" width="17" style="54" customWidth="1"/>
    <col min="8710" max="8710" width="24.7109375" style="54" customWidth="1"/>
    <col min="8711" max="8711" width="4.7109375" style="54" customWidth="1"/>
    <col min="8712" max="8961" width="11.5703125" style="54"/>
    <col min="8962" max="8962" width="4.7109375" style="54" customWidth="1"/>
    <col min="8963" max="8963" width="12" style="54" customWidth="1"/>
    <col min="8964" max="8964" width="15" style="54" bestFit="1" customWidth="1"/>
    <col min="8965" max="8965" width="17" style="54" customWidth="1"/>
    <col min="8966" max="8966" width="24.7109375" style="54" customWidth="1"/>
    <col min="8967" max="8967" width="4.7109375" style="54" customWidth="1"/>
    <col min="8968" max="9217" width="11.5703125" style="54"/>
    <col min="9218" max="9218" width="4.7109375" style="54" customWidth="1"/>
    <col min="9219" max="9219" width="12" style="54" customWidth="1"/>
    <col min="9220" max="9220" width="15" style="54" bestFit="1" customWidth="1"/>
    <col min="9221" max="9221" width="17" style="54" customWidth="1"/>
    <col min="9222" max="9222" width="24.7109375" style="54" customWidth="1"/>
    <col min="9223" max="9223" width="4.7109375" style="54" customWidth="1"/>
    <col min="9224" max="9473" width="11.5703125" style="54"/>
    <col min="9474" max="9474" width="4.7109375" style="54" customWidth="1"/>
    <col min="9475" max="9475" width="12" style="54" customWidth="1"/>
    <col min="9476" max="9476" width="15" style="54" bestFit="1" customWidth="1"/>
    <col min="9477" max="9477" width="17" style="54" customWidth="1"/>
    <col min="9478" max="9478" width="24.7109375" style="54" customWidth="1"/>
    <col min="9479" max="9479" width="4.7109375" style="54" customWidth="1"/>
    <col min="9480" max="9729" width="11.5703125" style="54"/>
    <col min="9730" max="9730" width="4.7109375" style="54" customWidth="1"/>
    <col min="9731" max="9731" width="12" style="54" customWidth="1"/>
    <col min="9732" max="9732" width="15" style="54" bestFit="1" customWidth="1"/>
    <col min="9733" max="9733" width="17" style="54" customWidth="1"/>
    <col min="9734" max="9734" width="24.7109375" style="54" customWidth="1"/>
    <col min="9735" max="9735" width="4.7109375" style="54" customWidth="1"/>
    <col min="9736" max="9985" width="11.5703125" style="54"/>
    <col min="9986" max="9986" width="4.7109375" style="54" customWidth="1"/>
    <col min="9987" max="9987" width="12" style="54" customWidth="1"/>
    <col min="9988" max="9988" width="15" style="54" bestFit="1" customWidth="1"/>
    <col min="9989" max="9989" width="17" style="54" customWidth="1"/>
    <col min="9990" max="9990" width="24.7109375" style="54" customWidth="1"/>
    <col min="9991" max="9991" width="4.7109375" style="54" customWidth="1"/>
    <col min="9992" max="10241" width="11.5703125" style="54"/>
    <col min="10242" max="10242" width="4.7109375" style="54" customWidth="1"/>
    <col min="10243" max="10243" width="12" style="54" customWidth="1"/>
    <col min="10244" max="10244" width="15" style="54" bestFit="1" customWidth="1"/>
    <col min="10245" max="10245" width="17" style="54" customWidth="1"/>
    <col min="10246" max="10246" width="24.7109375" style="54" customWidth="1"/>
    <col min="10247" max="10247" width="4.7109375" style="54" customWidth="1"/>
    <col min="10248" max="10497" width="11.5703125" style="54"/>
    <col min="10498" max="10498" width="4.7109375" style="54" customWidth="1"/>
    <col min="10499" max="10499" width="12" style="54" customWidth="1"/>
    <col min="10500" max="10500" width="15" style="54" bestFit="1" customWidth="1"/>
    <col min="10501" max="10501" width="17" style="54" customWidth="1"/>
    <col min="10502" max="10502" width="24.7109375" style="54" customWidth="1"/>
    <col min="10503" max="10503" width="4.7109375" style="54" customWidth="1"/>
    <col min="10504" max="10753" width="11.5703125" style="54"/>
    <col min="10754" max="10754" width="4.7109375" style="54" customWidth="1"/>
    <col min="10755" max="10755" width="12" style="54" customWidth="1"/>
    <col min="10756" max="10756" width="15" style="54" bestFit="1" customWidth="1"/>
    <col min="10757" max="10757" width="17" style="54" customWidth="1"/>
    <col min="10758" max="10758" width="24.7109375" style="54" customWidth="1"/>
    <col min="10759" max="10759" width="4.7109375" style="54" customWidth="1"/>
    <col min="10760" max="11009" width="11.5703125" style="54"/>
    <col min="11010" max="11010" width="4.7109375" style="54" customWidth="1"/>
    <col min="11011" max="11011" width="12" style="54" customWidth="1"/>
    <col min="11012" max="11012" width="15" style="54" bestFit="1" customWidth="1"/>
    <col min="11013" max="11013" width="17" style="54" customWidth="1"/>
    <col min="11014" max="11014" width="24.7109375" style="54" customWidth="1"/>
    <col min="11015" max="11015" width="4.7109375" style="54" customWidth="1"/>
    <col min="11016" max="11265" width="11.5703125" style="54"/>
    <col min="11266" max="11266" width="4.7109375" style="54" customWidth="1"/>
    <col min="11267" max="11267" width="12" style="54" customWidth="1"/>
    <col min="11268" max="11268" width="15" style="54" bestFit="1" customWidth="1"/>
    <col min="11269" max="11269" width="17" style="54" customWidth="1"/>
    <col min="11270" max="11270" width="24.7109375" style="54" customWidth="1"/>
    <col min="11271" max="11271" width="4.7109375" style="54" customWidth="1"/>
    <col min="11272" max="11521" width="11.5703125" style="54"/>
    <col min="11522" max="11522" width="4.7109375" style="54" customWidth="1"/>
    <col min="11523" max="11523" width="12" style="54" customWidth="1"/>
    <col min="11524" max="11524" width="15" style="54" bestFit="1" customWidth="1"/>
    <col min="11525" max="11525" width="17" style="54" customWidth="1"/>
    <col min="11526" max="11526" width="24.7109375" style="54" customWidth="1"/>
    <col min="11527" max="11527" width="4.7109375" style="54" customWidth="1"/>
    <col min="11528" max="11777" width="11.5703125" style="54"/>
    <col min="11778" max="11778" width="4.7109375" style="54" customWidth="1"/>
    <col min="11779" max="11779" width="12" style="54" customWidth="1"/>
    <col min="11780" max="11780" width="15" style="54" bestFit="1" customWidth="1"/>
    <col min="11781" max="11781" width="17" style="54" customWidth="1"/>
    <col min="11782" max="11782" width="24.7109375" style="54" customWidth="1"/>
    <col min="11783" max="11783" width="4.7109375" style="54" customWidth="1"/>
    <col min="11784" max="12033" width="11.5703125" style="54"/>
    <col min="12034" max="12034" width="4.7109375" style="54" customWidth="1"/>
    <col min="12035" max="12035" width="12" style="54" customWidth="1"/>
    <col min="12036" max="12036" width="15" style="54" bestFit="1" customWidth="1"/>
    <col min="12037" max="12037" width="17" style="54" customWidth="1"/>
    <col min="12038" max="12038" width="24.7109375" style="54" customWidth="1"/>
    <col min="12039" max="12039" width="4.7109375" style="54" customWidth="1"/>
    <col min="12040" max="12289" width="11.5703125" style="54"/>
    <col min="12290" max="12290" width="4.7109375" style="54" customWidth="1"/>
    <col min="12291" max="12291" width="12" style="54" customWidth="1"/>
    <col min="12292" max="12292" width="15" style="54" bestFit="1" customWidth="1"/>
    <col min="12293" max="12293" width="17" style="54" customWidth="1"/>
    <col min="12294" max="12294" width="24.7109375" style="54" customWidth="1"/>
    <col min="12295" max="12295" width="4.7109375" style="54" customWidth="1"/>
    <col min="12296" max="12545" width="11.5703125" style="54"/>
    <col min="12546" max="12546" width="4.7109375" style="54" customWidth="1"/>
    <col min="12547" max="12547" width="12" style="54" customWidth="1"/>
    <col min="12548" max="12548" width="15" style="54" bestFit="1" customWidth="1"/>
    <col min="12549" max="12549" width="17" style="54" customWidth="1"/>
    <col min="12550" max="12550" width="24.7109375" style="54" customWidth="1"/>
    <col min="12551" max="12551" width="4.7109375" style="54" customWidth="1"/>
    <col min="12552" max="12801" width="11.5703125" style="54"/>
    <col min="12802" max="12802" width="4.7109375" style="54" customWidth="1"/>
    <col min="12803" max="12803" width="12" style="54" customWidth="1"/>
    <col min="12804" max="12804" width="15" style="54" bestFit="1" customWidth="1"/>
    <col min="12805" max="12805" width="17" style="54" customWidth="1"/>
    <col min="12806" max="12806" width="24.7109375" style="54" customWidth="1"/>
    <col min="12807" max="12807" width="4.7109375" style="54" customWidth="1"/>
    <col min="12808" max="13057" width="11.5703125" style="54"/>
    <col min="13058" max="13058" width="4.7109375" style="54" customWidth="1"/>
    <col min="13059" max="13059" width="12" style="54" customWidth="1"/>
    <col min="13060" max="13060" width="15" style="54" bestFit="1" customWidth="1"/>
    <col min="13061" max="13061" width="17" style="54" customWidth="1"/>
    <col min="13062" max="13062" width="24.7109375" style="54" customWidth="1"/>
    <col min="13063" max="13063" width="4.7109375" style="54" customWidth="1"/>
    <col min="13064" max="13313" width="11.5703125" style="54"/>
    <col min="13314" max="13314" width="4.7109375" style="54" customWidth="1"/>
    <col min="13315" max="13315" width="12" style="54" customWidth="1"/>
    <col min="13316" max="13316" width="15" style="54" bestFit="1" customWidth="1"/>
    <col min="13317" max="13317" width="17" style="54" customWidth="1"/>
    <col min="13318" max="13318" width="24.7109375" style="54" customWidth="1"/>
    <col min="13319" max="13319" width="4.7109375" style="54" customWidth="1"/>
    <col min="13320" max="13569" width="11.5703125" style="54"/>
    <col min="13570" max="13570" width="4.7109375" style="54" customWidth="1"/>
    <col min="13571" max="13571" width="12" style="54" customWidth="1"/>
    <col min="13572" max="13572" width="15" style="54" bestFit="1" customWidth="1"/>
    <col min="13573" max="13573" width="17" style="54" customWidth="1"/>
    <col min="13574" max="13574" width="24.7109375" style="54" customWidth="1"/>
    <col min="13575" max="13575" width="4.7109375" style="54" customWidth="1"/>
    <col min="13576" max="13825" width="11.5703125" style="54"/>
    <col min="13826" max="13826" width="4.7109375" style="54" customWidth="1"/>
    <col min="13827" max="13827" width="12" style="54" customWidth="1"/>
    <col min="13828" max="13828" width="15" style="54" bestFit="1" customWidth="1"/>
    <col min="13829" max="13829" width="17" style="54" customWidth="1"/>
    <col min="13830" max="13830" width="24.7109375" style="54" customWidth="1"/>
    <col min="13831" max="13831" width="4.7109375" style="54" customWidth="1"/>
    <col min="13832" max="14081" width="11.5703125" style="54"/>
    <col min="14082" max="14082" width="4.7109375" style="54" customWidth="1"/>
    <col min="14083" max="14083" width="12" style="54" customWidth="1"/>
    <col min="14084" max="14084" width="15" style="54" bestFit="1" customWidth="1"/>
    <col min="14085" max="14085" width="17" style="54" customWidth="1"/>
    <col min="14086" max="14086" width="24.7109375" style="54" customWidth="1"/>
    <col min="14087" max="14087" width="4.7109375" style="54" customWidth="1"/>
    <col min="14088" max="14337" width="11.5703125" style="54"/>
    <col min="14338" max="14338" width="4.7109375" style="54" customWidth="1"/>
    <col min="14339" max="14339" width="12" style="54" customWidth="1"/>
    <col min="14340" max="14340" width="15" style="54" bestFit="1" customWidth="1"/>
    <col min="14341" max="14341" width="17" style="54" customWidth="1"/>
    <col min="14342" max="14342" width="24.7109375" style="54" customWidth="1"/>
    <col min="14343" max="14343" width="4.7109375" style="54" customWidth="1"/>
    <col min="14344" max="14593" width="11.5703125" style="54"/>
    <col min="14594" max="14594" width="4.7109375" style="54" customWidth="1"/>
    <col min="14595" max="14595" width="12" style="54" customWidth="1"/>
    <col min="14596" max="14596" width="15" style="54" bestFit="1" customWidth="1"/>
    <col min="14597" max="14597" width="17" style="54" customWidth="1"/>
    <col min="14598" max="14598" width="24.7109375" style="54" customWidth="1"/>
    <col min="14599" max="14599" width="4.7109375" style="54" customWidth="1"/>
    <col min="14600" max="14849" width="11.5703125" style="54"/>
    <col min="14850" max="14850" width="4.7109375" style="54" customWidth="1"/>
    <col min="14851" max="14851" width="12" style="54" customWidth="1"/>
    <col min="14852" max="14852" width="15" style="54" bestFit="1" customWidth="1"/>
    <col min="14853" max="14853" width="17" style="54" customWidth="1"/>
    <col min="14854" max="14854" width="24.7109375" style="54" customWidth="1"/>
    <col min="14855" max="14855" width="4.7109375" style="54" customWidth="1"/>
    <col min="14856" max="15105" width="11.5703125" style="54"/>
    <col min="15106" max="15106" width="4.7109375" style="54" customWidth="1"/>
    <col min="15107" max="15107" width="12" style="54" customWidth="1"/>
    <col min="15108" max="15108" width="15" style="54" bestFit="1" customWidth="1"/>
    <col min="15109" max="15109" width="17" style="54" customWidth="1"/>
    <col min="15110" max="15110" width="24.7109375" style="54" customWidth="1"/>
    <col min="15111" max="15111" width="4.7109375" style="54" customWidth="1"/>
    <col min="15112" max="15361" width="11.5703125" style="54"/>
    <col min="15362" max="15362" width="4.7109375" style="54" customWidth="1"/>
    <col min="15363" max="15363" width="12" style="54" customWidth="1"/>
    <col min="15364" max="15364" width="15" style="54" bestFit="1" customWidth="1"/>
    <col min="15365" max="15365" width="17" style="54" customWidth="1"/>
    <col min="15366" max="15366" width="24.7109375" style="54" customWidth="1"/>
    <col min="15367" max="15367" width="4.7109375" style="54" customWidth="1"/>
    <col min="15368" max="15617" width="11.5703125" style="54"/>
    <col min="15618" max="15618" width="4.7109375" style="54" customWidth="1"/>
    <col min="15619" max="15619" width="12" style="54" customWidth="1"/>
    <col min="15620" max="15620" width="15" style="54" bestFit="1" customWidth="1"/>
    <col min="15621" max="15621" width="17" style="54" customWidth="1"/>
    <col min="15622" max="15622" width="24.7109375" style="54" customWidth="1"/>
    <col min="15623" max="15623" width="4.7109375" style="54" customWidth="1"/>
    <col min="15624" max="15873" width="11.5703125" style="54"/>
    <col min="15874" max="15874" width="4.7109375" style="54" customWidth="1"/>
    <col min="15875" max="15875" width="12" style="54" customWidth="1"/>
    <col min="15876" max="15876" width="15" style="54" bestFit="1" customWidth="1"/>
    <col min="15877" max="15877" width="17" style="54" customWidth="1"/>
    <col min="15878" max="15878" width="24.7109375" style="54" customWidth="1"/>
    <col min="15879" max="15879" width="4.7109375" style="54" customWidth="1"/>
    <col min="15880" max="16129" width="11.5703125" style="54"/>
    <col min="16130" max="16130" width="4.7109375" style="54" customWidth="1"/>
    <col min="16131" max="16131" width="12" style="54" customWidth="1"/>
    <col min="16132" max="16132" width="15" style="54" bestFit="1" customWidth="1"/>
    <col min="16133" max="16133" width="17" style="54" customWidth="1"/>
    <col min="16134" max="16134" width="24.7109375" style="54" customWidth="1"/>
    <col min="16135" max="16135" width="4.7109375" style="54" customWidth="1"/>
    <col min="16136" max="16384" width="11.5703125" style="54"/>
  </cols>
  <sheetData>
    <row r="1" spans="2:14" ht="13.5" thickBot="1"/>
    <row r="2" spans="2:14">
      <c r="B2" s="55"/>
      <c r="C2" s="56"/>
      <c r="D2" s="56"/>
      <c r="E2" s="56"/>
      <c r="F2" s="56"/>
      <c r="G2" s="57"/>
    </row>
    <row r="3" spans="2:14">
      <c r="B3" s="58"/>
      <c r="C3" s="59"/>
      <c r="D3" s="59"/>
      <c r="E3" s="59"/>
      <c r="F3" s="59"/>
      <c r="G3" s="60"/>
    </row>
    <row r="4" spans="2:14" ht="15.75" thickBot="1">
      <c r="B4" s="58"/>
      <c r="C4" s="61"/>
      <c r="D4" s="61"/>
      <c r="E4" s="61"/>
      <c r="F4" s="61"/>
      <c r="G4" s="62"/>
    </row>
    <row r="5" spans="2:14" ht="15.75" thickBot="1">
      <c r="B5" s="58"/>
      <c r="C5" s="61" t="s">
        <v>33</v>
      </c>
      <c r="D5" s="61"/>
      <c r="E5" s="61"/>
      <c r="F5" s="63">
        <v>34270</v>
      </c>
      <c r="G5" s="62"/>
      <c r="N5" s="64"/>
    </row>
    <row r="6" spans="2:14" ht="15.75" thickBot="1">
      <c r="B6" s="58"/>
      <c r="C6" s="61" t="s">
        <v>34</v>
      </c>
      <c r="D6" s="61"/>
      <c r="E6" s="61"/>
      <c r="F6" s="65">
        <f>+EJERCICIO!G17</f>
        <v>38625000</v>
      </c>
      <c r="G6" s="62"/>
    </row>
    <row r="7" spans="2:14" ht="15">
      <c r="B7" s="58"/>
      <c r="C7" s="61" t="s">
        <v>35</v>
      </c>
      <c r="D7" s="61"/>
      <c r="E7" s="61"/>
      <c r="F7" s="66">
        <f>+ROUND(F6/F5,2)</f>
        <v>1127.08</v>
      </c>
      <c r="G7" s="62"/>
    </row>
    <row r="8" spans="2:14" ht="15">
      <c r="B8" s="58"/>
      <c r="C8" s="61"/>
      <c r="D8" s="61"/>
      <c r="E8" s="61"/>
      <c r="F8" s="61"/>
      <c r="G8" s="62"/>
    </row>
    <row r="9" spans="2:14" ht="15.75">
      <c r="B9" s="58"/>
      <c r="C9" s="99" t="s">
        <v>36</v>
      </c>
      <c r="D9" s="100"/>
      <c r="E9" s="67"/>
      <c r="F9" s="67"/>
      <c r="G9" s="62"/>
    </row>
    <row r="10" spans="2:14" ht="15.75">
      <c r="B10" s="58"/>
      <c r="C10" s="68" t="s">
        <v>37</v>
      </c>
      <c r="D10" s="68" t="s">
        <v>38</v>
      </c>
      <c r="E10" s="68" t="s">
        <v>39</v>
      </c>
      <c r="F10" s="69" t="s">
        <v>40</v>
      </c>
      <c r="G10" s="62"/>
    </row>
    <row r="11" spans="2:14" ht="15">
      <c r="B11" s="58"/>
      <c r="C11" s="70">
        <v>0</v>
      </c>
      <c r="D11" s="70">
        <v>1090</v>
      </c>
      <c r="E11" s="71">
        <v>0</v>
      </c>
      <c r="F11" s="72">
        <v>0</v>
      </c>
      <c r="G11" s="62"/>
    </row>
    <row r="12" spans="2:14" ht="30">
      <c r="B12" s="58"/>
      <c r="C12" s="70">
        <v>1090</v>
      </c>
      <c r="D12" s="70">
        <v>1700</v>
      </c>
      <c r="E12" s="71">
        <v>0.19</v>
      </c>
      <c r="F12" s="73" t="s">
        <v>41</v>
      </c>
      <c r="G12" s="62"/>
    </row>
    <row r="13" spans="2:14" ht="45">
      <c r="B13" s="58"/>
      <c r="C13" s="70">
        <v>1700</v>
      </c>
      <c r="D13" s="70">
        <v>4100</v>
      </c>
      <c r="E13" s="71">
        <v>0.28000000000000003</v>
      </c>
      <c r="F13" s="73" t="s">
        <v>42</v>
      </c>
      <c r="G13" s="62"/>
    </row>
    <row r="14" spans="2:14" ht="45">
      <c r="B14" s="58"/>
      <c r="C14" s="74">
        <v>4100</v>
      </c>
      <c r="D14" s="74" t="s">
        <v>43</v>
      </c>
      <c r="E14" s="75">
        <v>0.33</v>
      </c>
      <c r="F14" s="73" t="s">
        <v>44</v>
      </c>
      <c r="G14" s="76">
        <f>+ROUND(IF(F7&gt;1090,IF(F7&gt;1700,IF(F7&gt;4100,(F7-4100)*33%+788,(F7-1700)*28%+116),(F7-1090)*19%),0),2)</f>
        <v>7.05</v>
      </c>
    </row>
    <row r="15" spans="2:14" ht="15.75" thickBot="1">
      <c r="B15" s="58"/>
      <c r="C15" s="61"/>
      <c r="D15" s="61"/>
      <c r="E15" s="61"/>
      <c r="F15" s="61"/>
      <c r="G15" s="62"/>
    </row>
    <row r="16" spans="2:14" ht="15.75" thickBot="1">
      <c r="B16" s="58"/>
      <c r="C16" s="61" t="s">
        <v>45</v>
      </c>
      <c r="D16" s="61"/>
      <c r="E16" s="61"/>
      <c r="F16" s="65">
        <f>+ROUND(G14*F5,-3)</f>
        <v>242000</v>
      </c>
      <c r="G16" s="62"/>
      <c r="H16" s="77"/>
    </row>
    <row r="17" spans="1:11" ht="15">
      <c r="B17" s="58"/>
      <c r="C17" s="61" t="s">
        <v>46</v>
      </c>
      <c r="D17" s="61"/>
      <c r="E17" s="61"/>
      <c r="F17" s="61"/>
      <c r="G17" s="62"/>
    </row>
    <row r="18" spans="1:11" ht="15.75" thickBot="1">
      <c r="B18" s="78"/>
      <c r="C18" s="79"/>
      <c r="D18" s="79"/>
      <c r="E18" s="79"/>
      <c r="F18" s="79"/>
      <c r="G18" s="80"/>
    </row>
    <row r="19" spans="1:11" ht="15">
      <c r="A19" s="81"/>
      <c r="B19" s="81"/>
      <c r="C19" s="82"/>
      <c r="D19" s="82"/>
      <c r="E19" s="82"/>
      <c r="F19" s="82"/>
      <c r="G19" s="82"/>
      <c r="H19" s="81"/>
      <c r="I19" s="81"/>
      <c r="J19" s="81"/>
      <c r="K19" s="81"/>
    </row>
    <row r="20" spans="1:11" ht="15.75" thickBot="1">
      <c r="A20" s="81"/>
      <c r="B20" s="81"/>
      <c r="C20" s="82"/>
      <c r="D20" s="82"/>
      <c r="E20" s="82"/>
      <c r="F20" s="82"/>
      <c r="G20" s="82"/>
      <c r="H20" s="81"/>
      <c r="I20" s="81"/>
      <c r="J20" s="81"/>
      <c r="K20" s="81"/>
    </row>
    <row r="21" spans="1:11">
      <c r="A21" s="81"/>
      <c r="B21" s="83"/>
      <c r="C21" s="84"/>
      <c r="D21" s="84"/>
      <c r="E21" s="84"/>
      <c r="F21" s="84"/>
      <c r="G21" s="85"/>
      <c r="H21" s="81"/>
      <c r="I21" s="81"/>
      <c r="J21" s="81"/>
      <c r="K21" s="81"/>
    </row>
    <row r="22" spans="1:11">
      <c r="A22" s="81"/>
      <c r="B22" s="86"/>
      <c r="C22" s="87"/>
      <c r="D22" s="87"/>
      <c r="E22" s="87"/>
      <c r="F22" s="87"/>
      <c r="G22" s="88"/>
      <c r="H22" s="81"/>
      <c r="I22" s="81"/>
      <c r="J22" s="81"/>
      <c r="K22" s="81"/>
    </row>
    <row r="23" spans="1:11" ht="15.75" thickBot="1">
      <c r="A23" s="81"/>
      <c r="B23" s="86"/>
      <c r="C23" s="61"/>
      <c r="D23" s="61"/>
      <c r="E23" s="61"/>
      <c r="F23" s="61"/>
      <c r="G23" s="62"/>
      <c r="H23" s="81"/>
      <c r="I23" s="81"/>
      <c r="J23" s="81"/>
      <c r="K23" s="81"/>
    </row>
    <row r="24" spans="1:11" ht="15.75" thickBot="1">
      <c r="A24" s="81"/>
      <c r="B24" s="86"/>
      <c r="C24" s="61" t="s">
        <v>33</v>
      </c>
      <c r="D24" s="61"/>
      <c r="E24" s="61"/>
      <c r="F24" s="63">
        <f>+F5</f>
        <v>34270</v>
      </c>
      <c r="G24" s="62"/>
      <c r="H24" s="81"/>
      <c r="I24" s="81"/>
      <c r="J24" s="81"/>
      <c r="K24" s="81"/>
    </row>
    <row r="25" spans="1:11" ht="15.75" thickBot="1">
      <c r="A25" s="81"/>
      <c r="B25" s="86"/>
      <c r="C25" s="61" t="s">
        <v>34</v>
      </c>
      <c r="D25" s="61"/>
      <c r="E25" s="61"/>
      <c r="F25" s="65">
        <f>+EJERCICIO!K17</f>
        <v>81900000</v>
      </c>
      <c r="G25" s="62"/>
      <c r="H25" s="81"/>
      <c r="I25" s="81"/>
      <c r="J25" s="81"/>
      <c r="K25" s="81"/>
    </row>
    <row r="26" spans="1:11" ht="15">
      <c r="A26" s="81"/>
      <c r="B26" s="86"/>
      <c r="C26" s="61" t="s">
        <v>35</v>
      </c>
      <c r="D26" s="61"/>
      <c r="E26" s="61"/>
      <c r="F26" s="61">
        <f>+ROUND(F25/F24,2)</f>
        <v>2389.85</v>
      </c>
      <c r="G26" s="62"/>
      <c r="H26" s="81"/>
      <c r="I26" s="81"/>
      <c r="J26" s="81"/>
      <c r="K26" s="81"/>
    </row>
    <row r="27" spans="1:11" ht="15">
      <c r="A27" s="81"/>
      <c r="B27" s="86"/>
      <c r="C27" s="61"/>
      <c r="D27" s="61"/>
      <c r="E27" s="61"/>
      <c r="F27" s="61"/>
      <c r="G27" s="62"/>
      <c r="H27" s="81"/>
      <c r="I27" s="81"/>
      <c r="J27" s="81"/>
      <c r="K27" s="81"/>
    </row>
    <row r="28" spans="1:11" ht="15.75">
      <c r="A28" s="81"/>
      <c r="B28" s="86"/>
      <c r="C28" s="99" t="s">
        <v>36</v>
      </c>
      <c r="D28" s="100"/>
      <c r="E28" s="67"/>
      <c r="F28" s="67"/>
      <c r="G28" s="62"/>
      <c r="H28" s="81"/>
      <c r="I28" s="81"/>
      <c r="J28" s="81"/>
      <c r="K28" s="81"/>
    </row>
    <row r="29" spans="1:11" ht="15.75">
      <c r="A29" s="81"/>
      <c r="B29" s="86"/>
      <c r="C29" s="68" t="s">
        <v>37</v>
      </c>
      <c r="D29" s="68" t="s">
        <v>38</v>
      </c>
      <c r="E29" s="68" t="s">
        <v>39</v>
      </c>
      <c r="F29" s="69" t="s">
        <v>40</v>
      </c>
      <c r="G29" s="62"/>
      <c r="H29" s="81"/>
      <c r="I29" s="81"/>
      <c r="J29" s="81"/>
      <c r="K29" s="81"/>
    </row>
    <row r="30" spans="1:11" ht="15">
      <c r="A30" s="81"/>
      <c r="B30" s="86"/>
      <c r="C30" s="89">
        <v>0</v>
      </c>
      <c r="D30" s="89">
        <v>1090</v>
      </c>
      <c r="E30" s="90">
        <v>0</v>
      </c>
      <c r="F30" s="91">
        <v>0</v>
      </c>
      <c r="G30" s="62"/>
      <c r="H30" s="81"/>
      <c r="I30" s="81"/>
      <c r="J30" s="81"/>
      <c r="K30" s="81"/>
    </row>
    <row r="31" spans="1:11" ht="30">
      <c r="A31" s="81"/>
      <c r="B31" s="86"/>
      <c r="C31" s="89">
        <v>1090</v>
      </c>
      <c r="D31" s="89">
        <v>1700</v>
      </c>
      <c r="E31" s="90">
        <v>0.19</v>
      </c>
      <c r="F31" s="92" t="s">
        <v>41</v>
      </c>
      <c r="G31" s="62"/>
      <c r="H31" s="81"/>
      <c r="I31" s="81"/>
      <c r="J31" s="81"/>
      <c r="K31" s="81"/>
    </row>
    <row r="32" spans="1:11" ht="45">
      <c r="A32" s="81"/>
      <c r="B32" s="86"/>
      <c r="C32" s="89">
        <v>1700</v>
      </c>
      <c r="D32" s="89">
        <v>4100</v>
      </c>
      <c r="E32" s="90">
        <v>0.28000000000000003</v>
      </c>
      <c r="F32" s="92" t="s">
        <v>42</v>
      </c>
      <c r="G32" s="62"/>
      <c r="H32" s="81"/>
      <c r="I32" s="81"/>
      <c r="J32" s="81"/>
      <c r="K32" s="81"/>
    </row>
    <row r="33" spans="1:11" ht="45">
      <c r="A33" s="81"/>
      <c r="B33" s="86"/>
      <c r="C33" s="93">
        <v>4100</v>
      </c>
      <c r="D33" s="93" t="s">
        <v>43</v>
      </c>
      <c r="E33" s="94">
        <v>0.33</v>
      </c>
      <c r="F33" s="92" t="s">
        <v>44</v>
      </c>
      <c r="G33" s="96">
        <f>+ROUND(IF(F26&gt;1090,IF(F26&gt;1700,IF(F26&gt;4100,(F26-4100)*33%+788,(F26-1700)*28%+116),(F26-1090)*19%),0),2)</f>
        <v>309.16000000000003</v>
      </c>
      <c r="H33" s="81"/>
      <c r="I33" s="81"/>
      <c r="J33" s="81"/>
      <c r="K33" s="81"/>
    </row>
    <row r="34" spans="1:11" ht="15.75" thickBot="1">
      <c r="A34" s="81"/>
      <c r="B34" s="86"/>
      <c r="C34" s="61"/>
      <c r="D34" s="61"/>
      <c r="E34" s="61"/>
      <c r="F34" s="61"/>
      <c r="G34" s="62"/>
      <c r="H34" s="81"/>
      <c r="I34" s="81"/>
      <c r="J34" s="81"/>
      <c r="K34" s="81"/>
    </row>
    <row r="35" spans="1:11" ht="15.75" thickBot="1">
      <c r="A35" s="81"/>
      <c r="B35" s="86"/>
      <c r="C35" s="61" t="s">
        <v>45</v>
      </c>
      <c r="D35" s="61"/>
      <c r="E35" s="61"/>
      <c r="F35" s="65">
        <f>+ROUND(G33*F24,-3)</f>
        <v>10595000</v>
      </c>
      <c r="G35" s="62"/>
      <c r="H35" s="81"/>
      <c r="I35" s="81"/>
      <c r="J35" s="81"/>
      <c r="K35" s="81"/>
    </row>
    <row r="36" spans="1:11" ht="15">
      <c r="A36" s="81"/>
      <c r="B36" s="86"/>
      <c r="C36" s="61" t="s">
        <v>46</v>
      </c>
      <c r="D36" s="61"/>
      <c r="E36" s="61"/>
      <c r="F36" s="61"/>
      <c r="G36" s="62"/>
      <c r="H36" s="81"/>
      <c r="I36" s="81"/>
      <c r="J36" s="81"/>
      <c r="K36" s="81"/>
    </row>
    <row r="37" spans="1:11" ht="15.75" thickBot="1">
      <c r="A37" s="81"/>
      <c r="B37" s="95"/>
      <c r="C37" s="79"/>
      <c r="D37" s="79"/>
      <c r="E37" s="79"/>
      <c r="F37" s="79"/>
      <c r="G37" s="80"/>
      <c r="H37" s="81"/>
      <c r="I37" s="81"/>
      <c r="J37" s="81"/>
      <c r="K37" s="81"/>
    </row>
    <row r="38" spans="1:11">
      <c r="A38" s="81"/>
      <c r="B38" s="81"/>
      <c r="C38" s="81"/>
      <c r="D38" s="81"/>
      <c r="E38" s="81"/>
      <c r="F38" s="81"/>
      <c r="G38" s="81"/>
      <c r="H38" s="81"/>
      <c r="I38" s="81"/>
      <c r="J38" s="81"/>
      <c r="K38" s="81"/>
    </row>
    <row r="39" spans="1:11">
      <c r="A39" s="81"/>
      <c r="B39" s="81"/>
      <c r="C39" s="81"/>
      <c r="D39" s="81"/>
      <c r="E39" s="81"/>
      <c r="F39" s="81"/>
      <c r="G39" s="81"/>
      <c r="H39" s="81"/>
      <c r="I39" s="81"/>
      <c r="J39" s="81"/>
      <c r="K39" s="81"/>
    </row>
    <row r="40" spans="1:11" ht="13.5" thickBot="1">
      <c r="A40" s="81"/>
      <c r="B40" s="81"/>
      <c r="C40" s="81"/>
      <c r="D40" s="81"/>
      <c r="E40" s="81"/>
      <c r="F40" s="81"/>
      <c r="G40" s="81"/>
      <c r="H40" s="81"/>
      <c r="I40" s="81"/>
      <c r="J40" s="81"/>
      <c r="K40" s="81"/>
    </row>
    <row r="41" spans="1:11">
      <c r="A41" s="81"/>
      <c r="B41" s="83"/>
      <c r="C41" s="84"/>
      <c r="D41" s="84"/>
      <c r="E41" s="84"/>
      <c r="F41" s="84"/>
      <c r="G41" s="85"/>
      <c r="H41" s="81"/>
      <c r="I41" s="81"/>
      <c r="J41" s="81"/>
      <c r="K41" s="81"/>
    </row>
    <row r="42" spans="1:11">
      <c r="A42" s="81"/>
      <c r="B42" s="86"/>
      <c r="C42" s="87"/>
      <c r="D42" s="87"/>
      <c r="E42" s="87"/>
      <c r="F42" s="87"/>
      <c r="G42" s="88"/>
      <c r="H42" s="81"/>
      <c r="I42" s="81"/>
      <c r="J42" s="81"/>
      <c r="K42" s="81"/>
    </row>
    <row r="43" spans="1:11" ht="15.75" thickBot="1">
      <c r="A43" s="81"/>
      <c r="B43" s="86"/>
      <c r="C43" s="61"/>
      <c r="D43" s="61"/>
      <c r="E43" s="61"/>
      <c r="F43" s="61"/>
      <c r="G43" s="62"/>
      <c r="H43" s="81"/>
      <c r="I43" s="81"/>
      <c r="J43" s="81"/>
      <c r="K43" s="81"/>
    </row>
    <row r="44" spans="1:11" ht="15.75" thickBot="1">
      <c r="B44" s="86"/>
      <c r="C44" s="61" t="s">
        <v>33</v>
      </c>
      <c r="D44" s="61"/>
      <c r="E44" s="61"/>
      <c r="F44" s="63">
        <f>+F24</f>
        <v>34270</v>
      </c>
      <c r="G44" s="62"/>
    </row>
    <row r="45" spans="1:11" ht="15.75" thickBot="1">
      <c r="B45" s="86"/>
      <c r="C45" s="61" t="s">
        <v>34</v>
      </c>
      <c r="D45" s="61"/>
      <c r="E45" s="61"/>
      <c r="F45" s="65">
        <f>+EJERCICIO!O17</f>
        <v>41900000</v>
      </c>
      <c r="G45" s="62"/>
    </row>
    <row r="46" spans="1:11" ht="15">
      <c r="B46" s="86"/>
      <c r="C46" s="61" t="s">
        <v>35</v>
      </c>
      <c r="D46" s="61"/>
      <c r="E46" s="61"/>
      <c r="F46" s="61">
        <f>+ROUND(F45/F44,2)</f>
        <v>1222.6400000000001</v>
      </c>
      <c r="G46" s="62"/>
    </row>
    <row r="47" spans="1:11" ht="15">
      <c r="B47" s="86"/>
      <c r="C47" s="61"/>
      <c r="D47" s="61"/>
      <c r="E47" s="61"/>
      <c r="F47" s="61"/>
      <c r="G47" s="62"/>
    </row>
    <row r="48" spans="1:11" ht="15.75">
      <c r="B48" s="86"/>
      <c r="C48" s="99" t="s">
        <v>36</v>
      </c>
      <c r="D48" s="100"/>
      <c r="E48" s="67"/>
      <c r="F48" s="67"/>
      <c r="G48" s="62"/>
    </row>
    <row r="49" spans="2:9" ht="15.75">
      <c r="B49" s="86"/>
      <c r="C49" s="68" t="s">
        <v>37</v>
      </c>
      <c r="D49" s="68" t="s">
        <v>38</v>
      </c>
      <c r="E49" s="68" t="s">
        <v>39</v>
      </c>
      <c r="F49" s="69" t="s">
        <v>40</v>
      </c>
      <c r="G49" s="62"/>
    </row>
    <row r="50" spans="2:9" ht="15">
      <c r="B50" s="86"/>
      <c r="C50" s="89">
        <v>0</v>
      </c>
      <c r="D50" s="89">
        <v>1090</v>
      </c>
      <c r="E50" s="90">
        <v>0</v>
      </c>
      <c r="F50" s="91">
        <v>0</v>
      </c>
      <c r="G50" s="62"/>
    </row>
    <row r="51" spans="2:9" ht="30">
      <c r="B51" s="86"/>
      <c r="C51" s="89">
        <v>1090</v>
      </c>
      <c r="D51" s="89">
        <v>1700</v>
      </c>
      <c r="E51" s="90">
        <v>0.19</v>
      </c>
      <c r="F51" s="92" t="s">
        <v>41</v>
      </c>
      <c r="G51" s="62"/>
    </row>
    <row r="52" spans="2:9" ht="45">
      <c r="B52" s="86"/>
      <c r="C52" s="89">
        <v>1700</v>
      </c>
      <c r="D52" s="89">
        <v>4100</v>
      </c>
      <c r="E52" s="90">
        <v>0.28000000000000003</v>
      </c>
      <c r="F52" s="92" t="s">
        <v>42</v>
      </c>
      <c r="G52" s="62"/>
      <c r="I52" s="97" t="s">
        <v>47</v>
      </c>
    </row>
    <row r="53" spans="2:9" ht="45">
      <c r="B53" s="86"/>
      <c r="C53" s="93">
        <v>4100</v>
      </c>
      <c r="D53" s="93" t="s">
        <v>43</v>
      </c>
      <c r="E53" s="94">
        <v>0.33</v>
      </c>
      <c r="F53" s="92" t="s">
        <v>44</v>
      </c>
      <c r="G53" s="62">
        <f>+ROUND(IF(F46&gt;1090,IF(F46&gt;1700,IF(F46&gt;4100,(F46-4100)*33%+788,(F46-1700)*28%+116),(F46-1090)*19%),0),2)</f>
        <v>25.2</v>
      </c>
    </row>
    <row r="54" spans="2:9" ht="15.75" thickBot="1">
      <c r="B54" s="86"/>
      <c r="C54" s="61"/>
      <c r="D54" s="61"/>
      <c r="E54" s="61"/>
      <c r="F54" s="61"/>
      <c r="G54" s="62"/>
    </row>
    <row r="55" spans="2:9" ht="15.75" thickBot="1">
      <c r="B55" s="86"/>
      <c r="C55" s="61" t="s">
        <v>45</v>
      </c>
      <c r="D55" s="61"/>
      <c r="E55" s="61"/>
      <c r="F55" s="65">
        <f>+ROUND(G53*F44,-3)</f>
        <v>864000</v>
      </c>
      <c r="G55" s="62"/>
    </row>
    <row r="56" spans="2:9" ht="15">
      <c r="B56" s="86"/>
      <c r="C56" s="61" t="s">
        <v>46</v>
      </c>
      <c r="D56" s="61"/>
      <c r="E56" s="61"/>
      <c r="F56" s="61"/>
      <c r="G56" s="62"/>
    </row>
    <row r="57" spans="2:9" ht="15.75" thickBot="1">
      <c r="B57" s="95"/>
      <c r="C57" s="79"/>
      <c r="D57" s="79"/>
      <c r="E57" s="79"/>
      <c r="F57" s="79"/>
      <c r="G57" s="80"/>
    </row>
  </sheetData>
  <sheetProtection formatCells="0" formatColumns="0" formatRows="0" insertColumns="0" insertRows="0" insertHyperlinks="0" deleteColumns="0" deleteRows="0" sort="0" autoFilter="0" pivotTables="0"/>
  <mergeCells count="3">
    <mergeCell ref="C9:D9"/>
    <mergeCell ref="C28:D28"/>
    <mergeCell ref="C48:D48"/>
  </mergeCells>
  <pageMargins left="0.74803149606299213" right="0.74803149606299213" top="0.98425196850393704" bottom="0.98425196850393704" header="0" footer="0"/>
  <pageSetup scale="90" orientation="portrait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O46"/>
  <sheetViews>
    <sheetView showGridLines="0" tabSelected="1" workbookViewId="0">
      <pane xSplit="4" ySplit="5" topLeftCell="L6" activePane="bottomRight" state="frozen"/>
      <selection pane="topRight" activeCell="E1" sqref="E1"/>
      <selection pane="bottomLeft" activeCell="A6" sqref="A6"/>
      <selection pane="bottomRight" activeCell="N6" sqref="N6"/>
    </sheetView>
  </sheetViews>
  <sheetFormatPr baseColWidth="10" defaultColWidth="11.5703125" defaultRowHeight="12.75"/>
  <cols>
    <col min="1" max="1" width="4.7109375" style="3" customWidth="1"/>
    <col min="2" max="2" width="52.7109375" style="3" customWidth="1"/>
    <col min="3" max="4" width="11.5703125" style="3"/>
    <col min="5" max="5" width="8.7109375" style="3" customWidth="1"/>
    <col min="6" max="6" width="60.7109375" style="3" customWidth="1"/>
    <col min="7" max="7" width="20" style="3" bestFit="1" customWidth="1"/>
    <col min="8" max="8" width="30.7109375" style="3" customWidth="1"/>
    <col min="9" max="9" width="8.7109375" style="3" customWidth="1"/>
    <col min="10" max="10" width="60.7109375" style="3" customWidth="1"/>
    <col min="11" max="11" width="18.140625" style="3" bestFit="1" customWidth="1"/>
    <col min="12" max="12" width="30.7109375" style="3" customWidth="1"/>
    <col min="13" max="13" width="8.7109375" style="3" customWidth="1"/>
    <col min="14" max="14" width="60.7109375" style="3" customWidth="1"/>
    <col min="15" max="15" width="17.7109375" style="3" customWidth="1"/>
    <col min="16" max="262" width="11.5703125" style="3"/>
    <col min="263" max="263" width="2.7109375" style="3" customWidth="1"/>
    <col min="264" max="264" width="52.42578125" style="3" bestFit="1" customWidth="1"/>
    <col min="265" max="265" width="20" style="3" bestFit="1" customWidth="1"/>
    <col min="266" max="266" width="11.5703125" style="3"/>
    <col min="267" max="267" width="54.5703125" style="3" bestFit="1" customWidth="1"/>
    <col min="268" max="268" width="18.140625" style="3" bestFit="1" customWidth="1"/>
    <col min="269" max="269" width="15.85546875" style="3" bestFit="1" customWidth="1"/>
    <col min="270" max="518" width="11.5703125" style="3"/>
    <col min="519" max="519" width="2.7109375" style="3" customWidth="1"/>
    <col min="520" max="520" width="52.42578125" style="3" bestFit="1" customWidth="1"/>
    <col min="521" max="521" width="20" style="3" bestFit="1" customWidth="1"/>
    <col min="522" max="522" width="11.5703125" style="3"/>
    <col min="523" max="523" width="54.5703125" style="3" bestFit="1" customWidth="1"/>
    <col min="524" max="524" width="18.140625" style="3" bestFit="1" customWidth="1"/>
    <col min="525" max="525" width="15.85546875" style="3" bestFit="1" customWidth="1"/>
    <col min="526" max="774" width="11.5703125" style="3"/>
    <col min="775" max="775" width="2.7109375" style="3" customWidth="1"/>
    <col min="776" max="776" width="52.42578125" style="3" bestFit="1" customWidth="1"/>
    <col min="777" max="777" width="20" style="3" bestFit="1" customWidth="1"/>
    <col min="778" max="778" width="11.5703125" style="3"/>
    <col min="779" max="779" width="54.5703125" style="3" bestFit="1" customWidth="1"/>
    <col min="780" max="780" width="18.140625" style="3" bestFit="1" customWidth="1"/>
    <col min="781" max="781" width="15.85546875" style="3" bestFit="1" customWidth="1"/>
    <col min="782" max="1030" width="11.5703125" style="3"/>
    <col min="1031" max="1031" width="2.7109375" style="3" customWidth="1"/>
    <col min="1032" max="1032" width="52.42578125" style="3" bestFit="1" customWidth="1"/>
    <col min="1033" max="1033" width="20" style="3" bestFit="1" customWidth="1"/>
    <col min="1034" max="1034" width="11.5703125" style="3"/>
    <col min="1035" max="1035" width="54.5703125" style="3" bestFit="1" customWidth="1"/>
    <col min="1036" max="1036" width="18.140625" style="3" bestFit="1" customWidth="1"/>
    <col min="1037" max="1037" width="15.85546875" style="3" bestFit="1" customWidth="1"/>
    <col min="1038" max="1286" width="11.5703125" style="3"/>
    <col min="1287" max="1287" width="2.7109375" style="3" customWidth="1"/>
    <col min="1288" max="1288" width="52.42578125" style="3" bestFit="1" customWidth="1"/>
    <col min="1289" max="1289" width="20" style="3" bestFit="1" customWidth="1"/>
    <col min="1290" max="1290" width="11.5703125" style="3"/>
    <col min="1291" max="1291" width="54.5703125" style="3" bestFit="1" customWidth="1"/>
    <col min="1292" max="1292" width="18.140625" style="3" bestFit="1" customWidth="1"/>
    <col min="1293" max="1293" width="15.85546875" style="3" bestFit="1" customWidth="1"/>
    <col min="1294" max="1542" width="11.5703125" style="3"/>
    <col min="1543" max="1543" width="2.7109375" style="3" customWidth="1"/>
    <col min="1544" max="1544" width="52.42578125" style="3" bestFit="1" customWidth="1"/>
    <col min="1545" max="1545" width="20" style="3" bestFit="1" customWidth="1"/>
    <col min="1546" max="1546" width="11.5703125" style="3"/>
    <col min="1547" max="1547" width="54.5703125" style="3" bestFit="1" customWidth="1"/>
    <col min="1548" max="1548" width="18.140625" style="3" bestFit="1" customWidth="1"/>
    <col min="1549" max="1549" width="15.85546875" style="3" bestFit="1" customWidth="1"/>
    <col min="1550" max="1798" width="11.5703125" style="3"/>
    <col min="1799" max="1799" width="2.7109375" style="3" customWidth="1"/>
    <col min="1800" max="1800" width="52.42578125" style="3" bestFit="1" customWidth="1"/>
    <col min="1801" max="1801" width="20" style="3" bestFit="1" customWidth="1"/>
    <col min="1802" max="1802" width="11.5703125" style="3"/>
    <col min="1803" max="1803" width="54.5703125" style="3" bestFit="1" customWidth="1"/>
    <col min="1804" max="1804" width="18.140625" style="3" bestFit="1" customWidth="1"/>
    <col min="1805" max="1805" width="15.85546875" style="3" bestFit="1" customWidth="1"/>
    <col min="1806" max="2054" width="11.5703125" style="3"/>
    <col min="2055" max="2055" width="2.7109375" style="3" customWidth="1"/>
    <col min="2056" max="2056" width="52.42578125" style="3" bestFit="1" customWidth="1"/>
    <col min="2057" max="2057" width="20" style="3" bestFit="1" customWidth="1"/>
    <col min="2058" max="2058" width="11.5703125" style="3"/>
    <col min="2059" max="2059" width="54.5703125" style="3" bestFit="1" customWidth="1"/>
    <col min="2060" max="2060" width="18.140625" style="3" bestFit="1" customWidth="1"/>
    <col min="2061" max="2061" width="15.85546875" style="3" bestFit="1" customWidth="1"/>
    <col min="2062" max="2310" width="11.5703125" style="3"/>
    <col min="2311" max="2311" width="2.7109375" style="3" customWidth="1"/>
    <col min="2312" max="2312" width="52.42578125" style="3" bestFit="1" customWidth="1"/>
    <col min="2313" max="2313" width="20" style="3" bestFit="1" customWidth="1"/>
    <col min="2314" max="2314" width="11.5703125" style="3"/>
    <col min="2315" max="2315" width="54.5703125" style="3" bestFit="1" customWidth="1"/>
    <col min="2316" max="2316" width="18.140625" style="3" bestFit="1" customWidth="1"/>
    <col min="2317" max="2317" width="15.85546875" style="3" bestFit="1" customWidth="1"/>
    <col min="2318" max="2566" width="11.5703125" style="3"/>
    <col min="2567" max="2567" width="2.7109375" style="3" customWidth="1"/>
    <col min="2568" max="2568" width="52.42578125" style="3" bestFit="1" customWidth="1"/>
    <col min="2569" max="2569" width="20" style="3" bestFit="1" customWidth="1"/>
    <col min="2570" max="2570" width="11.5703125" style="3"/>
    <col min="2571" max="2571" width="54.5703125" style="3" bestFit="1" customWidth="1"/>
    <col min="2572" max="2572" width="18.140625" style="3" bestFit="1" customWidth="1"/>
    <col min="2573" max="2573" width="15.85546875" style="3" bestFit="1" customWidth="1"/>
    <col min="2574" max="2822" width="11.5703125" style="3"/>
    <col min="2823" max="2823" width="2.7109375" style="3" customWidth="1"/>
    <col min="2824" max="2824" width="52.42578125" style="3" bestFit="1" customWidth="1"/>
    <col min="2825" max="2825" width="20" style="3" bestFit="1" customWidth="1"/>
    <col min="2826" max="2826" width="11.5703125" style="3"/>
    <col min="2827" max="2827" width="54.5703125" style="3" bestFit="1" customWidth="1"/>
    <col min="2828" max="2828" width="18.140625" style="3" bestFit="1" customWidth="1"/>
    <col min="2829" max="2829" width="15.85546875" style="3" bestFit="1" customWidth="1"/>
    <col min="2830" max="3078" width="11.5703125" style="3"/>
    <col min="3079" max="3079" width="2.7109375" style="3" customWidth="1"/>
    <col min="3080" max="3080" width="52.42578125" style="3" bestFit="1" customWidth="1"/>
    <col min="3081" max="3081" width="20" style="3" bestFit="1" customWidth="1"/>
    <col min="3082" max="3082" width="11.5703125" style="3"/>
    <col min="3083" max="3083" width="54.5703125" style="3" bestFit="1" customWidth="1"/>
    <col min="3084" max="3084" width="18.140625" style="3" bestFit="1" customWidth="1"/>
    <col min="3085" max="3085" width="15.85546875" style="3" bestFit="1" customWidth="1"/>
    <col min="3086" max="3334" width="11.5703125" style="3"/>
    <col min="3335" max="3335" width="2.7109375" style="3" customWidth="1"/>
    <col min="3336" max="3336" width="52.42578125" style="3" bestFit="1" customWidth="1"/>
    <col min="3337" max="3337" width="20" style="3" bestFit="1" customWidth="1"/>
    <col min="3338" max="3338" width="11.5703125" style="3"/>
    <col min="3339" max="3339" width="54.5703125" style="3" bestFit="1" customWidth="1"/>
    <col min="3340" max="3340" width="18.140625" style="3" bestFit="1" customWidth="1"/>
    <col min="3341" max="3341" width="15.85546875" style="3" bestFit="1" customWidth="1"/>
    <col min="3342" max="3590" width="11.5703125" style="3"/>
    <col min="3591" max="3591" width="2.7109375" style="3" customWidth="1"/>
    <col min="3592" max="3592" width="52.42578125" style="3" bestFit="1" customWidth="1"/>
    <col min="3593" max="3593" width="20" style="3" bestFit="1" customWidth="1"/>
    <col min="3594" max="3594" width="11.5703125" style="3"/>
    <col min="3595" max="3595" width="54.5703125" style="3" bestFit="1" customWidth="1"/>
    <col min="3596" max="3596" width="18.140625" style="3" bestFit="1" customWidth="1"/>
    <col min="3597" max="3597" width="15.85546875" style="3" bestFit="1" customWidth="1"/>
    <col min="3598" max="3846" width="11.5703125" style="3"/>
    <col min="3847" max="3847" width="2.7109375" style="3" customWidth="1"/>
    <col min="3848" max="3848" width="52.42578125" style="3" bestFit="1" customWidth="1"/>
    <col min="3849" max="3849" width="20" style="3" bestFit="1" customWidth="1"/>
    <col min="3850" max="3850" width="11.5703125" style="3"/>
    <col min="3851" max="3851" width="54.5703125" style="3" bestFit="1" customWidth="1"/>
    <col min="3852" max="3852" width="18.140625" style="3" bestFit="1" customWidth="1"/>
    <col min="3853" max="3853" width="15.85546875" style="3" bestFit="1" customWidth="1"/>
    <col min="3854" max="4102" width="11.5703125" style="3"/>
    <col min="4103" max="4103" width="2.7109375" style="3" customWidth="1"/>
    <col min="4104" max="4104" width="52.42578125" style="3" bestFit="1" customWidth="1"/>
    <col min="4105" max="4105" width="20" style="3" bestFit="1" customWidth="1"/>
    <col min="4106" max="4106" width="11.5703125" style="3"/>
    <col min="4107" max="4107" width="54.5703125" style="3" bestFit="1" customWidth="1"/>
    <col min="4108" max="4108" width="18.140625" style="3" bestFit="1" customWidth="1"/>
    <col min="4109" max="4109" width="15.85546875" style="3" bestFit="1" customWidth="1"/>
    <col min="4110" max="4358" width="11.5703125" style="3"/>
    <col min="4359" max="4359" width="2.7109375" style="3" customWidth="1"/>
    <col min="4360" max="4360" width="52.42578125" style="3" bestFit="1" customWidth="1"/>
    <col min="4361" max="4361" width="20" style="3" bestFit="1" customWidth="1"/>
    <col min="4362" max="4362" width="11.5703125" style="3"/>
    <col min="4363" max="4363" width="54.5703125" style="3" bestFit="1" customWidth="1"/>
    <col min="4364" max="4364" width="18.140625" style="3" bestFit="1" customWidth="1"/>
    <col min="4365" max="4365" width="15.85546875" style="3" bestFit="1" customWidth="1"/>
    <col min="4366" max="4614" width="11.5703125" style="3"/>
    <col min="4615" max="4615" width="2.7109375" style="3" customWidth="1"/>
    <col min="4616" max="4616" width="52.42578125" style="3" bestFit="1" customWidth="1"/>
    <col min="4617" max="4617" width="20" style="3" bestFit="1" customWidth="1"/>
    <col min="4618" max="4618" width="11.5703125" style="3"/>
    <col min="4619" max="4619" width="54.5703125" style="3" bestFit="1" customWidth="1"/>
    <col min="4620" max="4620" width="18.140625" style="3" bestFit="1" customWidth="1"/>
    <col min="4621" max="4621" width="15.85546875" style="3" bestFit="1" customWidth="1"/>
    <col min="4622" max="4870" width="11.5703125" style="3"/>
    <col min="4871" max="4871" width="2.7109375" style="3" customWidth="1"/>
    <col min="4872" max="4872" width="52.42578125" style="3" bestFit="1" customWidth="1"/>
    <col min="4873" max="4873" width="20" style="3" bestFit="1" customWidth="1"/>
    <col min="4874" max="4874" width="11.5703125" style="3"/>
    <col min="4875" max="4875" width="54.5703125" style="3" bestFit="1" customWidth="1"/>
    <col min="4876" max="4876" width="18.140625" style="3" bestFit="1" customWidth="1"/>
    <col min="4877" max="4877" width="15.85546875" style="3" bestFit="1" customWidth="1"/>
    <col min="4878" max="5126" width="11.5703125" style="3"/>
    <col min="5127" max="5127" width="2.7109375" style="3" customWidth="1"/>
    <col min="5128" max="5128" width="52.42578125" style="3" bestFit="1" customWidth="1"/>
    <col min="5129" max="5129" width="20" style="3" bestFit="1" customWidth="1"/>
    <col min="5130" max="5130" width="11.5703125" style="3"/>
    <col min="5131" max="5131" width="54.5703125" style="3" bestFit="1" customWidth="1"/>
    <col min="5132" max="5132" width="18.140625" style="3" bestFit="1" customWidth="1"/>
    <col min="5133" max="5133" width="15.85546875" style="3" bestFit="1" customWidth="1"/>
    <col min="5134" max="5382" width="11.5703125" style="3"/>
    <col min="5383" max="5383" width="2.7109375" style="3" customWidth="1"/>
    <col min="5384" max="5384" width="52.42578125" style="3" bestFit="1" customWidth="1"/>
    <col min="5385" max="5385" width="20" style="3" bestFit="1" customWidth="1"/>
    <col min="5386" max="5386" width="11.5703125" style="3"/>
    <col min="5387" max="5387" width="54.5703125" style="3" bestFit="1" customWidth="1"/>
    <col min="5388" max="5388" width="18.140625" style="3" bestFit="1" customWidth="1"/>
    <col min="5389" max="5389" width="15.85546875" style="3" bestFit="1" customWidth="1"/>
    <col min="5390" max="5638" width="11.5703125" style="3"/>
    <col min="5639" max="5639" width="2.7109375" style="3" customWidth="1"/>
    <col min="5640" max="5640" width="52.42578125" style="3" bestFit="1" customWidth="1"/>
    <col min="5641" max="5641" width="20" style="3" bestFit="1" customWidth="1"/>
    <col min="5642" max="5642" width="11.5703125" style="3"/>
    <col min="5643" max="5643" width="54.5703125" style="3" bestFit="1" customWidth="1"/>
    <col min="5644" max="5644" width="18.140625" style="3" bestFit="1" customWidth="1"/>
    <col min="5645" max="5645" width="15.85546875" style="3" bestFit="1" customWidth="1"/>
    <col min="5646" max="5894" width="11.5703125" style="3"/>
    <col min="5895" max="5895" width="2.7109375" style="3" customWidth="1"/>
    <col min="5896" max="5896" width="52.42578125" style="3" bestFit="1" customWidth="1"/>
    <col min="5897" max="5897" width="20" style="3" bestFit="1" customWidth="1"/>
    <col min="5898" max="5898" width="11.5703125" style="3"/>
    <col min="5899" max="5899" width="54.5703125" style="3" bestFit="1" customWidth="1"/>
    <col min="5900" max="5900" width="18.140625" style="3" bestFit="1" customWidth="1"/>
    <col min="5901" max="5901" width="15.85546875" style="3" bestFit="1" customWidth="1"/>
    <col min="5902" max="6150" width="11.5703125" style="3"/>
    <col min="6151" max="6151" width="2.7109375" style="3" customWidth="1"/>
    <col min="6152" max="6152" width="52.42578125" style="3" bestFit="1" customWidth="1"/>
    <col min="6153" max="6153" width="20" style="3" bestFit="1" customWidth="1"/>
    <col min="6154" max="6154" width="11.5703125" style="3"/>
    <col min="6155" max="6155" width="54.5703125" style="3" bestFit="1" customWidth="1"/>
    <col min="6156" max="6156" width="18.140625" style="3" bestFit="1" customWidth="1"/>
    <col min="6157" max="6157" width="15.85546875" style="3" bestFit="1" customWidth="1"/>
    <col min="6158" max="6406" width="11.5703125" style="3"/>
    <col min="6407" max="6407" width="2.7109375" style="3" customWidth="1"/>
    <col min="6408" max="6408" width="52.42578125" style="3" bestFit="1" customWidth="1"/>
    <col min="6409" max="6409" width="20" style="3" bestFit="1" customWidth="1"/>
    <col min="6410" max="6410" width="11.5703125" style="3"/>
    <col min="6411" max="6411" width="54.5703125" style="3" bestFit="1" customWidth="1"/>
    <col min="6412" max="6412" width="18.140625" style="3" bestFit="1" customWidth="1"/>
    <col min="6413" max="6413" width="15.85546875" style="3" bestFit="1" customWidth="1"/>
    <col min="6414" max="6662" width="11.5703125" style="3"/>
    <col min="6663" max="6663" width="2.7109375" style="3" customWidth="1"/>
    <col min="6664" max="6664" width="52.42578125" style="3" bestFit="1" customWidth="1"/>
    <col min="6665" max="6665" width="20" style="3" bestFit="1" customWidth="1"/>
    <col min="6666" max="6666" width="11.5703125" style="3"/>
    <col min="6667" max="6667" width="54.5703125" style="3" bestFit="1" customWidth="1"/>
    <col min="6668" max="6668" width="18.140625" style="3" bestFit="1" customWidth="1"/>
    <col min="6669" max="6669" width="15.85546875" style="3" bestFit="1" customWidth="1"/>
    <col min="6670" max="6918" width="11.5703125" style="3"/>
    <col min="6919" max="6919" width="2.7109375" style="3" customWidth="1"/>
    <col min="6920" max="6920" width="52.42578125" style="3" bestFit="1" customWidth="1"/>
    <col min="6921" max="6921" width="20" style="3" bestFit="1" customWidth="1"/>
    <col min="6922" max="6922" width="11.5703125" style="3"/>
    <col min="6923" max="6923" width="54.5703125" style="3" bestFit="1" customWidth="1"/>
    <col min="6924" max="6924" width="18.140625" style="3" bestFit="1" customWidth="1"/>
    <col min="6925" max="6925" width="15.85546875" style="3" bestFit="1" customWidth="1"/>
    <col min="6926" max="7174" width="11.5703125" style="3"/>
    <col min="7175" max="7175" width="2.7109375" style="3" customWidth="1"/>
    <col min="7176" max="7176" width="52.42578125" style="3" bestFit="1" customWidth="1"/>
    <col min="7177" max="7177" width="20" style="3" bestFit="1" customWidth="1"/>
    <col min="7178" max="7178" width="11.5703125" style="3"/>
    <col min="7179" max="7179" width="54.5703125" style="3" bestFit="1" customWidth="1"/>
    <col min="7180" max="7180" width="18.140625" style="3" bestFit="1" customWidth="1"/>
    <col min="7181" max="7181" width="15.85546875" style="3" bestFit="1" customWidth="1"/>
    <col min="7182" max="7430" width="11.5703125" style="3"/>
    <col min="7431" max="7431" width="2.7109375" style="3" customWidth="1"/>
    <col min="7432" max="7432" width="52.42578125" style="3" bestFit="1" customWidth="1"/>
    <col min="7433" max="7433" width="20" style="3" bestFit="1" customWidth="1"/>
    <col min="7434" max="7434" width="11.5703125" style="3"/>
    <col min="7435" max="7435" width="54.5703125" style="3" bestFit="1" customWidth="1"/>
    <col min="7436" max="7436" width="18.140625" style="3" bestFit="1" customWidth="1"/>
    <col min="7437" max="7437" width="15.85546875" style="3" bestFit="1" customWidth="1"/>
    <col min="7438" max="7686" width="11.5703125" style="3"/>
    <col min="7687" max="7687" width="2.7109375" style="3" customWidth="1"/>
    <col min="7688" max="7688" width="52.42578125" style="3" bestFit="1" customWidth="1"/>
    <col min="7689" max="7689" width="20" style="3" bestFit="1" customWidth="1"/>
    <col min="7690" max="7690" width="11.5703125" style="3"/>
    <col min="7691" max="7691" width="54.5703125" style="3" bestFit="1" customWidth="1"/>
    <col min="7692" max="7692" width="18.140625" style="3" bestFit="1" customWidth="1"/>
    <col min="7693" max="7693" width="15.85546875" style="3" bestFit="1" customWidth="1"/>
    <col min="7694" max="7942" width="11.5703125" style="3"/>
    <col min="7943" max="7943" width="2.7109375" style="3" customWidth="1"/>
    <col min="7944" max="7944" width="52.42578125" style="3" bestFit="1" customWidth="1"/>
    <col min="7945" max="7945" width="20" style="3" bestFit="1" customWidth="1"/>
    <col min="7946" max="7946" width="11.5703125" style="3"/>
    <col min="7947" max="7947" width="54.5703125" style="3" bestFit="1" customWidth="1"/>
    <col min="7948" max="7948" width="18.140625" style="3" bestFit="1" customWidth="1"/>
    <col min="7949" max="7949" width="15.85546875" style="3" bestFit="1" customWidth="1"/>
    <col min="7950" max="8198" width="11.5703125" style="3"/>
    <col min="8199" max="8199" width="2.7109375" style="3" customWidth="1"/>
    <col min="8200" max="8200" width="52.42578125" style="3" bestFit="1" customWidth="1"/>
    <col min="8201" max="8201" width="20" style="3" bestFit="1" customWidth="1"/>
    <col min="8202" max="8202" width="11.5703125" style="3"/>
    <col min="8203" max="8203" width="54.5703125" style="3" bestFit="1" customWidth="1"/>
    <col min="8204" max="8204" width="18.140625" style="3" bestFit="1" customWidth="1"/>
    <col min="8205" max="8205" width="15.85546875" style="3" bestFit="1" customWidth="1"/>
    <col min="8206" max="8454" width="11.5703125" style="3"/>
    <col min="8455" max="8455" width="2.7109375" style="3" customWidth="1"/>
    <col min="8456" max="8456" width="52.42578125" style="3" bestFit="1" customWidth="1"/>
    <col min="8457" max="8457" width="20" style="3" bestFit="1" customWidth="1"/>
    <col min="8458" max="8458" width="11.5703125" style="3"/>
    <col min="8459" max="8459" width="54.5703125" style="3" bestFit="1" customWidth="1"/>
    <col min="8460" max="8460" width="18.140625" style="3" bestFit="1" customWidth="1"/>
    <col min="8461" max="8461" width="15.85546875" style="3" bestFit="1" customWidth="1"/>
    <col min="8462" max="8710" width="11.5703125" style="3"/>
    <col min="8711" max="8711" width="2.7109375" style="3" customWidth="1"/>
    <col min="8712" max="8712" width="52.42578125" style="3" bestFit="1" customWidth="1"/>
    <col min="8713" max="8713" width="20" style="3" bestFit="1" customWidth="1"/>
    <col min="8714" max="8714" width="11.5703125" style="3"/>
    <col min="8715" max="8715" width="54.5703125" style="3" bestFit="1" customWidth="1"/>
    <col min="8716" max="8716" width="18.140625" style="3" bestFit="1" customWidth="1"/>
    <col min="8717" max="8717" width="15.85546875" style="3" bestFit="1" customWidth="1"/>
    <col min="8718" max="8966" width="11.5703125" style="3"/>
    <col min="8967" max="8967" width="2.7109375" style="3" customWidth="1"/>
    <col min="8968" max="8968" width="52.42578125" style="3" bestFit="1" customWidth="1"/>
    <col min="8969" max="8969" width="20" style="3" bestFit="1" customWidth="1"/>
    <col min="8970" max="8970" width="11.5703125" style="3"/>
    <col min="8971" max="8971" width="54.5703125" style="3" bestFit="1" customWidth="1"/>
    <col min="8972" max="8972" width="18.140625" style="3" bestFit="1" customWidth="1"/>
    <col min="8973" max="8973" width="15.85546875" style="3" bestFit="1" customWidth="1"/>
    <col min="8974" max="9222" width="11.5703125" style="3"/>
    <col min="9223" max="9223" width="2.7109375" style="3" customWidth="1"/>
    <col min="9224" max="9224" width="52.42578125" style="3" bestFit="1" customWidth="1"/>
    <col min="9225" max="9225" width="20" style="3" bestFit="1" customWidth="1"/>
    <col min="9226" max="9226" width="11.5703125" style="3"/>
    <col min="9227" max="9227" width="54.5703125" style="3" bestFit="1" customWidth="1"/>
    <col min="9228" max="9228" width="18.140625" style="3" bestFit="1" customWidth="1"/>
    <col min="9229" max="9229" width="15.85546875" style="3" bestFit="1" customWidth="1"/>
    <col min="9230" max="9478" width="11.5703125" style="3"/>
    <col min="9479" max="9479" width="2.7109375" style="3" customWidth="1"/>
    <col min="9480" max="9480" width="52.42578125" style="3" bestFit="1" customWidth="1"/>
    <col min="9481" max="9481" width="20" style="3" bestFit="1" customWidth="1"/>
    <col min="9482" max="9482" width="11.5703125" style="3"/>
    <col min="9483" max="9483" width="54.5703125" style="3" bestFit="1" customWidth="1"/>
    <col min="9484" max="9484" width="18.140625" style="3" bestFit="1" customWidth="1"/>
    <col min="9485" max="9485" width="15.85546875" style="3" bestFit="1" customWidth="1"/>
    <col min="9486" max="9734" width="11.5703125" style="3"/>
    <col min="9735" max="9735" width="2.7109375" style="3" customWidth="1"/>
    <col min="9736" max="9736" width="52.42578125" style="3" bestFit="1" customWidth="1"/>
    <col min="9737" max="9737" width="20" style="3" bestFit="1" customWidth="1"/>
    <col min="9738" max="9738" width="11.5703125" style="3"/>
    <col min="9739" max="9739" width="54.5703125" style="3" bestFit="1" customWidth="1"/>
    <col min="9740" max="9740" width="18.140625" style="3" bestFit="1" customWidth="1"/>
    <col min="9741" max="9741" width="15.85546875" style="3" bestFit="1" customWidth="1"/>
    <col min="9742" max="9990" width="11.5703125" style="3"/>
    <col min="9991" max="9991" width="2.7109375" style="3" customWidth="1"/>
    <col min="9992" max="9992" width="52.42578125" style="3" bestFit="1" customWidth="1"/>
    <col min="9993" max="9993" width="20" style="3" bestFit="1" customWidth="1"/>
    <col min="9994" max="9994" width="11.5703125" style="3"/>
    <col min="9995" max="9995" width="54.5703125" style="3" bestFit="1" customWidth="1"/>
    <col min="9996" max="9996" width="18.140625" style="3" bestFit="1" customWidth="1"/>
    <col min="9997" max="9997" width="15.85546875" style="3" bestFit="1" customWidth="1"/>
    <col min="9998" max="10246" width="11.5703125" style="3"/>
    <col min="10247" max="10247" width="2.7109375" style="3" customWidth="1"/>
    <col min="10248" max="10248" width="52.42578125" style="3" bestFit="1" customWidth="1"/>
    <col min="10249" max="10249" width="20" style="3" bestFit="1" customWidth="1"/>
    <col min="10250" max="10250" width="11.5703125" style="3"/>
    <col min="10251" max="10251" width="54.5703125" style="3" bestFit="1" customWidth="1"/>
    <col min="10252" max="10252" width="18.140625" style="3" bestFit="1" customWidth="1"/>
    <col min="10253" max="10253" width="15.85546875" style="3" bestFit="1" customWidth="1"/>
    <col min="10254" max="10502" width="11.5703125" style="3"/>
    <col min="10503" max="10503" width="2.7109375" style="3" customWidth="1"/>
    <col min="10504" max="10504" width="52.42578125" style="3" bestFit="1" customWidth="1"/>
    <col min="10505" max="10505" width="20" style="3" bestFit="1" customWidth="1"/>
    <col min="10506" max="10506" width="11.5703125" style="3"/>
    <col min="10507" max="10507" width="54.5703125" style="3" bestFit="1" customWidth="1"/>
    <col min="10508" max="10508" width="18.140625" style="3" bestFit="1" customWidth="1"/>
    <col min="10509" max="10509" width="15.85546875" style="3" bestFit="1" customWidth="1"/>
    <col min="10510" max="10758" width="11.5703125" style="3"/>
    <col min="10759" max="10759" width="2.7109375" style="3" customWidth="1"/>
    <col min="10760" max="10760" width="52.42578125" style="3" bestFit="1" customWidth="1"/>
    <col min="10761" max="10761" width="20" style="3" bestFit="1" customWidth="1"/>
    <col min="10762" max="10762" width="11.5703125" style="3"/>
    <col min="10763" max="10763" width="54.5703125" style="3" bestFit="1" customWidth="1"/>
    <col min="10764" max="10764" width="18.140625" style="3" bestFit="1" customWidth="1"/>
    <col min="10765" max="10765" width="15.85546875" style="3" bestFit="1" customWidth="1"/>
    <col min="10766" max="11014" width="11.5703125" style="3"/>
    <col min="11015" max="11015" width="2.7109375" style="3" customWidth="1"/>
    <col min="11016" max="11016" width="52.42578125" style="3" bestFit="1" customWidth="1"/>
    <col min="11017" max="11017" width="20" style="3" bestFit="1" customWidth="1"/>
    <col min="11018" max="11018" width="11.5703125" style="3"/>
    <col min="11019" max="11019" width="54.5703125" style="3" bestFit="1" customWidth="1"/>
    <col min="11020" max="11020" width="18.140625" style="3" bestFit="1" customWidth="1"/>
    <col min="11021" max="11021" width="15.85546875" style="3" bestFit="1" customWidth="1"/>
    <col min="11022" max="11270" width="11.5703125" style="3"/>
    <col min="11271" max="11271" width="2.7109375" style="3" customWidth="1"/>
    <col min="11272" max="11272" width="52.42578125" style="3" bestFit="1" customWidth="1"/>
    <col min="11273" max="11273" width="20" style="3" bestFit="1" customWidth="1"/>
    <col min="11274" max="11274" width="11.5703125" style="3"/>
    <col min="11275" max="11275" width="54.5703125" style="3" bestFit="1" customWidth="1"/>
    <col min="11276" max="11276" width="18.140625" style="3" bestFit="1" customWidth="1"/>
    <col min="11277" max="11277" width="15.85546875" style="3" bestFit="1" customWidth="1"/>
    <col min="11278" max="11526" width="11.5703125" style="3"/>
    <col min="11527" max="11527" width="2.7109375" style="3" customWidth="1"/>
    <col min="11528" max="11528" width="52.42578125" style="3" bestFit="1" customWidth="1"/>
    <col min="11529" max="11529" width="20" style="3" bestFit="1" customWidth="1"/>
    <col min="11530" max="11530" width="11.5703125" style="3"/>
    <col min="11531" max="11531" width="54.5703125" style="3" bestFit="1" customWidth="1"/>
    <col min="11532" max="11532" width="18.140625" style="3" bestFit="1" customWidth="1"/>
    <col min="11533" max="11533" width="15.85546875" style="3" bestFit="1" customWidth="1"/>
    <col min="11534" max="11782" width="11.5703125" style="3"/>
    <col min="11783" max="11783" width="2.7109375" style="3" customWidth="1"/>
    <col min="11784" max="11784" width="52.42578125" style="3" bestFit="1" customWidth="1"/>
    <col min="11785" max="11785" width="20" style="3" bestFit="1" customWidth="1"/>
    <col min="11786" max="11786" width="11.5703125" style="3"/>
    <col min="11787" max="11787" width="54.5703125" style="3" bestFit="1" customWidth="1"/>
    <col min="11788" max="11788" width="18.140625" style="3" bestFit="1" customWidth="1"/>
    <col min="11789" max="11789" width="15.85546875" style="3" bestFit="1" customWidth="1"/>
    <col min="11790" max="12038" width="11.5703125" style="3"/>
    <col min="12039" max="12039" width="2.7109375" style="3" customWidth="1"/>
    <col min="12040" max="12040" width="52.42578125" style="3" bestFit="1" customWidth="1"/>
    <col min="12041" max="12041" width="20" style="3" bestFit="1" customWidth="1"/>
    <col min="12042" max="12042" width="11.5703125" style="3"/>
    <col min="12043" max="12043" width="54.5703125" style="3" bestFit="1" customWidth="1"/>
    <col min="12044" max="12044" width="18.140625" style="3" bestFit="1" customWidth="1"/>
    <col min="12045" max="12045" width="15.85546875" style="3" bestFit="1" customWidth="1"/>
    <col min="12046" max="12294" width="11.5703125" style="3"/>
    <col min="12295" max="12295" width="2.7109375" style="3" customWidth="1"/>
    <col min="12296" max="12296" width="52.42578125" style="3" bestFit="1" customWidth="1"/>
    <col min="12297" max="12297" width="20" style="3" bestFit="1" customWidth="1"/>
    <col min="12298" max="12298" width="11.5703125" style="3"/>
    <col min="12299" max="12299" width="54.5703125" style="3" bestFit="1" customWidth="1"/>
    <col min="12300" max="12300" width="18.140625" style="3" bestFit="1" customWidth="1"/>
    <col min="12301" max="12301" width="15.85546875" style="3" bestFit="1" customWidth="1"/>
    <col min="12302" max="12550" width="11.5703125" style="3"/>
    <col min="12551" max="12551" width="2.7109375" style="3" customWidth="1"/>
    <col min="12552" max="12552" width="52.42578125" style="3" bestFit="1" customWidth="1"/>
    <col min="12553" max="12553" width="20" style="3" bestFit="1" customWidth="1"/>
    <col min="12554" max="12554" width="11.5703125" style="3"/>
    <col min="12555" max="12555" width="54.5703125" style="3" bestFit="1" customWidth="1"/>
    <col min="12556" max="12556" width="18.140625" style="3" bestFit="1" customWidth="1"/>
    <col min="12557" max="12557" width="15.85546875" style="3" bestFit="1" customWidth="1"/>
    <col min="12558" max="12806" width="11.5703125" style="3"/>
    <col min="12807" max="12807" width="2.7109375" style="3" customWidth="1"/>
    <col min="12808" max="12808" width="52.42578125" style="3" bestFit="1" customWidth="1"/>
    <col min="12809" max="12809" width="20" style="3" bestFit="1" customWidth="1"/>
    <col min="12810" max="12810" width="11.5703125" style="3"/>
    <col min="12811" max="12811" width="54.5703125" style="3" bestFit="1" customWidth="1"/>
    <col min="12812" max="12812" width="18.140625" style="3" bestFit="1" customWidth="1"/>
    <col min="12813" max="12813" width="15.85546875" style="3" bestFit="1" customWidth="1"/>
    <col min="12814" max="13062" width="11.5703125" style="3"/>
    <col min="13063" max="13063" width="2.7109375" style="3" customWidth="1"/>
    <col min="13064" max="13064" width="52.42578125" style="3" bestFit="1" customWidth="1"/>
    <col min="13065" max="13065" width="20" style="3" bestFit="1" customWidth="1"/>
    <col min="13066" max="13066" width="11.5703125" style="3"/>
    <col min="13067" max="13067" width="54.5703125" style="3" bestFit="1" customWidth="1"/>
    <col min="13068" max="13068" width="18.140625" style="3" bestFit="1" customWidth="1"/>
    <col min="13069" max="13069" width="15.85546875" style="3" bestFit="1" customWidth="1"/>
    <col min="13070" max="13318" width="11.5703125" style="3"/>
    <col min="13319" max="13319" width="2.7109375" style="3" customWidth="1"/>
    <col min="13320" max="13320" width="52.42578125" style="3" bestFit="1" customWidth="1"/>
    <col min="13321" max="13321" width="20" style="3" bestFit="1" customWidth="1"/>
    <col min="13322" max="13322" width="11.5703125" style="3"/>
    <col min="13323" max="13323" width="54.5703125" style="3" bestFit="1" customWidth="1"/>
    <col min="13324" max="13324" width="18.140625" style="3" bestFit="1" customWidth="1"/>
    <col min="13325" max="13325" width="15.85546875" style="3" bestFit="1" customWidth="1"/>
    <col min="13326" max="13574" width="11.5703125" style="3"/>
    <col min="13575" max="13575" width="2.7109375" style="3" customWidth="1"/>
    <col min="13576" max="13576" width="52.42578125" style="3" bestFit="1" customWidth="1"/>
    <col min="13577" max="13577" width="20" style="3" bestFit="1" customWidth="1"/>
    <col min="13578" max="13578" width="11.5703125" style="3"/>
    <col min="13579" max="13579" width="54.5703125" style="3" bestFit="1" customWidth="1"/>
    <col min="13580" max="13580" width="18.140625" style="3" bestFit="1" customWidth="1"/>
    <col min="13581" max="13581" width="15.85546875" style="3" bestFit="1" customWidth="1"/>
    <col min="13582" max="13830" width="11.5703125" style="3"/>
    <col min="13831" max="13831" width="2.7109375" style="3" customWidth="1"/>
    <col min="13832" max="13832" width="52.42578125" style="3" bestFit="1" customWidth="1"/>
    <col min="13833" max="13833" width="20" style="3" bestFit="1" customWidth="1"/>
    <col min="13834" max="13834" width="11.5703125" style="3"/>
    <col min="13835" max="13835" width="54.5703125" style="3" bestFit="1" customWidth="1"/>
    <col min="13836" max="13836" width="18.140625" style="3" bestFit="1" customWidth="1"/>
    <col min="13837" max="13837" width="15.85546875" style="3" bestFit="1" customWidth="1"/>
    <col min="13838" max="14086" width="11.5703125" style="3"/>
    <col min="14087" max="14087" width="2.7109375" style="3" customWidth="1"/>
    <col min="14088" max="14088" width="52.42578125" style="3" bestFit="1" customWidth="1"/>
    <col min="14089" max="14089" width="20" style="3" bestFit="1" customWidth="1"/>
    <col min="14090" max="14090" width="11.5703125" style="3"/>
    <col min="14091" max="14091" width="54.5703125" style="3" bestFit="1" customWidth="1"/>
    <col min="14092" max="14092" width="18.140625" style="3" bestFit="1" customWidth="1"/>
    <col min="14093" max="14093" width="15.85546875" style="3" bestFit="1" customWidth="1"/>
    <col min="14094" max="14342" width="11.5703125" style="3"/>
    <col min="14343" max="14343" width="2.7109375" style="3" customWidth="1"/>
    <col min="14344" max="14344" width="52.42578125" style="3" bestFit="1" customWidth="1"/>
    <col min="14345" max="14345" width="20" style="3" bestFit="1" customWidth="1"/>
    <col min="14346" max="14346" width="11.5703125" style="3"/>
    <col min="14347" max="14347" width="54.5703125" style="3" bestFit="1" customWidth="1"/>
    <col min="14348" max="14348" width="18.140625" style="3" bestFit="1" customWidth="1"/>
    <col min="14349" max="14349" width="15.85546875" style="3" bestFit="1" customWidth="1"/>
    <col min="14350" max="14598" width="11.5703125" style="3"/>
    <col min="14599" max="14599" width="2.7109375" style="3" customWidth="1"/>
    <col min="14600" max="14600" width="52.42578125" style="3" bestFit="1" customWidth="1"/>
    <col min="14601" max="14601" width="20" style="3" bestFit="1" customWidth="1"/>
    <col min="14602" max="14602" width="11.5703125" style="3"/>
    <col min="14603" max="14603" width="54.5703125" style="3" bestFit="1" customWidth="1"/>
    <col min="14604" max="14604" width="18.140625" style="3" bestFit="1" customWidth="1"/>
    <col min="14605" max="14605" width="15.85546875" style="3" bestFit="1" customWidth="1"/>
    <col min="14606" max="14854" width="11.5703125" style="3"/>
    <col min="14855" max="14855" width="2.7109375" style="3" customWidth="1"/>
    <col min="14856" max="14856" width="52.42578125" style="3" bestFit="1" customWidth="1"/>
    <col min="14857" max="14857" width="20" style="3" bestFit="1" customWidth="1"/>
    <col min="14858" max="14858" width="11.5703125" style="3"/>
    <col min="14859" max="14859" width="54.5703125" style="3" bestFit="1" customWidth="1"/>
    <col min="14860" max="14860" width="18.140625" style="3" bestFit="1" customWidth="1"/>
    <col min="14861" max="14861" width="15.85546875" style="3" bestFit="1" customWidth="1"/>
    <col min="14862" max="15110" width="11.5703125" style="3"/>
    <col min="15111" max="15111" width="2.7109375" style="3" customWidth="1"/>
    <col min="15112" max="15112" width="52.42578125" style="3" bestFit="1" customWidth="1"/>
    <col min="15113" max="15113" width="20" style="3" bestFit="1" customWidth="1"/>
    <col min="15114" max="15114" width="11.5703125" style="3"/>
    <col min="15115" max="15115" width="54.5703125" style="3" bestFit="1" customWidth="1"/>
    <col min="15116" max="15116" width="18.140625" style="3" bestFit="1" customWidth="1"/>
    <col min="15117" max="15117" width="15.85546875" style="3" bestFit="1" customWidth="1"/>
    <col min="15118" max="15366" width="11.5703125" style="3"/>
    <col min="15367" max="15367" width="2.7109375" style="3" customWidth="1"/>
    <col min="15368" max="15368" width="52.42578125" style="3" bestFit="1" customWidth="1"/>
    <col min="15369" max="15369" width="20" style="3" bestFit="1" customWidth="1"/>
    <col min="15370" max="15370" width="11.5703125" style="3"/>
    <col min="15371" max="15371" width="54.5703125" style="3" bestFit="1" customWidth="1"/>
    <col min="15372" max="15372" width="18.140625" style="3" bestFit="1" customWidth="1"/>
    <col min="15373" max="15373" width="15.85546875" style="3" bestFit="1" customWidth="1"/>
    <col min="15374" max="15622" width="11.5703125" style="3"/>
    <col min="15623" max="15623" width="2.7109375" style="3" customWidth="1"/>
    <col min="15624" max="15624" width="52.42578125" style="3" bestFit="1" customWidth="1"/>
    <col min="15625" max="15625" width="20" style="3" bestFit="1" customWidth="1"/>
    <col min="15626" max="15626" width="11.5703125" style="3"/>
    <col min="15627" max="15627" width="54.5703125" style="3" bestFit="1" customWidth="1"/>
    <col min="15628" max="15628" width="18.140625" style="3" bestFit="1" customWidth="1"/>
    <col min="15629" max="15629" width="15.85546875" style="3" bestFit="1" customWidth="1"/>
    <col min="15630" max="15878" width="11.5703125" style="3"/>
    <col min="15879" max="15879" width="2.7109375" style="3" customWidth="1"/>
    <col min="15880" max="15880" width="52.42578125" style="3" bestFit="1" customWidth="1"/>
    <col min="15881" max="15881" width="20" style="3" bestFit="1" customWidth="1"/>
    <col min="15882" max="15882" width="11.5703125" style="3"/>
    <col min="15883" max="15883" width="54.5703125" style="3" bestFit="1" customWidth="1"/>
    <col min="15884" max="15884" width="18.140625" style="3" bestFit="1" customWidth="1"/>
    <col min="15885" max="15885" width="15.85546875" style="3" bestFit="1" customWidth="1"/>
    <col min="15886" max="16134" width="11.5703125" style="3"/>
    <col min="16135" max="16135" width="2.7109375" style="3" customWidth="1"/>
    <col min="16136" max="16136" width="52.42578125" style="3" bestFit="1" customWidth="1"/>
    <col min="16137" max="16137" width="20" style="3" bestFit="1" customWidth="1"/>
    <col min="16138" max="16138" width="11.5703125" style="3"/>
    <col min="16139" max="16139" width="54.5703125" style="3" bestFit="1" customWidth="1"/>
    <col min="16140" max="16140" width="18.140625" style="3" bestFit="1" customWidth="1"/>
    <col min="16141" max="16141" width="15.85546875" style="3" bestFit="1" customWidth="1"/>
    <col min="16142" max="16384" width="11.5703125" style="3"/>
  </cols>
  <sheetData>
    <row r="1" spans="2:15" ht="15.75">
      <c r="F1" s="1"/>
      <c r="G1" s="2"/>
    </row>
    <row r="2" spans="2:15" ht="18">
      <c r="B2" s="101" t="s">
        <v>49</v>
      </c>
      <c r="C2" s="102"/>
      <c r="D2" s="103"/>
      <c r="E2" s="98"/>
      <c r="F2" s="98"/>
      <c r="G2" s="98"/>
    </row>
    <row r="4" spans="2:15" ht="30">
      <c r="B4" s="4" t="s">
        <v>0</v>
      </c>
      <c r="C4" s="5">
        <v>1</v>
      </c>
      <c r="D4" s="6">
        <v>1</v>
      </c>
    </row>
    <row r="5" spans="2:15" ht="15">
      <c r="B5" s="7" t="s">
        <v>1</v>
      </c>
      <c r="C5" s="5">
        <v>0</v>
      </c>
    </row>
    <row r="6" spans="2:15" ht="13.5" thickBot="1"/>
    <row r="7" spans="2:15" ht="17.25" thickTop="1" thickBot="1">
      <c r="F7" s="104" t="s">
        <v>30</v>
      </c>
      <c r="G7" s="105"/>
      <c r="J7" s="104" t="s">
        <v>31</v>
      </c>
      <c r="K7" s="105"/>
      <c r="N7" s="104" t="s">
        <v>32</v>
      </c>
      <c r="O7" s="105"/>
    </row>
    <row r="8" spans="2:15" ht="16.5" thickTop="1">
      <c r="F8" s="8" t="s">
        <v>2</v>
      </c>
      <c r="G8" s="9" t="s">
        <v>3</v>
      </c>
      <c r="H8" s="10"/>
      <c r="I8" s="10"/>
      <c r="J8" s="8" t="s">
        <v>2</v>
      </c>
      <c r="K8" s="11" t="s">
        <v>3</v>
      </c>
      <c r="N8" s="8" t="s">
        <v>2</v>
      </c>
      <c r="O8" s="11" t="s">
        <v>3</v>
      </c>
    </row>
    <row r="9" spans="2:15" ht="15">
      <c r="F9" s="12"/>
      <c r="G9" s="13"/>
      <c r="J9" s="12"/>
      <c r="K9" s="13"/>
      <c r="N9" s="12"/>
      <c r="O9" s="13"/>
    </row>
    <row r="10" spans="2:15" ht="15">
      <c r="F10" s="12" t="s">
        <v>4</v>
      </c>
      <c r="G10" s="14">
        <v>150000000</v>
      </c>
      <c r="J10" s="12" t="s">
        <v>4</v>
      </c>
      <c r="K10" s="15">
        <f>+G10</f>
        <v>150000000</v>
      </c>
      <c r="N10" s="12" t="s">
        <v>4</v>
      </c>
      <c r="O10" s="15">
        <f>+K10</f>
        <v>150000000</v>
      </c>
    </row>
    <row r="11" spans="2:15" ht="15">
      <c r="F11" s="12"/>
      <c r="G11" s="13"/>
      <c r="J11" s="12" t="s">
        <v>22</v>
      </c>
      <c r="K11" s="13"/>
      <c r="N11" s="12" t="s">
        <v>22</v>
      </c>
      <c r="O11" s="13"/>
    </row>
    <row r="12" spans="2:15" ht="15">
      <c r="F12" s="12" t="s">
        <v>5</v>
      </c>
      <c r="G12" s="16">
        <f>ROUND(+G10*0.04,-3)</f>
        <v>6000000</v>
      </c>
      <c r="H12" s="17"/>
      <c r="I12" s="17"/>
      <c r="J12" s="18" t="s">
        <v>23</v>
      </c>
      <c r="K12" s="16">
        <f>+G12</f>
        <v>6000000</v>
      </c>
      <c r="N12" s="18" t="s">
        <v>5</v>
      </c>
      <c r="O12" s="16">
        <f>+K12</f>
        <v>6000000</v>
      </c>
    </row>
    <row r="13" spans="2:15" ht="15">
      <c r="F13" s="12" t="s">
        <v>6</v>
      </c>
      <c r="G13" s="16">
        <f>ROUND(+G10*0.05,-3)</f>
        <v>7500000</v>
      </c>
      <c r="H13" s="17"/>
      <c r="I13" s="17"/>
      <c r="J13" s="18" t="s">
        <v>24</v>
      </c>
      <c r="K13" s="16">
        <f>+G13</f>
        <v>7500000</v>
      </c>
      <c r="N13" s="18" t="s">
        <v>6</v>
      </c>
      <c r="O13" s="16">
        <f>+K13</f>
        <v>7500000</v>
      </c>
    </row>
    <row r="14" spans="2:15" ht="30">
      <c r="F14" s="19" t="s">
        <v>7</v>
      </c>
      <c r="G14" s="20">
        <v>45000000</v>
      </c>
      <c r="J14" s="19" t="s">
        <v>25</v>
      </c>
      <c r="K14" s="21">
        <f>+K29</f>
        <v>97875000</v>
      </c>
      <c r="N14" s="19" t="s">
        <v>25</v>
      </c>
      <c r="O14" s="21">
        <f>+O29</f>
        <v>97875000</v>
      </c>
    </row>
    <row r="15" spans="2:15" ht="30">
      <c r="F15" s="22" t="str">
        <f>IF(+D4,+B4,B5)</f>
        <v xml:space="preserve">"Gastos de representación - renta exenta numeral 7 artículo 206 E.T." </v>
      </c>
      <c r="G15" s="20">
        <v>40000000</v>
      </c>
      <c r="J15" s="22" t="s">
        <v>26</v>
      </c>
      <c r="K15" s="23">
        <f>+K39</f>
        <v>54600000</v>
      </c>
      <c r="N15" s="22" t="str">
        <f>+J15</f>
        <v>Rentas exentas y deducciones imputables (LIMITADAS)</v>
      </c>
      <c r="O15" s="23">
        <f>+O42</f>
        <v>94600000</v>
      </c>
    </row>
    <row r="16" spans="2:15" ht="17.25">
      <c r="F16" s="22" t="s">
        <v>8</v>
      </c>
      <c r="G16" s="24">
        <f>ROUND(IF((G10-SUM(G12:G15))*0.25&gt;(34270*240*12),(34270*240*12),(G10-SUM(G12:G15))*0.25),-3)</f>
        <v>12875000</v>
      </c>
      <c r="J16" s="22"/>
      <c r="K16" s="24"/>
      <c r="N16" s="22"/>
      <c r="O16" s="24"/>
    </row>
    <row r="17" spans="6:15" ht="15.75">
      <c r="F17" s="25" t="s">
        <v>9</v>
      </c>
      <c r="G17" s="53">
        <f>+G10-SUM(G12:G16)</f>
        <v>38625000</v>
      </c>
      <c r="J17" s="25" t="s">
        <v>27</v>
      </c>
      <c r="K17" s="53">
        <f>+K10-K12-K13-K15</f>
        <v>81900000</v>
      </c>
      <c r="N17" s="22" t="s">
        <v>48</v>
      </c>
      <c r="O17" s="13">
        <f>+O10-O12-O13-O15</f>
        <v>41900000</v>
      </c>
    </row>
    <row r="18" spans="6:15" ht="15">
      <c r="F18" s="22"/>
      <c r="G18" s="13"/>
      <c r="J18" s="22"/>
      <c r="K18" s="13"/>
      <c r="N18" s="22"/>
      <c r="O18" s="13"/>
    </row>
    <row r="19" spans="6:15" ht="16.5" thickBot="1">
      <c r="F19" s="26" t="s">
        <v>10</v>
      </c>
      <c r="G19" s="27">
        <f>+'TARIFA ORDINARIO'!F16</f>
        <v>242000</v>
      </c>
      <c r="J19" s="26" t="s">
        <v>10</v>
      </c>
      <c r="K19" s="27">
        <f>+'TARIFA ORDINARIO'!F35</f>
        <v>10595000</v>
      </c>
      <c r="N19" s="26" t="s">
        <v>10</v>
      </c>
      <c r="O19" s="27">
        <f>+'TARIFA ORDINARIO'!F55</f>
        <v>864000</v>
      </c>
    </row>
    <row r="20" spans="6:15" ht="13.5" thickTop="1">
      <c r="O20" s="46"/>
    </row>
    <row r="21" spans="6:15">
      <c r="G21" s="17"/>
    </row>
    <row r="22" spans="6:15" ht="15">
      <c r="F22" s="28"/>
      <c r="K22" s="17"/>
      <c r="O22" s="17"/>
    </row>
    <row r="23" spans="6:15" ht="15.75">
      <c r="F23" s="29"/>
      <c r="J23" s="106" t="s">
        <v>11</v>
      </c>
      <c r="K23" s="106"/>
      <c r="N23" s="106" t="s">
        <v>11</v>
      </c>
      <c r="O23" s="106"/>
    </row>
    <row r="24" spans="6:15" ht="15.75">
      <c r="F24" s="29"/>
      <c r="G24" s="30"/>
      <c r="J24" s="31"/>
      <c r="K24" s="32"/>
      <c r="N24" s="31"/>
      <c r="O24" s="32"/>
    </row>
    <row r="25" spans="6:15" ht="15.75">
      <c r="F25" s="29"/>
      <c r="G25" s="33"/>
      <c r="J25" s="34" t="s">
        <v>12</v>
      </c>
      <c r="K25" s="35"/>
      <c r="N25" s="34" t="s">
        <v>12</v>
      </c>
      <c r="O25" s="35"/>
    </row>
    <row r="26" spans="6:15" ht="15">
      <c r="F26" s="29"/>
      <c r="J26" s="36" t="s">
        <v>13</v>
      </c>
      <c r="K26" s="37">
        <f>+G16</f>
        <v>12875000</v>
      </c>
      <c r="N26" s="36" t="s">
        <v>13</v>
      </c>
      <c r="O26" s="37">
        <f>+K26</f>
        <v>12875000</v>
      </c>
    </row>
    <row r="27" spans="6:15" ht="30">
      <c r="F27" s="29"/>
      <c r="J27" s="38" t="str">
        <f>+F15</f>
        <v xml:space="preserve">"Gastos de representación - renta exenta numeral 7 artículo 206 E.T." </v>
      </c>
      <c r="K27" s="37">
        <f>+G15</f>
        <v>40000000</v>
      </c>
      <c r="N27" s="38" t="str">
        <f>+J27</f>
        <v xml:space="preserve">"Gastos de representación - renta exenta numeral 7 artículo 206 E.T." </v>
      </c>
      <c r="O27" s="37">
        <f>+G15</f>
        <v>40000000</v>
      </c>
    </row>
    <row r="28" spans="6:15" ht="17.25">
      <c r="J28" s="38" t="s">
        <v>14</v>
      </c>
      <c r="K28" s="39">
        <f>+G14</f>
        <v>45000000</v>
      </c>
      <c r="N28" s="38" t="s">
        <v>14</v>
      </c>
      <c r="O28" s="39">
        <f>+K28</f>
        <v>45000000</v>
      </c>
    </row>
    <row r="29" spans="6:15" ht="15.75">
      <c r="J29" s="36"/>
      <c r="K29" s="40">
        <f>SUM(K26:K28)</f>
        <v>97875000</v>
      </c>
      <c r="N29" s="36"/>
      <c r="O29" s="40">
        <f>SUM(O26:O28)</f>
        <v>97875000</v>
      </c>
    </row>
    <row r="30" spans="6:15" ht="15.75">
      <c r="J30" s="41" t="s">
        <v>15</v>
      </c>
      <c r="K30" s="37"/>
      <c r="N30" s="41" t="s">
        <v>15</v>
      </c>
      <c r="O30" s="37"/>
    </row>
    <row r="31" spans="6:15" ht="15">
      <c r="J31" s="36"/>
      <c r="K31" s="37"/>
      <c r="N31" s="36"/>
      <c r="O31" s="37"/>
    </row>
    <row r="32" spans="6:15" ht="15">
      <c r="J32" s="36" t="s">
        <v>16</v>
      </c>
      <c r="K32" s="37">
        <f>+K10</f>
        <v>150000000</v>
      </c>
      <c r="N32" s="36" t="s">
        <v>16</v>
      </c>
      <c r="O32" s="37">
        <f>+O10</f>
        <v>150000000</v>
      </c>
    </row>
    <row r="33" spans="10:15" ht="15">
      <c r="J33" s="38" t="s">
        <v>17</v>
      </c>
      <c r="K33" s="37">
        <f>-SUM(K12:K13)</f>
        <v>-13500000</v>
      </c>
      <c r="N33" s="38" t="s">
        <v>17</v>
      </c>
      <c r="O33" s="37">
        <f>-SUM(O12:O13)</f>
        <v>-13500000</v>
      </c>
    </row>
    <row r="34" spans="10:15" ht="15.75">
      <c r="J34" s="42" t="s">
        <v>18</v>
      </c>
      <c r="K34" s="43">
        <f>SUM(K32:K33)</f>
        <v>136500000</v>
      </c>
      <c r="N34" s="42" t="s">
        <v>18</v>
      </c>
      <c r="O34" s="43">
        <f>SUM(O32:O33)</f>
        <v>136500000</v>
      </c>
    </row>
    <row r="35" spans="10:15" ht="15">
      <c r="J35" s="36"/>
      <c r="K35" s="37"/>
      <c r="N35" s="36"/>
      <c r="O35" s="37"/>
    </row>
    <row r="36" spans="10:15" ht="15">
      <c r="J36" s="36" t="s">
        <v>19</v>
      </c>
      <c r="K36" s="37">
        <f>ROUND(+K34*0.4,-3)</f>
        <v>54600000</v>
      </c>
      <c r="N36" s="36" t="s">
        <v>19</v>
      </c>
      <c r="O36" s="37">
        <f>ROUND(+O34*0.4,-3)</f>
        <v>54600000</v>
      </c>
    </row>
    <row r="37" spans="10:15" ht="15">
      <c r="J37" s="38" t="s">
        <v>20</v>
      </c>
      <c r="K37" s="37">
        <f>ROUND(34270*5040,-3)</f>
        <v>172721000</v>
      </c>
      <c r="N37" s="38" t="s">
        <v>20</v>
      </c>
      <c r="O37" s="37">
        <f>ROUND(34270*5040,-3)</f>
        <v>172721000</v>
      </c>
    </row>
    <row r="38" spans="10:15" ht="15">
      <c r="J38" s="36"/>
      <c r="K38" s="37"/>
      <c r="N38" s="36"/>
      <c r="O38" s="37"/>
    </row>
    <row r="39" spans="10:15" ht="15.75">
      <c r="J39" s="44" t="s">
        <v>21</v>
      </c>
      <c r="K39" s="51">
        <f>IF(+K36&gt;K37,K37,K36)</f>
        <v>54600000</v>
      </c>
      <c r="N39" s="41" t="s">
        <v>21</v>
      </c>
      <c r="O39" s="43">
        <f>IF(IF(+O36&gt;O37,O37,O36)&gt;+O26+O28,+O26+O28,IF(+O36&gt;O37,O37,O36))</f>
        <v>54600000</v>
      </c>
    </row>
    <row r="40" spans="10:15" ht="15.75">
      <c r="J40" s="47"/>
      <c r="K40" s="47"/>
      <c r="N40" s="41"/>
      <c r="O40" s="43"/>
    </row>
    <row r="41" spans="10:15" ht="15">
      <c r="J41" s="32"/>
      <c r="K41" s="32"/>
      <c r="N41" s="36" t="s">
        <v>28</v>
      </c>
      <c r="O41" s="37">
        <f>IF(D4=1,G15,0)</f>
        <v>40000000</v>
      </c>
    </row>
    <row r="42" spans="10:15" ht="31.5">
      <c r="N42" s="48" t="s">
        <v>29</v>
      </c>
      <c r="O42" s="52">
        <f>+O39+O41</f>
        <v>94600000</v>
      </c>
    </row>
    <row r="43" spans="10:15">
      <c r="N43" s="49"/>
      <c r="O43" s="50"/>
    </row>
    <row r="45" spans="10:15">
      <c r="O45" s="45"/>
    </row>
    <row r="46" spans="10:15">
      <c r="O46" s="45"/>
    </row>
  </sheetData>
  <sheetProtection password="CE28" sheet="1" objects="1" scenarios="1" formatCells="0" formatColumns="0" formatRows="0" insertColumns="0" insertRows="0" insertHyperlinks="0" deleteColumns="0" deleteRows="0" sort="0" autoFilter="0" pivotTables="0"/>
  <mergeCells count="6">
    <mergeCell ref="B2:D2"/>
    <mergeCell ref="F7:G7"/>
    <mergeCell ref="J7:K7"/>
    <mergeCell ref="J23:K23"/>
    <mergeCell ref="N7:O7"/>
    <mergeCell ref="N23:O23"/>
  </mergeCells>
  <pageMargins left="0.70866141732283472" right="0.70866141732283472" top="0.74803149606299213" bottom="0.74803149606299213" header="0.31496062992125984" footer="0.31496062992125984"/>
  <pageSetup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TARIFA ORDINARIO</vt:lpstr>
      <vt:lpstr>EJERCICIO</vt:lpstr>
      <vt:lpstr>'TARIFA ORDINARIO'!Área_de_impresión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2019-01-14T23:14:47Z</dcterms:created>
  <dcterms:modified xsi:type="dcterms:W3CDTF">2019-02-11T18:20:56Z</dcterms:modified>
</cp:coreProperties>
</file>